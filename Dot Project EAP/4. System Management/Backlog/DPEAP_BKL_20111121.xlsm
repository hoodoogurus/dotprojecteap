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  <sheet name="Product Backlog" sheetId="10" r:id="rId6"/>
    <sheet name="planning poker" sheetId="11" r:id="rId7"/>
  </sheets>
  <definedNames>
    <definedName name="_xlnm._FilterDatabase" localSheetId="0" hidden="1">Sprint!$C$3:$CE$63</definedName>
    <definedName name="_xlnm.Print_Area" localSheetId="2">Capacity!$A$4:$AB$33</definedName>
    <definedName name="Burndown" localSheetId="1">Sprint!$J$4:$CD$64</definedName>
    <definedName name="Burndown">Sprint!$J$4:$CD$64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Sprint!$CE$4:$CE$64</definedName>
    <definedName name="TotalEffort">Sprint!$CE$4:$CE$64</definedName>
    <definedName name="Worktype">'Project Specific Reports'!$A$2:$A$5</definedName>
  </definedNames>
  <calcPr calcId="145621"/>
</workbook>
</file>

<file path=xl/calcChain.xml><?xml version="1.0" encoding="utf-8"?>
<calcChain xmlns="http://schemas.openxmlformats.org/spreadsheetml/2006/main">
  <c r="BA21" i="7" l="1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L16" i="7"/>
  <c r="K16" i="7"/>
  <c r="G16" i="7"/>
  <c r="N21" i="7" l="1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L21" i="7"/>
  <c r="G21" i="7" s="1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B13" i="9"/>
  <c r="B14" i="9"/>
  <c r="B15" i="9"/>
  <c r="B16" i="9"/>
  <c r="B17" i="9"/>
  <c r="B18" i="9"/>
  <c r="B19" i="9"/>
  <c r="B20" i="9"/>
  <c r="B21" i="9"/>
  <c r="B22" i="9"/>
  <c r="B23" i="9"/>
  <c r="B24" i="9"/>
  <c r="E2" i="6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O21" i="7" l="1"/>
  <c r="R21" i="7" s="1"/>
  <c r="U21" i="7" s="1"/>
  <c r="O16" i="7"/>
  <c r="L12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7" i="7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N20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5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X21" i="7" l="1"/>
  <c r="AA21" i="7" s="1"/>
  <c r="R16" i="7"/>
  <c r="O27" i="7"/>
  <c r="O45" i="7"/>
  <c r="O62" i="7"/>
  <c r="R62" i="7" s="1"/>
  <c r="O46" i="7"/>
  <c r="R46" i="7" s="1"/>
  <c r="U46" i="7" s="1"/>
  <c r="G46" i="7"/>
  <c r="X46" i="7"/>
  <c r="G45" i="7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3" i="7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O43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5" i="7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O25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0" i="7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O20" i="7"/>
  <c r="Q18" i="7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O18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61" i="7"/>
  <c r="R61" i="7" s="1"/>
  <c r="O59" i="7"/>
  <c r="O57" i="7"/>
  <c r="R57" i="7" s="1"/>
  <c r="U57" i="7" s="1"/>
  <c r="G57" i="7" s="1"/>
  <c r="O55" i="7"/>
  <c r="O53" i="7"/>
  <c r="R53" i="7" s="1"/>
  <c r="U53" i="7" s="1"/>
  <c r="G53" i="7" s="1"/>
  <c r="O60" i="7"/>
  <c r="R59" i="7"/>
  <c r="U59" i="7" s="1"/>
  <c r="G59" i="7" s="1"/>
  <c r="O58" i="7"/>
  <c r="O56" i="7"/>
  <c r="R56" i="7" s="1"/>
  <c r="R55" i="7"/>
  <c r="O54" i="7"/>
  <c r="R54" i="7" s="1"/>
  <c r="U54" i="7" s="1"/>
  <c r="G54" i="7" s="1"/>
  <c r="O52" i="7"/>
  <c r="R52" i="7" s="1"/>
  <c r="AA46" i="7"/>
  <c r="O50" i="7"/>
  <c r="O48" i="7"/>
  <c r="R48" i="7" s="1"/>
  <c r="U48" i="7" s="1"/>
  <c r="G48" i="7" s="1"/>
  <c r="O44" i="7"/>
  <c r="O42" i="7"/>
  <c r="O40" i="7"/>
  <c r="O38" i="7"/>
  <c r="O36" i="7"/>
  <c r="O34" i="7"/>
  <c r="R33" i="7"/>
  <c r="U33" i="7" s="1"/>
  <c r="O32" i="7"/>
  <c r="O30" i="7"/>
  <c r="O28" i="7"/>
  <c r="O26" i="7"/>
  <c r="R26" i="7" s="1"/>
  <c r="O7" i="7"/>
  <c r="O5" i="7"/>
  <c r="R5" i="7" s="1"/>
  <c r="O24" i="7"/>
  <c r="O19" i="7"/>
  <c r="R19" i="7" s="1"/>
  <c r="U19" i="7" s="1"/>
  <c r="G19" i="7" s="1"/>
  <c r="O14" i="7"/>
  <c r="R14" i="7" s="1"/>
  <c r="U14" i="7" s="1"/>
  <c r="G14" i="7" s="1"/>
  <c r="O12" i="7"/>
  <c r="R12" i="7" s="1"/>
  <c r="O10" i="7"/>
  <c r="O9" i="7"/>
  <c r="R9" i="7" s="1"/>
  <c r="O8" i="7"/>
  <c r="Q51" i="7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O51" i="7"/>
  <c r="R58" i="7"/>
  <c r="U58" i="7" s="1"/>
  <c r="G58" i="7" s="1"/>
  <c r="R50" i="7"/>
  <c r="R27" i="7"/>
  <c r="R24" i="7"/>
  <c r="U24" i="7" s="1"/>
  <c r="G24" i="7" s="1"/>
  <c r="R10" i="7"/>
  <c r="O6" i="7"/>
  <c r="O22" i="7"/>
  <c r="O17" i="7"/>
  <c r="O11" i="7"/>
  <c r="R8" i="7"/>
  <c r="U8" i="7" s="1"/>
  <c r="G8" i="7" s="1"/>
  <c r="Q63" i="7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O63" i="7"/>
  <c r="AD21" i="7" l="1"/>
  <c r="AG21" i="7" s="1"/>
  <c r="U16" i="7"/>
  <c r="X16" i="7"/>
  <c r="R41" i="7"/>
  <c r="R13" i="7"/>
  <c r="U13" i="7" s="1"/>
  <c r="R15" i="7"/>
  <c r="U15" i="7" s="1"/>
  <c r="R18" i="7"/>
  <c r="U18" i="7" s="1"/>
  <c r="R20" i="7"/>
  <c r="R23" i="7"/>
  <c r="R25" i="7"/>
  <c r="R29" i="7"/>
  <c r="U29" i="7" s="1"/>
  <c r="R31" i="7"/>
  <c r="R35" i="7"/>
  <c r="U35" i="7" s="1"/>
  <c r="R37" i="7"/>
  <c r="R39" i="7"/>
  <c r="U39" i="7" s="1"/>
  <c r="R43" i="7"/>
  <c r="R47" i="7"/>
  <c r="U47" i="7" s="1"/>
  <c r="R49" i="7"/>
  <c r="R7" i="7"/>
  <c r="U7" i="7" s="1"/>
  <c r="R30" i="7"/>
  <c r="U30" i="7" s="1"/>
  <c r="U55" i="7"/>
  <c r="X55" i="7" s="1"/>
  <c r="AA55" i="7" s="1"/>
  <c r="U62" i="7"/>
  <c r="G33" i="7"/>
  <c r="X33" i="7"/>
  <c r="G55" i="7"/>
  <c r="R45" i="7"/>
  <c r="U5" i="7"/>
  <c r="G5" i="7" s="1"/>
  <c r="X59" i="7"/>
  <c r="AA59" i="7" s="1"/>
  <c r="U61" i="7"/>
  <c r="G61" i="7" s="1"/>
  <c r="U37" i="7"/>
  <c r="AD46" i="7"/>
  <c r="AG46" i="7" s="1"/>
  <c r="G15" i="7"/>
  <c r="X15" i="7"/>
  <c r="G47" i="7"/>
  <c r="X47" i="7"/>
  <c r="AA47" i="7" s="1"/>
  <c r="G37" i="7"/>
  <c r="X37" i="7"/>
  <c r="AA37" i="7" s="1"/>
  <c r="AD37" i="7" s="1"/>
  <c r="U27" i="7"/>
  <c r="G27" i="7" s="1"/>
  <c r="X5" i="7"/>
  <c r="AA5" i="7" s="1"/>
  <c r="AD5" i="7" s="1"/>
  <c r="R11" i="7"/>
  <c r="U11" i="7" s="1"/>
  <c r="G11" i="7" s="1"/>
  <c r="U12" i="7"/>
  <c r="X8" i="7"/>
  <c r="U10" i="7"/>
  <c r="X14" i="7"/>
  <c r="AA14" i="7" s="1"/>
  <c r="R22" i="7"/>
  <c r="U22" i="7" s="1"/>
  <c r="G22" i="7" s="1"/>
  <c r="X24" i="7"/>
  <c r="R28" i="7"/>
  <c r="U31" i="7"/>
  <c r="R36" i="7"/>
  <c r="R38" i="7"/>
  <c r="R44" i="7"/>
  <c r="R51" i="7"/>
  <c r="X48" i="7"/>
  <c r="AA48" i="7" s="1"/>
  <c r="AA15" i="7"/>
  <c r="AD15" i="7" s="1"/>
  <c r="AG15" i="7" s="1"/>
  <c r="U23" i="7"/>
  <c r="G23" i="7" s="1"/>
  <c r="U41" i="7"/>
  <c r="U43" i="7"/>
  <c r="U49" i="7"/>
  <c r="R60" i="7"/>
  <c r="G62" i="7"/>
  <c r="X62" i="7"/>
  <c r="AA62" i="7" s="1"/>
  <c r="X10" i="7"/>
  <c r="AA10" i="7" s="1"/>
  <c r="AD10" i="7" s="1"/>
  <c r="U9" i="7"/>
  <c r="X9" i="7" s="1"/>
  <c r="AA9" i="7" s="1"/>
  <c r="R34" i="7"/>
  <c r="R40" i="7"/>
  <c r="U50" i="7"/>
  <c r="X50" i="7" s="1"/>
  <c r="U52" i="7"/>
  <c r="X53" i="7"/>
  <c r="U56" i="7"/>
  <c r="X57" i="7"/>
  <c r="AA8" i="7"/>
  <c r="AA24" i="7"/>
  <c r="R6" i="7"/>
  <c r="R17" i="7"/>
  <c r="X19" i="7"/>
  <c r="U26" i="7"/>
  <c r="X27" i="7"/>
  <c r="R32" i="7"/>
  <c r="AA33" i="7"/>
  <c r="R42" i="7"/>
  <c r="X54" i="7"/>
  <c r="X58" i="7"/>
  <c r="U20" i="7"/>
  <c r="U25" i="7"/>
  <c r="R63" i="7"/>
  <c r="U63" i="7" s="1"/>
  <c r="X63" i="7" s="1"/>
  <c r="AA63" i="7" s="1"/>
  <c r="X23" i="7" l="1"/>
  <c r="AA23" i="7" s="1"/>
  <c r="AJ21" i="7"/>
  <c r="AA16" i="7"/>
  <c r="AD16" i="7" s="1"/>
  <c r="AG16" i="7" s="1"/>
  <c r="AJ16" i="7" s="1"/>
  <c r="AM16" i="7" s="1"/>
  <c r="AP16" i="7" s="1"/>
  <c r="AS16" i="7" s="1"/>
  <c r="AV16" i="7" s="1"/>
  <c r="AY16" i="7" s="1"/>
  <c r="X11" i="7"/>
  <c r="AA11" i="7" s="1"/>
  <c r="G13" i="7"/>
  <c r="X13" i="7"/>
  <c r="AA13" i="7" s="1"/>
  <c r="G30" i="7"/>
  <c r="X30" i="7"/>
  <c r="AA30" i="7" s="1"/>
  <c r="G7" i="7"/>
  <c r="X7" i="7"/>
  <c r="AA7" i="7" s="1"/>
  <c r="AD47" i="7"/>
  <c r="AG47" i="7" s="1"/>
  <c r="AJ47" i="7" s="1"/>
  <c r="X61" i="7"/>
  <c r="U45" i="7"/>
  <c r="AD62" i="7"/>
  <c r="AG62" i="7" s="1"/>
  <c r="G25" i="7"/>
  <c r="X25" i="7"/>
  <c r="G20" i="7"/>
  <c r="X20" i="7"/>
  <c r="U32" i="7"/>
  <c r="G32" i="7" s="1"/>
  <c r="G56" i="7"/>
  <c r="G50" i="7"/>
  <c r="U34" i="7"/>
  <c r="G9" i="7"/>
  <c r="AD9" i="7"/>
  <c r="G49" i="7"/>
  <c r="X49" i="7"/>
  <c r="G41" i="7"/>
  <c r="X41" i="7"/>
  <c r="AA41" i="7" s="1"/>
  <c r="G18" i="7"/>
  <c r="AD48" i="7"/>
  <c r="AG48" i="7" s="1"/>
  <c r="U44" i="7"/>
  <c r="U38" i="7"/>
  <c r="X38" i="7" s="1"/>
  <c r="G31" i="7"/>
  <c r="X31" i="7"/>
  <c r="U28" i="7"/>
  <c r="AD8" i="7"/>
  <c r="AG8" i="7" s="1"/>
  <c r="AA50" i="7"/>
  <c r="AD50" i="7" s="1"/>
  <c r="U6" i="7"/>
  <c r="G6" i="7" s="1"/>
  <c r="X22" i="7"/>
  <c r="AA22" i="7" s="1"/>
  <c r="AD13" i="7"/>
  <c r="AG13" i="7" s="1"/>
  <c r="AJ13" i="7" s="1"/>
  <c r="AG5" i="7"/>
  <c r="AA20" i="7"/>
  <c r="AA57" i="7"/>
  <c r="AD57" i="7" s="1"/>
  <c r="AA53" i="7"/>
  <c r="AD53" i="7" s="1"/>
  <c r="AA58" i="7"/>
  <c r="AA54" i="7"/>
  <c r="AG37" i="7"/>
  <c r="X34" i="7"/>
  <c r="X18" i="7"/>
  <c r="AG10" i="7"/>
  <c r="AJ10" i="7" s="1"/>
  <c r="AJ46" i="7"/>
  <c r="AM46" i="7" s="1"/>
  <c r="AP46" i="7" s="1"/>
  <c r="U42" i="7"/>
  <c r="G35" i="7"/>
  <c r="X35" i="7"/>
  <c r="AA35" i="7" s="1"/>
  <c r="G26" i="7"/>
  <c r="X26" i="7"/>
  <c r="G52" i="7"/>
  <c r="U40" i="7"/>
  <c r="X40" i="7" s="1"/>
  <c r="G29" i="7"/>
  <c r="X29" i="7"/>
  <c r="AA29" i="7" s="1"/>
  <c r="U60" i="7"/>
  <c r="X60" i="7" s="1"/>
  <c r="G43" i="7"/>
  <c r="X43" i="7"/>
  <c r="G39" i="7"/>
  <c r="X39" i="7"/>
  <c r="AA39" i="7" s="1"/>
  <c r="U51" i="7"/>
  <c r="U36" i="7"/>
  <c r="G10" i="7"/>
  <c r="G12" i="7"/>
  <c r="X12" i="7"/>
  <c r="AD33" i="7"/>
  <c r="AD24" i="7"/>
  <c r="AD14" i="7"/>
  <c r="AG14" i="7" s="1"/>
  <c r="AD23" i="7"/>
  <c r="AA25" i="7"/>
  <c r="X56" i="7"/>
  <c r="X52" i="7"/>
  <c r="AD59" i="7"/>
  <c r="AD55" i="7"/>
  <c r="AA19" i="7"/>
  <c r="AD19" i="7" s="1"/>
  <c r="U17" i="7"/>
  <c r="G17" i="7" s="1"/>
  <c r="AA27" i="7"/>
  <c r="AJ15" i="7"/>
  <c r="AD63" i="7"/>
  <c r="AM21" i="7" l="1"/>
  <c r="AP21" i="7" s="1"/>
  <c r="AS21" i="7" s="1"/>
  <c r="AV21" i="7" s="1"/>
  <c r="AY21" i="7" s="1"/>
  <c r="CE16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D7" i="7"/>
  <c r="AG7" i="7" s="1"/>
  <c r="AJ7" i="7" s="1"/>
  <c r="AD30" i="7"/>
  <c r="AG30" i="7" s="1"/>
  <c r="AA61" i="7"/>
  <c r="AD61" i="7" s="1"/>
  <c r="X45" i="7"/>
  <c r="X32" i="7"/>
  <c r="AA32" i="7" s="1"/>
  <c r="AA45" i="7"/>
  <c r="AS46" i="7"/>
  <c r="AV46" i="7" s="1"/>
  <c r="AY46" i="7" s="1"/>
  <c r="AJ14" i="7"/>
  <c r="AA12" i="7"/>
  <c r="G36" i="7"/>
  <c r="G51" i="7"/>
  <c r="G60" i="7"/>
  <c r="G42" i="7"/>
  <c r="AG53" i="7"/>
  <c r="AD22" i="7"/>
  <c r="AJ8" i="7"/>
  <c r="G28" i="7"/>
  <c r="G38" i="7"/>
  <c r="AA38" i="7"/>
  <c r="AD38" i="7" s="1"/>
  <c r="AG38" i="7" s="1"/>
  <c r="AJ48" i="7"/>
  <c r="AD41" i="7"/>
  <c r="AG41" i="7" s="1"/>
  <c r="AJ41" i="7" s="1"/>
  <c r="AA49" i="7"/>
  <c r="AD49" i="7" s="1"/>
  <c r="AD35" i="7"/>
  <c r="X36" i="7"/>
  <c r="AM7" i="7"/>
  <c r="AA26" i="7"/>
  <c r="AJ30" i="7"/>
  <c r="AG23" i="7"/>
  <c r="AG24" i="7"/>
  <c r="AD26" i="7"/>
  <c r="AD27" i="7"/>
  <c r="AG27" i="7" s="1"/>
  <c r="AJ27" i="7" s="1"/>
  <c r="AG33" i="7"/>
  <c r="X42" i="7"/>
  <c r="X28" i="7"/>
  <c r="X44" i="7"/>
  <c r="AA44" i="7" s="1"/>
  <c r="AD44" i="7" s="1"/>
  <c r="AG9" i="7"/>
  <c r="AG50" i="7"/>
  <c r="AJ53" i="7"/>
  <c r="X6" i="7"/>
  <c r="AA6" i="7" s="1"/>
  <c r="AG19" i="7"/>
  <c r="AD54" i="7"/>
  <c r="AG54" i="7" s="1"/>
  <c r="AG55" i="7"/>
  <c r="AD20" i="7"/>
  <c r="AJ37" i="7"/>
  <c r="AJ62" i="7"/>
  <c r="AD39" i="7"/>
  <c r="AD29" i="7"/>
  <c r="G40" i="7"/>
  <c r="AA40" i="7"/>
  <c r="AD40" i="7" s="1"/>
  <c r="AA18" i="7"/>
  <c r="AG57" i="7"/>
  <c r="AJ57" i="7" s="1"/>
  <c r="AJ5" i="7"/>
  <c r="G44" i="7"/>
  <c r="G34" i="7"/>
  <c r="AA34" i="7"/>
  <c r="AD34" i="7" s="1"/>
  <c r="AG34" i="7" s="1"/>
  <c r="AD25" i="7"/>
  <c r="AG25" i="7" s="1"/>
  <c r="AM13" i="7"/>
  <c r="X51" i="7"/>
  <c r="AA60" i="7"/>
  <c r="AM10" i="7"/>
  <c r="AP10" i="7" s="1"/>
  <c r="AD11" i="7"/>
  <c r="AA52" i="7"/>
  <c r="AA56" i="7"/>
  <c r="AM15" i="7"/>
  <c r="AM47" i="7"/>
  <c r="AA42" i="7"/>
  <c r="AD42" i="7" s="1"/>
  <c r="AA31" i="7"/>
  <c r="AD18" i="7"/>
  <c r="X17" i="7"/>
  <c r="AJ55" i="7"/>
  <c r="AM55" i="7" s="1"/>
  <c r="AP55" i="7" s="1"/>
  <c r="AS55" i="7" s="1"/>
  <c r="AV55" i="7" s="1"/>
  <c r="AY55" i="7" s="1"/>
  <c r="AD58" i="7"/>
  <c r="AG59" i="7"/>
  <c r="AA43" i="7"/>
  <c r="AG63" i="7"/>
  <c r="BB21" i="7" l="1"/>
  <c r="BE21" i="7" s="1"/>
  <c r="BH21" i="7" s="1"/>
  <c r="BK21" i="7" s="1"/>
  <c r="BN21" i="7" s="1"/>
  <c r="BQ21" i="7" s="1"/>
  <c r="BT21" i="7" s="1"/>
  <c r="BW21" i="7" s="1"/>
  <c r="BZ21" i="7" s="1"/>
  <c r="CC21" i="7" s="1"/>
  <c r="CE21" i="7"/>
  <c r="AG61" i="7"/>
  <c r="AJ61" i="7" s="1"/>
  <c r="AD45" i="7"/>
  <c r="AG45" i="7"/>
  <c r="AJ45" i="7" s="1"/>
  <c r="AS10" i="7"/>
  <c r="AV10" i="7" s="1"/>
  <c r="AY10" i="7" s="1"/>
  <c r="AJ34" i="7"/>
  <c r="AM41" i="7"/>
  <c r="AM57" i="7"/>
  <c r="AP57" i="7" s="1"/>
  <c r="AS57" i="7" s="1"/>
  <c r="AV57" i="7" s="1"/>
  <c r="AY57" i="7" s="1"/>
  <c r="BB55" i="7"/>
  <c r="BE55" i="7" s="1"/>
  <c r="BH55" i="7" s="1"/>
  <c r="CE55" i="7"/>
  <c r="AP41" i="7"/>
  <c r="AS41" i="7" s="1"/>
  <c r="AV41" i="7" s="1"/>
  <c r="AY41" i="7" s="1"/>
  <c r="CE46" i="7"/>
  <c r="BE46" i="7"/>
  <c r="BB46" i="7"/>
  <c r="BW46" i="7"/>
  <c r="BZ46" i="7" s="1"/>
  <c r="CC46" i="7"/>
  <c r="AP47" i="7"/>
  <c r="AS47" i="7" s="1"/>
  <c r="AV47" i="7" s="1"/>
  <c r="AY47" i="7" s="1"/>
  <c r="AG18" i="7"/>
  <c r="AJ18" i="7" s="1"/>
  <c r="AM37" i="7"/>
  <c r="AP37" i="7" s="1"/>
  <c r="AJ50" i="7"/>
  <c r="AM50" i="7" s="1"/>
  <c r="AP50" i="7" s="1"/>
  <c r="AS50" i="7" s="1"/>
  <c r="AV50" i="7" s="1"/>
  <c r="AY50" i="7" s="1"/>
  <c r="CE50" i="7" s="1"/>
  <c r="AJ9" i="7"/>
  <c r="AM9" i="7" s="1"/>
  <c r="AP9" i="7" s="1"/>
  <c r="AS9" i="7" s="1"/>
  <c r="AV9" i="7" s="1"/>
  <c r="AY9" i="7" s="1"/>
  <c r="CE9" i="7" s="1"/>
  <c r="AJ33" i="7"/>
  <c r="AM33" i="7" s="1"/>
  <c r="AP33" i="7" s="1"/>
  <c r="AS33" i="7" s="1"/>
  <c r="AV33" i="7" s="1"/>
  <c r="AY33" i="7" s="1"/>
  <c r="AA17" i="7"/>
  <c r="AD17" i="7" s="1"/>
  <c r="AG17" i="7" s="1"/>
  <c r="AJ17" i="7" s="1"/>
  <c r="AM17" i="7" s="1"/>
  <c r="AP17" i="7" s="1"/>
  <c r="AS17" i="7" s="1"/>
  <c r="AP15" i="7"/>
  <c r="AS15" i="7" s="1"/>
  <c r="AV15" i="7" s="1"/>
  <c r="AY15" i="7" s="1"/>
  <c r="CE15" i="7" s="1"/>
  <c r="AD31" i="7"/>
  <c r="AG31" i="7" s="1"/>
  <c r="AJ31" i="7" s="1"/>
  <c r="AM31" i="7" s="1"/>
  <c r="AP31" i="7" s="1"/>
  <c r="AS31" i="7" s="1"/>
  <c r="AV31" i="7" s="1"/>
  <c r="AY31" i="7" s="1"/>
  <c r="AD52" i="7"/>
  <c r="AG52" i="7" s="1"/>
  <c r="AJ52" i="7" s="1"/>
  <c r="AM52" i="7" s="1"/>
  <c r="AP52" i="7" s="1"/>
  <c r="AS52" i="7" s="1"/>
  <c r="AV52" i="7" s="1"/>
  <c r="AY52" i="7" s="1"/>
  <c r="AJ25" i="7"/>
  <c r="AG58" i="7"/>
  <c r="AJ58" i="7" s="1"/>
  <c r="AM58" i="7" s="1"/>
  <c r="AP58" i="7" s="1"/>
  <c r="AS58" i="7" s="1"/>
  <c r="AV58" i="7" s="1"/>
  <c r="AY58" i="7" s="1"/>
  <c r="CC55" i="7"/>
  <c r="AG42" i="7"/>
  <c r="AJ42" i="7" s="1"/>
  <c r="AM42" i="7" s="1"/>
  <c r="AP42" i="7" s="1"/>
  <c r="AG40" i="7"/>
  <c r="AJ19" i="7"/>
  <c r="AD56" i="7"/>
  <c r="AP7" i="7"/>
  <c r="AS7" i="7" s="1"/>
  <c r="AV7" i="7" s="1"/>
  <c r="AY7" i="7" s="1"/>
  <c r="CE7" i="7" s="1"/>
  <c r="AD32" i="7"/>
  <c r="AM62" i="7"/>
  <c r="AG20" i="7"/>
  <c r="AJ54" i="7"/>
  <c r="AM54" i="7" s="1"/>
  <c r="AP54" i="7" s="1"/>
  <c r="AS54" i="7" s="1"/>
  <c r="AV54" i="7" s="1"/>
  <c r="AY54" i="7" s="1"/>
  <c r="AD6" i="7"/>
  <c r="AG6" i="7" s="1"/>
  <c r="AJ6" i="7" s="1"/>
  <c r="AM6" i="7" s="1"/>
  <c r="AP6" i="7" s="1"/>
  <c r="AS6" i="7" s="1"/>
  <c r="AV6" i="7" s="1"/>
  <c r="AY6" i="7" s="1"/>
  <c r="AM30" i="7"/>
  <c r="AP30" i="7" s="1"/>
  <c r="AG35" i="7"/>
  <c r="AG49" i="7"/>
  <c r="AM48" i="7"/>
  <c r="AM8" i="7"/>
  <c r="AP8" i="7" s="1"/>
  <c r="AS8" i="7" s="1"/>
  <c r="AV8" i="7" s="1"/>
  <c r="AY8" i="7" s="1"/>
  <c r="AG22" i="7"/>
  <c r="AJ22" i="7" s="1"/>
  <c r="AM22" i="7" s="1"/>
  <c r="AP22" i="7" s="1"/>
  <c r="AS22" i="7" s="1"/>
  <c r="AV22" i="7" s="1"/>
  <c r="AY22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M5" i="7"/>
  <c r="AD43" i="7"/>
  <c r="AG43" i="7" s="1"/>
  <c r="AJ43" i="7" s="1"/>
  <c r="AM43" i="7" s="1"/>
  <c r="AP43" i="7" s="1"/>
  <c r="AS43" i="7" s="1"/>
  <c r="AG39" i="7"/>
  <c r="AJ39" i="7" s="1"/>
  <c r="AM39" i="7" s="1"/>
  <c r="AP39" i="7" s="1"/>
  <c r="AJ59" i="7"/>
  <c r="AM59" i="7" s="1"/>
  <c r="AP59" i="7" s="1"/>
  <c r="AS59" i="7" s="1"/>
  <c r="AV59" i="7" s="1"/>
  <c r="AY59" i="7" s="1"/>
  <c r="CE59" i="7" s="1"/>
  <c r="BK55" i="7"/>
  <c r="BN55" i="7" s="1"/>
  <c r="BQ55" i="7" s="1"/>
  <c r="BT55" i="7" s="1"/>
  <c r="BW55" i="7" s="1"/>
  <c r="BZ55" i="7" s="1"/>
  <c r="AG56" i="7"/>
  <c r="AJ56" i="7" s="1"/>
  <c r="AM56" i="7" s="1"/>
  <c r="AP56" i="7" s="1"/>
  <c r="AS56" i="7" s="1"/>
  <c r="AV56" i="7" s="1"/>
  <c r="AY56" i="7" s="1"/>
  <c r="CE56" i="7" s="1"/>
  <c r="AG44" i="7"/>
  <c r="AJ23" i="7"/>
  <c r="AM27" i="7"/>
  <c r="AP27" i="7" s="1"/>
  <c r="AS27" i="7" s="1"/>
  <c r="AG29" i="7"/>
  <c r="AJ38" i="7"/>
  <c r="AA28" i="7"/>
  <c r="AM53" i="7"/>
  <c r="BH46" i="7"/>
  <c r="BK46" i="7" s="1"/>
  <c r="BN46" i="7" s="1"/>
  <c r="BQ46" i="7" s="1"/>
  <c r="BT46" i="7" s="1"/>
  <c r="AG26" i="7"/>
  <c r="AJ26" i="7" s="1"/>
  <c r="AM26" i="7" s="1"/>
  <c r="AP26" i="7" s="1"/>
  <c r="AS26" i="7" s="1"/>
  <c r="AD60" i="7"/>
  <c r="AA51" i="7"/>
  <c r="AA36" i="7"/>
  <c r="AD36" i="7" s="1"/>
  <c r="AD12" i="7"/>
  <c r="AJ24" i="7"/>
  <c r="AM24" i="7" s="1"/>
  <c r="AP24" i="7" s="1"/>
  <c r="AS24" i="7" s="1"/>
  <c r="AV24" i="7" s="1"/>
  <c r="AY24" i="7" s="1"/>
  <c r="AP13" i="7"/>
  <c r="AS13" i="7" s="1"/>
  <c r="AV13" i="7" s="1"/>
  <c r="AY13" i="7" s="1"/>
  <c r="AJ63" i="7"/>
  <c r="AV27" i="7" l="1"/>
  <c r="AM61" i="7"/>
  <c r="AP61" i="7" s="1"/>
  <c r="AS61" i="7" s="1"/>
  <c r="AV61" i="7" s="1"/>
  <c r="AY61" i="7" s="1"/>
  <c r="CE61" i="7" s="1"/>
  <c r="BT15" i="7"/>
  <c r="BW15" i="7" s="1"/>
  <c r="BZ15" i="7" s="1"/>
  <c r="CC15" i="7" s="1"/>
  <c r="BN15" i="7"/>
  <c r="BQ15" i="7" s="1"/>
  <c r="AM45" i="7"/>
  <c r="AP45" i="7" s="1"/>
  <c r="AM34" i="7"/>
  <c r="BB15" i="7"/>
  <c r="BE15" i="7" s="1"/>
  <c r="BH15" i="7" s="1"/>
  <c r="BK15" i="7" s="1"/>
  <c r="BB10" i="7"/>
  <c r="BE10" i="7"/>
  <c r="BH10" i="7" s="1"/>
  <c r="CC10" i="7"/>
  <c r="AV17" i="7"/>
  <c r="AY17" i="7" s="1"/>
  <c r="CE10" i="7"/>
  <c r="BK10" i="7"/>
  <c r="BN10" i="7" s="1"/>
  <c r="BQ10" i="7" s="1"/>
  <c r="BT10" i="7" s="1"/>
  <c r="BW10" i="7" s="1"/>
  <c r="BZ10" i="7" s="1"/>
  <c r="AS37" i="7"/>
  <c r="AV37" i="7" s="1"/>
  <c r="AY37" i="7" s="1"/>
  <c r="AS30" i="7"/>
  <c r="AV30" i="7" s="1"/>
  <c r="AY30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2" i="7"/>
  <c r="BB22" i="7"/>
  <c r="BE22" i="7" s="1"/>
  <c r="BH22" i="7" s="1"/>
  <c r="BK22" i="7" s="1"/>
  <c r="CE8" i="7"/>
  <c r="BB8" i="7"/>
  <c r="BE8" i="7" s="1"/>
  <c r="BH8" i="7" s="1"/>
  <c r="BK8" i="7" s="1"/>
  <c r="BN8" i="7" s="1"/>
  <c r="BQ8" i="7" s="1"/>
  <c r="CE54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31" i="7"/>
  <c r="BE31" i="7" s="1"/>
  <c r="BH31" i="7" s="1"/>
  <c r="BK31" i="7" s="1"/>
  <c r="BN31" i="7" s="1"/>
  <c r="BQ31" i="7" s="1"/>
  <c r="CE31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CE41" i="7"/>
  <c r="CC9" i="7"/>
  <c r="AP62" i="7"/>
  <c r="AS62" i="7" s="1"/>
  <c r="AG32" i="7"/>
  <c r="AJ32" i="7" s="1"/>
  <c r="AM32" i="7" s="1"/>
  <c r="AP32" i="7" s="1"/>
  <c r="AM19" i="7"/>
  <c r="AP19" i="7" s="1"/>
  <c r="AS19" i="7" s="1"/>
  <c r="AV19" i="7" s="1"/>
  <c r="AY19" i="7" s="1"/>
  <c r="CE19" i="7" s="1"/>
  <c r="AM25" i="7"/>
  <c r="AP25" i="7" s="1"/>
  <c r="AS25" i="7" s="1"/>
  <c r="AV25" i="7" s="1"/>
  <c r="AY25" i="7" s="1"/>
  <c r="BZ50" i="7"/>
  <c r="CC50" i="7" s="1"/>
  <c r="BB50" i="7"/>
  <c r="BE50" i="7" s="1"/>
  <c r="BH50" i="7" s="1"/>
  <c r="BK50" i="7" s="1"/>
  <c r="BN50" i="7" s="1"/>
  <c r="BQ50" i="7" s="1"/>
  <c r="BT50" i="7" s="1"/>
  <c r="BW50" i="7" s="1"/>
  <c r="BT14" i="7"/>
  <c r="BW14" i="7" s="1"/>
  <c r="BZ14" i="7" s="1"/>
  <c r="CC14" i="7" s="1"/>
  <c r="AV26" i="7"/>
  <c r="AY26" i="7" s="1"/>
  <c r="AY27" i="7"/>
  <c r="BN27" i="7" s="1"/>
  <c r="BQ27" i="7" s="1"/>
  <c r="BT27" i="7" s="1"/>
  <c r="BW27" i="7" s="1"/>
  <c r="BZ27" i="7" s="1"/>
  <c r="CC27" i="7" s="1"/>
  <c r="AV43" i="7"/>
  <c r="AY43" i="7" s="1"/>
  <c r="AJ40" i="7"/>
  <c r="AM40" i="7" s="1"/>
  <c r="AP40" i="7" s="1"/>
  <c r="AS40" i="7" s="1"/>
  <c r="AV40" i="7" s="1"/>
  <c r="AY40" i="7" s="1"/>
  <c r="CE40" i="7" s="1"/>
  <c r="BB9" i="7"/>
  <c r="BE9" i="7" s="1"/>
  <c r="BH9" i="7" s="1"/>
  <c r="BK9" i="7" s="1"/>
  <c r="BN9" i="7" s="1"/>
  <c r="BQ9" i="7" s="1"/>
  <c r="BT9" i="7" s="1"/>
  <c r="BW9" i="7" s="1"/>
  <c r="BZ9" i="7" s="1"/>
  <c r="BT31" i="7"/>
  <c r="BW31" i="7" s="1"/>
  <c r="BZ31" i="7" s="1"/>
  <c r="CC31" i="7" s="1"/>
  <c r="AG12" i="7"/>
  <c r="AJ12" i="7" s="1"/>
  <c r="AM12" i="7" s="1"/>
  <c r="AP12" i="7" s="1"/>
  <c r="AS12" i="7" s="1"/>
  <c r="AG36" i="7"/>
  <c r="AJ36" i="7" s="1"/>
  <c r="AM36" i="7" s="1"/>
  <c r="AP36" i="7" s="1"/>
  <c r="AG60" i="7"/>
  <c r="AJ29" i="7"/>
  <c r="AM29" i="7" s="1"/>
  <c r="AP29" i="7" s="1"/>
  <c r="AS29" i="7" s="1"/>
  <c r="AV29" i="7" s="1"/>
  <c r="AY29" i="7" s="1"/>
  <c r="AJ44" i="7"/>
  <c r="AM44" i="7" s="1"/>
  <c r="AP44" i="7" s="1"/>
  <c r="AS44" i="7" s="1"/>
  <c r="AS39" i="7"/>
  <c r="AV39" i="7" s="1"/>
  <c r="AY39" i="7" s="1"/>
  <c r="BZ8" i="7"/>
  <c r="CC8" i="7" s="1"/>
  <c r="BT8" i="7"/>
  <c r="BW8" i="7" s="1"/>
  <c r="AJ35" i="7"/>
  <c r="AM35" i="7" s="1"/>
  <c r="AP35" i="7" s="1"/>
  <c r="AS35" i="7" s="1"/>
  <c r="AV35" i="7" s="1"/>
  <c r="AY35" i="7" s="1"/>
  <c r="AJ20" i="7"/>
  <c r="AM20" i="7" s="1"/>
  <c r="AP20" i="7" s="1"/>
  <c r="AS20" i="7" s="1"/>
  <c r="AV20" i="7" s="1"/>
  <c r="AY20" i="7" s="1"/>
  <c r="AD51" i="7"/>
  <c r="AG51" i="7" s="1"/>
  <c r="AJ51" i="7" s="1"/>
  <c r="AM51" i="7" s="1"/>
  <c r="AP51" i="7" s="1"/>
  <c r="AS51" i="7" s="1"/>
  <c r="AV51" i="7" s="1"/>
  <c r="AY51" i="7" s="1"/>
  <c r="BB61" i="7"/>
  <c r="BE61" i="7" s="1"/>
  <c r="BH61" i="7" s="1"/>
  <c r="AP53" i="7"/>
  <c r="AS53" i="7" s="1"/>
  <c r="AV53" i="7" s="1"/>
  <c r="AY53" i="7" s="1"/>
  <c r="AD28" i="7"/>
  <c r="AG28" i="7" s="1"/>
  <c r="AJ28" i="7" s="1"/>
  <c r="AM28" i="7" s="1"/>
  <c r="AP28" i="7" s="1"/>
  <c r="AS28" i="7" s="1"/>
  <c r="AV28" i="7" s="1"/>
  <c r="AY28" i="7" s="1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BN22" i="7"/>
  <c r="BQ22" i="7" s="1"/>
  <c r="BT22" i="7" s="1"/>
  <c r="BW22" i="7" s="1"/>
  <c r="BZ22" i="7" s="1"/>
  <c r="CC22" i="7" s="1"/>
  <c r="AM38" i="7"/>
  <c r="AP38" i="7" s="1"/>
  <c r="AS38" i="7" s="1"/>
  <c r="AV38" i="7" s="1"/>
  <c r="AY38" i="7" s="1"/>
  <c r="AP48" i="7"/>
  <c r="AS48" i="7" s="1"/>
  <c r="AV48" i="7" s="1"/>
  <c r="AY48" i="7" s="1"/>
  <c r="CE48" i="7" s="1"/>
  <c r="AJ49" i="7"/>
  <c r="AS42" i="7"/>
  <c r="AV42" i="7" s="1"/>
  <c r="AY42" i="7" s="1"/>
  <c r="CE42" i="7" s="1"/>
  <c r="BH43" i="7"/>
  <c r="BK43" i="7" s="1"/>
  <c r="BN43" i="7" s="1"/>
  <c r="BQ43" i="7" s="1"/>
  <c r="BT43" i="7" s="1"/>
  <c r="BW43" i="7"/>
  <c r="BZ43" i="7" s="1"/>
  <c r="CC43" i="7" s="1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AM18" i="7"/>
  <c r="AP18" i="7" s="1"/>
  <c r="AS18" i="7" s="1"/>
  <c r="AV18" i="7" s="1"/>
  <c r="AY18" i="7" s="1"/>
  <c r="AP5" i="7"/>
  <c r="AS5" i="7" s="1"/>
  <c r="AV5" i="7" s="1"/>
  <c r="AY5" i="7" s="1"/>
  <c r="CE5" i="7" s="1"/>
  <c r="BK61" i="7"/>
  <c r="BN61" i="7" s="1"/>
  <c r="BQ61" i="7" s="1"/>
  <c r="BT61" i="7" s="1"/>
  <c r="BW61" i="7" s="1"/>
  <c r="BZ61" i="7" s="1"/>
  <c r="CC61" i="7" s="1"/>
  <c r="AM23" i="7"/>
  <c r="AP23" i="7" s="1"/>
  <c r="AS23" i="7" s="1"/>
  <c r="AV23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3" i="7"/>
  <c r="CE30" i="7" l="1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AP34" i="7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AS45" i="7"/>
  <c r="CE37" i="7"/>
  <c r="BB48" i="7"/>
  <c r="BE48" i="7" s="1"/>
  <c r="BH48" i="7" s="1"/>
  <c r="BK48" i="7" s="1"/>
  <c r="BN48" i="7" s="1"/>
  <c r="BQ48" i="7" s="1"/>
  <c r="BZ48" i="7"/>
  <c r="CC48" i="7" s="1"/>
  <c r="BT48" i="7"/>
  <c r="BW48" i="7" s="1"/>
  <c r="AV12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AV62" i="7"/>
  <c r="CE17" i="7"/>
  <c r="BN39" i="7"/>
  <c r="BQ39" i="7" s="1"/>
  <c r="BT39" i="7" s="1"/>
  <c r="BW39" i="7" s="1"/>
  <c r="BZ39" i="7" s="1"/>
  <c r="CC39" i="7" s="1"/>
  <c r="BE39" i="7"/>
  <c r="BH39" i="7" s="1"/>
  <c r="BK39" i="7" s="1"/>
  <c r="AV44" i="7"/>
  <c r="AY44" i="7" s="1"/>
  <c r="AS36" i="7"/>
  <c r="AV36" i="7" s="1"/>
  <c r="BN42" i="7"/>
  <c r="BQ42" i="7" s="1"/>
  <c r="BT42" i="7" s="1"/>
  <c r="BW42" i="7" s="1"/>
  <c r="BZ42" i="7" s="1"/>
  <c r="CC42" i="7" s="1"/>
  <c r="BQ25" i="7"/>
  <c r="BT25" i="7" s="1"/>
  <c r="BW25" i="7" s="1"/>
  <c r="BZ25" i="7" s="1"/>
  <c r="CC25" i="7" s="1"/>
  <c r="BB19" i="7"/>
  <c r="BE19" i="7" s="1"/>
  <c r="BH19" i="7" s="1"/>
  <c r="BK19" i="7" s="1"/>
  <c r="BN19" i="7" s="1"/>
  <c r="BQ19" i="7" s="1"/>
  <c r="BT19" i="7" s="1"/>
  <c r="BW19" i="7" s="1"/>
  <c r="BZ19" i="7"/>
  <c r="CC19" i="7" s="1"/>
  <c r="AS32" i="7"/>
  <c r="AV32" i="7" s="1"/>
  <c r="AY32" i="7" s="1"/>
  <c r="CE18" i="7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20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38" i="7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39" i="7"/>
  <c r="BB39" i="7"/>
  <c r="CE27" i="7"/>
  <c r="BB27" i="7"/>
  <c r="BE27" i="7" s="1"/>
  <c r="BH27" i="7" s="1"/>
  <c r="BK27" i="7" s="1"/>
  <c r="CE25" i="7"/>
  <c r="BB25" i="7"/>
  <c r="BE25" i="7" s="1"/>
  <c r="BH25" i="7" s="1"/>
  <c r="BK25" i="7" s="1"/>
  <c r="BN25" i="7" s="1"/>
  <c r="AY23" i="7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BB42" i="7"/>
  <c r="BE42" i="7" s="1"/>
  <c r="BH42" i="7" s="1"/>
  <c r="BK42" i="7" s="1"/>
  <c r="AJ60" i="7"/>
  <c r="AM60" i="7" s="1"/>
  <c r="AP60" i="7" s="1"/>
  <c r="AS60" i="7" s="1"/>
  <c r="AV60" i="7" s="1"/>
  <c r="AY60" i="7" s="1"/>
  <c r="CE43" i="7"/>
  <c r="BB43" i="7"/>
  <c r="BE43" i="7" s="1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AM49" i="7"/>
  <c r="AP49" i="7" s="1"/>
  <c r="AS49" i="7" s="1"/>
  <c r="AV49" i="7" s="1"/>
  <c r="AY49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3" i="7"/>
  <c r="AS63" i="7" s="1"/>
  <c r="AV63" i="7" s="1"/>
  <c r="CE32" i="7" l="1"/>
  <c r="AY36" i="7"/>
  <c r="CE36" i="7" s="1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CE44" i="7"/>
  <c r="AV45" i="7"/>
  <c r="AY45" i="7" s="1"/>
  <c r="AS34" i="7"/>
  <c r="AY12" i="7"/>
  <c r="BQ12" i="7" s="1"/>
  <c r="BT12" i="7" s="1"/>
  <c r="BW12" i="7" s="1"/>
  <c r="BZ12" i="7" s="1"/>
  <c r="AY62" i="7"/>
  <c r="BB62" i="7" s="1"/>
  <c r="BE62" i="7" s="1"/>
  <c r="CE60" i="7"/>
  <c r="BB60" i="7"/>
  <c r="BE60" i="7" s="1"/>
  <c r="BH60" i="7" s="1"/>
  <c r="BK60" i="7" s="1"/>
  <c r="BN60" i="7" s="1"/>
  <c r="BQ60" i="7" s="1"/>
  <c r="BT60" i="7" s="1"/>
  <c r="BW60" i="7" s="1"/>
  <c r="BZ60" i="7" s="1"/>
  <c r="CC60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G63" i="7"/>
  <c r="AY63" i="7"/>
  <c r="BT63" i="7" s="1"/>
  <c r="BW63" i="7" s="1"/>
  <c r="BZ63" i="7" s="1"/>
  <c r="CC63" i="7" s="1"/>
  <c r="CE45" i="7" l="1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AV34" i="7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BH62" i="7"/>
  <c r="BK62" i="7" s="1"/>
  <c r="CE62" i="7"/>
  <c r="BN62" i="7"/>
  <c r="BQ62" i="7" s="1"/>
  <c r="BT62" i="7" s="1"/>
  <c r="BW62" i="7" s="1"/>
  <c r="BZ62" i="7" s="1"/>
  <c r="CC62" i="7" s="1"/>
  <c r="CE12" i="7"/>
  <c r="BK12" i="7"/>
  <c r="BN12" i="7" s="1"/>
  <c r="BB12" i="7"/>
  <c r="BE12" i="7"/>
  <c r="BH12" i="7" s="1"/>
  <c r="CC12" i="7"/>
  <c r="BB63" i="7"/>
  <c r="BE63" i="7" s="1"/>
  <c r="BH63" i="7" s="1"/>
  <c r="BK63" i="7" s="1"/>
  <c r="BN63" i="7" s="1"/>
  <c r="BQ63" i="7" s="1"/>
  <c r="CE63" i="7"/>
  <c r="B12" i="9"/>
  <c r="B11" i="9"/>
  <c r="B10" i="9"/>
  <c r="B9" i="9"/>
  <c r="B2" i="9"/>
  <c r="B5" i="9"/>
  <c r="B4" i="9"/>
  <c r="B3" i="9"/>
  <c r="AY34" i="7" l="1"/>
  <c r="CE34" i="7" s="1"/>
  <c r="B25" i="9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4" i="7" s="1"/>
  <c r="G1" i="7"/>
  <c r="G25" i="6"/>
  <c r="G24" i="6"/>
  <c r="G23" i="6"/>
  <c r="G22" i="6"/>
  <c r="G21" i="6"/>
  <c r="G20" i="6"/>
  <c r="G19" i="6"/>
  <c r="G18" i="6"/>
  <c r="G16" i="6"/>
  <c r="G15" i="6"/>
  <c r="G14" i="6"/>
  <c r="G13" i="6"/>
  <c r="G12" i="6"/>
  <c r="G11" i="6"/>
  <c r="G10" i="6"/>
  <c r="G9" i="6"/>
  <c r="G8" i="6"/>
  <c r="D2" i="6"/>
  <c r="D3" i="6"/>
  <c r="I6" i="6" s="1"/>
  <c r="J1" i="7"/>
  <c r="M1" i="7" s="1"/>
  <c r="O65" i="7"/>
  <c r="R65" i="7" s="1"/>
  <c r="U65" i="7" s="1"/>
  <c r="X65" i="7" s="1"/>
  <c r="AA65" i="7" s="1"/>
  <c r="AD65" i="7" s="1"/>
  <c r="AG65" i="7" s="1"/>
  <c r="AJ65" i="7" s="1"/>
  <c r="AM65" i="7" s="1"/>
  <c r="AP65" i="7" s="1"/>
  <c r="AS65" i="7" s="1"/>
  <c r="AV65" i="7" s="1"/>
  <c r="AY65" i="7" s="1"/>
  <c r="Y69" i="7"/>
  <c r="AB69" i="7"/>
  <c r="AE69" i="7"/>
  <c r="AH69" i="7"/>
  <c r="AK69" i="7"/>
  <c r="AN69" i="7"/>
  <c r="AQ69" i="7"/>
  <c r="AT69" i="7"/>
  <c r="AW69" i="7"/>
  <c r="J69" i="7"/>
  <c r="A19" i="8"/>
  <c r="CE64" i="7"/>
  <c r="I69" i="7"/>
  <c r="M69" i="7"/>
  <c r="P69" i="7"/>
  <c r="S69" i="7"/>
  <c r="V69" i="7"/>
  <c r="AZ69" i="7"/>
  <c r="BC69" i="7"/>
  <c r="BF69" i="7"/>
  <c r="BI69" i="7"/>
  <c r="BL69" i="7"/>
  <c r="BO69" i="7"/>
  <c r="BR69" i="7"/>
  <c r="BU69" i="7"/>
  <c r="BX69" i="7"/>
  <c r="CA69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G17" i="6"/>
  <c r="AZ1" i="7"/>
  <c r="BC1" i="7" s="1"/>
  <c r="BF1" i="7" s="1"/>
  <c r="BI1" i="7" s="1"/>
  <c r="BL1" i="7" s="1"/>
  <c r="BO1" i="7" s="1"/>
  <c r="BR1" i="7" s="1"/>
  <c r="BU1" i="7" s="1"/>
  <c r="BX1" i="7" s="1"/>
  <c r="CA1" i="7" s="1"/>
  <c r="C14" i="9" l="1"/>
  <c r="C18" i="9"/>
  <c r="C20" i="9"/>
  <c r="C22" i="9"/>
  <c r="C24" i="9"/>
  <c r="C16" i="9"/>
  <c r="C23" i="9"/>
  <c r="C19" i="9"/>
  <c r="C21" i="9"/>
  <c r="C15" i="9"/>
  <c r="C17" i="9"/>
  <c r="C13" i="9"/>
  <c r="C9" i="9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C12" i="9"/>
  <c r="C11" i="9"/>
  <c r="C10" i="9"/>
  <c r="BA69" i="7"/>
  <c r="BD69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9" i="7"/>
  <c r="K69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9" i="7"/>
  <c r="O4" i="7"/>
  <c r="R4" i="7" s="1"/>
  <c r="BJ69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9" i="7"/>
  <c r="F31" i="8"/>
  <c r="W69" i="7"/>
  <c r="T69" i="7"/>
  <c r="F37" i="8"/>
  <c r="F35" i="8"/>
  <c r="U4" i="7"/>
  <c r="F24" i="8"/>
  <c r="F27" i="8" s="1"/>
  <c r="F28" i="8" s="1"/>
  <c r="BM69" i="7"/>
  <c r="Z69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9" i="7"/>
  <c r="G25" i="8"/>
  <c r="AC69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9" i="7"/>
  <c r="AF69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9" i="7"/>
  <c r="AI69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T12" i="6"/>
  <c r="W12" i="6" s="1"/>
  <c r="T15" i="6"/>
  <c r="W15" i="6" s="1"/>
  <c r="T9" i="6"/>
  <c r="W9" i="6" s="1"/>
  <c r="W14" i="6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9" i="7"/>
  <c r="BY69" i="7"/>
  <c r="J27" i="8"/>
  <c r="J28" i="8" s="1"/>
  <c r="J25" i="8"/>
  <c r="AL69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9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9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9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9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36" i="8"/>
  <c r="P35" i="8"/>
  <c r="P33" i="8"/>
  <c r="P24" i="8"/>
  <c r="P27" i="8" s="1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9" i="7"/>
  <c r="R23" i="8"/>
  <c r="R31" i="8"/>
  <c r="R35" i="8"/>
  <c r="R33" i="8"/>
  <c r="R22" i="8"/>
  <c r="R37" i="8"/>
  <c r="R36" i="8"/>
  <c r="P25" i="8"/>
  <c r="P29" i="8" s="1"/>
  <c r="Q23" i="8"/>
  <c r="R24" i="8" s="1"/>
  <c r="Q35" i="8"/>
  <c r="Q36" i="8"/>
  <c r="Q22" i="8"/>
  <c r="Q31" i="8"/>
  <c r="Q37" i="8"/>
  <c r="Q33" i="8"/>
  <c r="P32" i="8"/>
  <c r="I32" i="8" l="1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9" i="7"/>
  <c r="R25" i="8"/>
  <c r="R29" i="8" s="1"/>
  <c r="R27" i="8"/>
  <c r="R28" i="8" s="1"/>
  <c r="R32" i="8"/>
  <c r="Q27" i="8" l="1"/>
  <c r="Q28" i="8" s="1"/>
  <c r="Q25" i="8"/>
  <c r="Q29" i="8" s="1"/>
  <c r="Q32" i="8"/>
  <c r="BH69" i="7"/>
  <c r="BK69" i="7" l="1"/>
  <c r="BN69" i="7" l="1"/>
  <c r="BQ69" i="7" l="1"/>
  <c r="BT69" i="7" l="1"/>
  <c r="BW69" i="7" l="1"/>
  <c r="BZ69" i="7" l="1"/>
  <c r="CC69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<sst xmlns="http://schemas.openxmlformats.org/spreadsheetml/2006/main" count="419" uniqueCount="189">
  <si>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</si>
  <si>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</si>
  <si>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</si>
  <si>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</si>
  <si>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</si>
  <si>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</si>
  <si>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</si>
  <si>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</si>
  <si>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</si>
  <si>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</si>
  <si>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</si>
  <si>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</si>
  <si>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</si>
  <si>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</si>
  <si>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</si>
  <si>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</si>
  <si>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</si>
  <si>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</si>
  <si>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</si>
  <si>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</si>
  <si>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</si>
  <si>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</si>
  <si>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</si>
  <si>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</si>
  <si>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</si>
  <si>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</si>
  <si>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</si>
  <si>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</si>
  <si>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</si>
  <si>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</si>
  <si>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</si>
  <si>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</si>
  <si>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</si>
  <si>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</si>
  <si>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</si>
  <si>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</si>
  <si>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</si>
  <si>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</si>
  <si>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</si>
  <si>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</si>
  <si>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</si>
  <si>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</si>
  <si>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</si>
  <si>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</si>
  <si>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</si>
  <si>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</si>
  <si>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</si>
  <si>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</si>
  <si>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</si>
  <si>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</si>
  <si>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</si>
  <si>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</si>
  <si>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</si>
  <si>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</si>
  <si>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</si>
  <si>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</si>
  <si>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</si>
  <si>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</si>
  <si>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</si>
  <si>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</si>
  <si>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</si>
  <si>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</si>
  <si>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</si>
  <si>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</si>
  <si>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</si>
  <si>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</si>
  <si>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</si>
  <si>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</si>
  <si>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</si>
  <si>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</si>
  <si>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</si>
  <si>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</si>
  <si>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</si>
  <si>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</si>
  <si>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</si>
  <si>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</si>
  <si>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</si>
  <si>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</si>
  <si>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</si>
  <si>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</si>
  <si>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</si>
  <si>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</si>
  <si>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</si>
  <si>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</si>
  <si>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</si>
  <si>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</si>
  <si>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</si>
  <si>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</si>
  <si>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</si>
  <si>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</si>
  <si>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</si>
  <si>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</si>
  <si>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</si>
  <si>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</si>
  <si>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</si>
  <si>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</si>
  <si>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</si>
  <si>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</si>
  <si>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</si>
  <si>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</si>
  <si>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</si>
  <si>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</si>
  <si>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</si>
  <si>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</si>
  <si>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</si>
  <si>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</si>
  <si>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</si>
  <si>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</si>
  <si>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</si>
  <si>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</si>
  <si>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</si>
  <si>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</si>
  <si>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</si>
  <si>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</si>
  <si>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</si>
  <si>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</si>
  <si>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</si>
  <si>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</si>
  <si>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José</t>
  </si>
  <si>
    <t>Guilherme Fay</t>
  </si>
  <si>
    <t>Guilherme Calixto</t>
  </si>
  <si>
    <t>Rafael</t>
  </si>
  <si>
    <t>Renan</t>
  </si>
  <si>
    <t>Henrique</t>
  </si>
  <si>
    <t>Vinicius</t>
  </si>
  <si>
    <t>Build 1.4</t>
  </si>
  <si>
    <t>Teste</t>
  </si>
  <si>
    <t>Implementação</t>
  </si>
  <si>
    <t>Gerencia de projeto</t>
  </si>
  <si>
    <t>Gerencia de Configuração</t>
  </si>
  <si>
    <t>-</t>
  </si>
  <si>
    <t>ID</t>
  </si>
  <si>
    <t>Nome</t>
  </si>
  <si>
    <t>Criar o primeiro nó 0 cujo campo será preechido pelo nome do projeto</t>
  </si>
  <si>
    <t>Criar os filhos do nó 0 que serão os pacotes de trabalho</t>
  </si>
  <si>
    <t>Visualizar todos os campos da EAP criada</t>
  </si>
  <si>
    <t xml:space="preserve">Excluir qualquer nó, com exceção de nó 0 </t>
  </si>
  <si>
    <t>cada nó deve ser de criar novos filhos, formando uma hierarquia</t>
  </si>
  <si>
    <t>criar ultimo nível que será de esforço</t>
  </si>
  <si>
    <t xml:space="preserve">Alterar o conteúdo do campo </t>
  </si>
  <si>
    <t>Regras de Negócio</t>
  </si>
  <si>
    <t>RN1</t>
  </si>
  <si>
    <t>A EAP deve possuir no maximo 5 níveis, sendo o nível 0 o nome do projeto e o ultimo nível e de esforço</t>
  </si>
  <si>
    <t>RN2</t>
  </si>
  <si>
    <t xml:space="preserve">Ao excluir um nó </t>
  </si>
  <si>
    <t>Filipe Barbosa</t>
  </si>
  <si>
    <t>Henrique dos Santos</t>
  </si>
  <si>
    <t>José Guimarães</t>
  </si>
  <si>
    <t>Rafael Costa</t>
  </si>
  <si>
    <t>Renan Oliveira</t>
  </si>
  <si>
    <t>Vinícius Vieira</t>
  </si>
  <si>
    <t>Atividade</t>
  </si>
  <si>
    <t>1.1</t>
  </si>
  <si>
    <t>Elaborar critérios de aceitação</t>
  </si>
  <si>
    <t>Elaborar plano de testes</t>
  </si>
  <si>
    <t>Elaborar relatório de testes</t>
  </si>
  <si>
    <t>Criar branch para paralelizar implementação e testes</t>
  </si>
  <si>
    <t>Implementar funcionalidade para adicionar nó 0 com nome do projeto</t>
  </si>
  <si>
    <t>1.2</t>
  </si>
  <si>
    <t>1.3</t>
  </si>
  <si>
    <t>1.4</t>
  </si>
  <si>
    <t>1.5</t>
  </si>
  <si>
    <t>1</t>
  </si>
  <si>
    <t xml:space="preserve">Product Backlog </t>
  </si>
  <si>
    <t>Elaborar product backlog</t>
  </si>
  <si>
    <t>Elaborar Sprint Backlog</t>
  </si>
  <si>
    <t>1.6</t>
  </si>
  <si>
    <t>1.7</t>
  </si>
  <si>
    <t>1.8</t>
  </si>
  <si>
    <t>Gerar gráfico Burndown</t>
  </si>
  <si>
    <t>Realizar estimativa de produtividade da equipe - planning poker</t>
  </si>
  <si>
    <t>Comparar gráfico burndown com valor agregado</t>
  </si>
  <si>
    <t>1.9</t>
  </si>
  <si>
    <t>1.10</t>
  </si>
  <si>
    <t>2</t>
  </si>
  <si>
    <t>2.1</t>
  </si>
  <si>
    <t>Filipe</t>
  </si>
  <si>
    <t>Implementar funcionalidade para criar os filhos do nó 0</t>
  </si>
  <si>
    <t>2.2</t>
  </si>
  <si>
    <t>2.3</t>
  </si>
  <si>
    <t>2.4</t>
  </si>
  <si>
    <t>3</t>
  </si>
  <si>
    <t>3.1</t>
  </si>
  <si>
    <t>3.2</t>
  </si>
  <si>
    <t>3.3</t>
  </si>
  <si>
    <t>Implementar interface para visualização da EAP</t>
  </si>
  <si>
    <t>3.4</t>
  </si>
  <si>
    <t>2.5</t>
  </si>
  <si>
    <t>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</si>
</sst>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7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3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1" borderId="0" xfId="0" applyFill="1"/>
    <xf numFmtId="0" fontId="46" fillId="0" borderId="63" xfId="0" applyFont="1" applyBorder="1" applyAlignment="1">
      <alignment vertical="center" wrapText="1"/>
    </xf>
    <xf numFmtId="0" fontId="46" fillId="0" borderId="64" xfId="0" applyFont="1" applyBorder="1" applyAlignment="1">
      <alignment vertical="center" wrapText="1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</cellStyles>
  <dxfs count="75"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78784"/>
        <c:axId val="113010368"/>
      </c:areaChart>
      <c:catAx>
        <c:axId val="87478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11301036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1301036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87478784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147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80320"/>
        <c:axId val="113014400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147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480320"/>
        <c:axId val="113014400"/>
      </c:lineChart>
      <c:catAx>
        <c:axId val="87480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11301440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130144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87480320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481344"/>
        <c:axId val="135987776"/>
      </c:barChart>
      <c:catAx>
        <c:axId val="87481344"/>
        <c:scaling>
          <c:orientation val="minMax"/>
        </c:scaling>
        <c:delete val="0"/>
        <c:axPos val="b"/>
        <c:majorTickMark val="out"/>
        <c:minorTickMark val="none"/>
        <c:tickLblPos val="nextTo"/>
        <c:crossAx val="135987776"/>
        <c:crosses val="autoZero"/>
        <c:auto val="1"/>
        <c:lblAlgn val="ctr"/>
        <c:lblOffset val="100"/>
        <c:noMultiLvlLbl val="0"/>
      </c:catAx>
      <c:valAx>
        <c:axId val="1359877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748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Teste</c:v>
                </c:pt>
              </c:strCache>
            </c:strRef>
          </c:tx>
          <c:invertIfNegative val="0"/>
          <c:val>
            <c:numRef>
              <c:f>'Project Specific Reports'!$B$9:$C$9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Implementação</c:v>
                </c:pt>
              </c:strCache>
            </c:strRef>
          </c:tx>
          <c:invertIfNegative val="0"/>
          <c:val>
            <c:numRef>
              <c:f>'Project Specific Reports'!$B$10:$C$10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Gerencia de projeto</c:v>
                </c:pt>
              </c:strCache>
            </c:strRef>
          </c:tx>
          <c:invertIfNegative val="0"/>
          <c:val>
            <c:numRef>
              <c:f>'Project Specific Reports'!$B$11:$C$11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Gerencia de Configuração</c:v>
                </c:pt>
              </c:strCache>
            </c:strRef>
          </c:tx>
          <c:invertIfNegative val="0"/>
          <c:val>
            <c:numRef>
              <c:f>'Project Specific Reports'!$B$12:$C$12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83744"/>
        <c:axId val="135991808"/>
      </c:barChart>
      <c:catAx>
        <c:axId val="90783744"/>
        <c:scaling>
          <c:orientation val="minMax"/>
        </c:scaling>
        <c:delete val="0"/>
        <c:axPos val="b"/>
        <c:majorTickMark val="out"/>
        <c:minorTickMark val="none"/>
        <c:tickLblPos val="nextTo"/>
        <c:crossAx val="135991808"/>
        <c:crosses val="autoZero"/>
        <c:auto val="1"/>
        <c:lblAlgn val="ctr"/>
        <c:lblOffset val="100"/>
        <c:noMultiLvlLbl val="0"/>
      </c:catAx>
      <c:valAx>
        <c:axId val="1359918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0783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59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85280"/>
        <c:axId val="135994112"/>
      </c:barChart>
      <c:catAx>
        <c:axId val="90785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35994112"/>
        <c:crosses val="autoZero"/>
        <c:auto val="1"/>
        <c:lblAlgn val="ctr"/>
        <c:lblOffset val="100"/>
        <c:noMultiLvlLbl val="0"/>
      </c:catAx>
      <c:valAx>
        <c:axId val="1359941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0785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3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I69" sqref="I69"/>
    </sheetView>
  </sheetViews>
  <sheetFormatPr defaultRowHeight="12.75" outlineLevelCol="1" x14ac:dyDescent="0.2"/>
  <cols>
    <col min="1" max="1" width="12.140625" style="6" customWidth="1"/>
    <col min="2" max="2" width="21.7109375" style="6" customWidth="1"/>
    <col min="3" max="3" width="12.140625" style="6" customWidth="1"/>
    <col min="4" max="4" width="6" style="6" customWidth="1"/>
    <col min="5" max="5" width="5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40868</v>
      </c>
      <c r="H1" s="1"/>
      <c r="I1" s="1"/>
      <c r="J1" s="192">
        <f>SprintStart</f>
        <v>40868</v>
      </c>
      <c r="K1" s="192"/>
      <c r="L1" s="192"/>
      <c r="M1" s="192">
        <f>IF(AND(SkipWeekends, WEEKDAY(J1)=6),J1+3, J1+1)</f>
        <v>40869</v>
      </c>
      <c r="N1" s="192"/>
      <c r="O1" s="192"/>
      <c r="P1" s="192">
        <f>IF(AND(SkipWeekends, WEEKDAY(M1)=6),M1+3, M1+1)</f>
        <v>40870</v>
      </c>
      <c r="Q1" s="192"/>
      <c r="R1" s="192"/>
      <c r="S1" s="192">
        <f>IF(AND(SkipWeekends, WEEKDAY(P1)=6),P1+3, P1+1)</f>
        <v>40871</v>
      </c>
      <c r="T1" s="192"/>
      <c r="U1" s="192"/>
      <c r="V1" s="192">
        <f>IF(AND(SkipWeekends, WEEKDAY(S1)=6),S1+3, S1+1)</f>
        <v>40872</v>
      </c>
      <c r="W1" s="192"/>
      <c r="X1" s="192"/>
      <c r="Y1" s="192">
        <f>IF(AND(SkipWeekends, WEEKDAY(V1)=6),V1+3, V1+1)</f>
        <v>40873</v>
      </c>
      <c r="Z1" s="192"/>
      <c r="AA1" s="192"/>
      <c r="AB1" s="192">
        <f>IF(AND(SkipWeekends, WEEKDAY(Y1)=6),Y1+3, Y1+1)</f>
        <v>40874</v>
      </c>
      <c r="AC1" s="192"/>
      <c r="AD1" s="192"/>
      <c r="AE1" s="192">
        <f>IF(AND(SkipWeekends, WEEKDAY(AB1)=6),AB1+3, AB1+1)</f>
        <v>40875</v>
      </c>
      <c r="AF1" s="192"/>
      <c r="AG1" s="192"/>
      <c r="AH1" s="192">
        <f>IF(AND(SkipWeekends, WEEKDAY(AE1)=6),AE1+3, AE1+1)</f>
        <v>40876</v>
      </c>
      <c r="AI1" s="192"/>
      <c r="AJ1" s="192"/>
      <c r="AK1" s="192">
        <f>IF(AND(SkipWeekends, WEEKDAY(AH1)=6),AH1+3, AH1+1)</f>
        <v>40877</v>
      </c>
      <c r="AL1" s="192"/>
      <c r="AM1" s="192"/>
      <c r="AN1" s="192">
        <f>IF(AND(SkipWeekends, WEEKDAY(AK1)=6),AK1+3, AK1+1)</f>
        <v>40878</v>
      </c>
      <c r="AO1" s="192"/>
      <c r="AP1" s="192"/>
      <c r="AQ1" s="192">
        <f>IF(AND(SkipWeekends, WEEKDAY(AN1)=6),AN1+3, AN1+1)</f>
        <v>40879</v>
      </c>
      <c r="AR1" s="192"/>
      <c r="AS1" s="192"/>
      <c r="AT1" s="192">
        <f>IF(AND(SkipWeekends, WEEKDAY(AQ1)=6),AQ1+3, AQ1+1)</f>
        <v>40880</v>
      </c>
      <c r="AU1" s="192"/>
      <c r="AV1" s="192"/>
      <c r="AW1" s="192">
        <f>IF(AND(SkipWeekends, WEEKDAY(AT1)=6),AT1+3, AT1+1)</f>
        <v>40881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105</v>
      </c>
      <c r="B4" s="16" t="s">
        <v>126</v>
      </c>
      <c r="C4" s="16" t="s">
        <v>162</v>
      </c>
      <c r="D4" s="17" t="s">
        <v>152</v>
      </c>
      <c r="E4" s="178" t="s">
        <v>153</v>
      </c>
      <c r="F4" s="18" t="s">
        <v>117</v>
      </c>
      <c r="G4" s="19" t="str">
        <f t="shared" ref="G4:G63" ca="1" si="0">(INDEX(Burndown,ROW(G4)-ROW(G$3),MIN(TODAY()-SprintStart,29)*3+3))</f>
        <v>Complete</v>
      </c>
      <c r="H4" s="20">
        <v>1</v>
      </c>
      <c r="I4" s="21">
        <v>2</v>
      </c>
      <c r="J4" s="22">
        <v>2</v>
      </c>
      <c r="K4" s="22">
        <f t="shared" ref="K4" si="1">MAX(I4-J4, 0)</f>
        <v>0</v>
      </c>
      <c r="L4" s="23" t="str">
        <f>IF(SUMPRODUCT($J$66:K$66,$J4:K4)&lt;0.5, "Pending", IF(K4&lt;0.5, "Complete", "In Progress"))</f>
        <v>Complete</v>
      </c>
      <c r="M4" s="22">
        <v>0</v>
      </c>
      <c r="N4" s="22">
        <f t="shared" ref="N4" si="2">MAX(K4-M4,0)</f>
        <v>0</v>
      </c>
      <c r="O4" s="23" t="str">
        <f>IF(SUMPRODUCT($J$66:N$66,$J4:N4)&lt;0.5, "Pending", IF(N4&lt;0.5, "Complete", "In Progress"))</f>
        <v>Complete</v>
      </c>
      <c r="P4" s="22">
        <v>0</v>
      </c>
      <c r="Q4" s="22">
        <f t="shared" ref="Q4" si="3">MAX(N4-P4,0)</f>
        <v>0</v>
      </c>
      <c r="R4" s="23" t="str">
        <f>IF(SUMPRODUCT($J$66:Q$66,$J4:Q4)&lt;0.5, "Pending", IF(Q4&lt;0.5, "Complete", "In Progress"))</f>
        <v>Complete</v>
      </c>
      <c r="S4" s="22">
        <v>0</v>
      </c>
      <c r="T4" s="22">
        <f t="shared" ref="T4" si="4">MAX(Q4-S4,0)</f>
        <v>0</v>
      </c>
      <c r="U4" s="23" t="str">
        <f>IF(SUMPRODUCT($J$66:T$66,$J4:T4)&lt;0.5,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IF(SUMPRODUCT($J$66:W$66,$J4:W4)&lt;0.5,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IF(SUMPRODUCT($J$66:Z$66,$J4:Z4)&lt;0.5,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IF(SUMPRODUCT($J$66:AC$66,$J4:AC4)&lt;0.5,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IF(SUMPRODUCT($J$66:AF$66,$J4:AF4)&lt;0.5,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IF(SUMPRODUCT($J$66:AI$66,$J4:AI4)&lt;0.5,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IF(SUMPRODUCT($J$66:AL$66,$J4:AL4)&lt;0.5,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IF(SUMPRODUCT($J$66:AO$66,$J4:AO4)&lt;0.5,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IF(SUMPRODUCT($J$66:AR$66,$J4:AR4)&lt;0.5,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IF(SUMPRODUCT($J$66:AU$66,$J4:AU4)&lt;0.5,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IF(SUMPRODUCT($J$66:AX$66,$J4:AX4)&lt;0.5,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IF(SUMPRODUCT($J$66:BA$66,$J4:BA4)&lt;0.5,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IF(SUMPRODUCT($J$66:BD$66,$J4:BD4)&lt;0.5,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IF(SUMPRODUCT($J$66:BG$66,$J4:BG4)&lt;0.5,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IF(SUMPRODUCT($J$66:BJ$66,$J4:BJ4)&lt;0.5,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IF(SUMPRODUCT($J$66:BM$66,$J4:BM4)&lt;0.5,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IF(SUMPRODUCT($J$66:BP$66,$J4:BP4)&lt;0.5,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IF(SUMPRODUCT($J$66:BS$66,$J4:BS4)&lt;0.5,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IF(SUMPRODUCT($J$66:BV$66,$J4:BV4)&lt;0.5,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IF(SUMPRODUCT($J$66:BY$66,$J4:BY4)&lt;0.5,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IF(SUMPRODUCT($J$66:CB$66,$J4:CB4)&lt;0.5, "Pending", IF(CB4&lt;0.5, "Complete", "In Progress"))</f>
        <v>#REF!</v>
      </c>
      <c r="CD4" s="24"/>
      <c r="CE4" s="25">
        <f>SUMPRODUCT($H$66:AY$66,$H4:AY4)</f>
        <v>2</v>
      </c>
    </row>
    <row r="5" spans="1:83" x14ac:dyDescent="0.2">
      <c r="A5" s="16"/>
      <c r="B5" s="16" t="s">
        <v>126</v>
      </c>
      <c r="C5" s="16" t="s">
        <v>162</v>
      </c>
      <c r="D5" s="17" t="s">
        <v>158</v>
      </c>
      <c r="E5" s="178" t="s">
        <v>154</v>
      </c>
      <c r="F5" s="18" t="s">
        <v>117</v>
      </c>
      <c r="G5" s="19" t="str">
        <f t="shared" ca="1" si="0"/>
        <v>Pending</v>
      </c>
      <c r="H5" s="20">
        <v>1</v>
      </c>
      <c r="I5" s="21">
        <v>5</v>
      </c>
      <c r="J5" s="22">
        <v>0</v>
      </c>
      <c r="K5" s="22">
        <f t="shared" ref="K5:K62" si="24">MAX(I5-J5, 0)</f>
        <v>5</v>
      </c>
      <c r="L5" s="23" t="str">
        <f>IF(SUMPRODUCT($J$66:K$66,$J5:K5)&lt;0.5, "Pending", IF(K5&lt;0.5, "Complete", "In Progress"))</f>
        <v>Pending</v>
      </c>
      <c r="M5" s="22">
        <v>0</v>
      </c>
      <c r="N5" s="22">
        <f t="shared" ref="N5:N62" si="25">MAX(K5-M5,0)</f>
        <v>5</v>
      </c>
      <c r="O5" s="23" t="str">
        <f>IF(SUMPRODUCT($J$66:N$66,$J5:N5)&lt;0.5, "Pending", IF(N5&lt;0.5, "Complete", "In Progress"))</f>
        <v>Pending</v>
      </c>
      <c r="P5" s="22">
        <v>0</v>
      </c>
      <c r="Q5" s="22">
        <f t="shared" ref="Q5:Q62" si="26">MAX(N5-P5,0)</f>
        <v>5</v>
      </c>
      <c r="R5" s="23" t="str">
        <f>IF(SUMPRODUCT($J$66:Q$66,$J5:Q5)&lt;0.5, "Pending", IF(Q5&lt;0.5, "Complete", "In Progress"))</f>
        <v>Pending</v>
      </c>
      <c r="S5" s="22">
        <v>0</v>
      </c>
      <c r="T5" s="22">
        <f t="shared" ref="T5:T62" si="27">MAX(Q5-S5,0)</f>
        <v>5</v>
      </c>
      <c r="U5" s="23" t="str">
        <f>IF(SUMPRODUCT($J$66:T$66,$J5:T5)&lt;0.5, "Pending", IF(T5&lt;0.5, "Complete", "In Progress"))</f>
        <v>Pending</v>
      </c>
      <c r="V5" s="22">
        <v>0</v>
      </c>
      <c r="W5" s="22">
        <f t="shared" ref="W5:W62" si="28">MAX(T5-V5,0)</f>
        <v>5</v>
      </c>
      <c r="X5" s="23" t="str">
        <f>IF(SUMPRODUCT($J$66:W$66,$J5:W5)&lt;0.5, "Pending", IF(W5&lt;0.5, "Complete", "In Progress"))</f>
        <v>Pending</v>
      </c>
      <c r="Y5" s="22">
        <v>0</v>
      </c>
      <c r="Z5" s="22">
        <f t="shared" ref="Z5:Z62" si="29">MAX(W5-Y5,0)</f>
        <v>5</v>
      </c>
      <c r="AA5" s="23" t="str">
        <f>IF(SUMPRODUCT($J$66:Z$66,$J5:Z5)&lt;0.5, "Pending", IF(Z5&lt;0.5, "Complete", "In Progress"))</f>
        <v>Pending</v>
      </c>
      <c r="AB5" s="22">
        <v>0</v>
      </c>
      <c r="AC5" s="22">
        <f t="shared" ref="AC5:AC62" si="30">MAX(Z5-AB5,0)</f>
        <v>5</v>
      </c>
      <c r="AD5" s="23" t="str">
        <f>IF(SUMPRODUCT($J$66:AC$66,$J5:AC5)&lt;0.5, "Pending", IF(AC5&lt;0.5, "Complete", "In Progress"))</f>
        <v>Pending</v>
      </c>
      <c r="AE5" s="22">
        <v>0</v>
      </c>
      <c r="AF5" s="22">
        <f t="shared" ref="AF5:AF62" si="31">MAX(AC5-AE5,0)</f>
        <v>5</v>
      </c>
      <c r="AG5" s="23" t="str">
        <f>IF(SUMPRODUCT($J$66:AF$66,$J5:AF5)&lt;0.5, "Pending", IF(AF5&lt;0.5, "Complete", "In Progress"))</f>
        <v>Pending</v>
      </c>
      <c r="AH5" s="22">
        <v>0</v>
      </c>
      <c r="AI5" s="22">
        <f t="shared" ref="AI5:AI62" si="32">MAX(AF5-AH5,0)</f>
        <v>5</v>
      </c>
      <c r="AJ5" s="23" t="str">
        <f>IF(SUMPRODUCT($J$66:AI$66,$J5:AI5)&lt;0.5, "Pending", IF(AI5&lt;0.5, "Complete", "In Progress"))</f>
        <v>Pending</v>
      </c>
      <c r="AK5" s="22">
        <v>0</v>
      </c>
      <c r="AL5" s="22">
        <f t="shared" ref="AL5:AL62" si="33">MAX(AI5-AK5,0)</f>
        <v>5</v>
      </c>
      <c r="AM5" s="23" t="str">
        <f>IF(SUMPRODUCT($J$66:AL$66,$J5:AL5)&lt;0.5, "Pending", IF(AL5&lt;0.5, "Complete", "In Progress"))</f>
        <v>Pending</v>
      </c>
      <c r="AN5" s="22">
        <v>0</v>
      </c>
      <c r="AO5" s="22">
        <f t="shared" ref="AO5:AO62" si="34">MAX(AL5-AN5,0)</f>
        <v>5</v>
      </c>
      <c r="AP5" s="23" t="str">
        <f>IF(SUMPRODUCT($J$66:AO$66,$J5:AO5)&lt;0.5, "Pending", IF(AO5&lt;0.5, "Complete", "In Progress"))</f>
        <v>Pending</v>
      </c>
      <c r="AQ5" s="22">
        <v>0</v>
      </c>
      <c r="AR5" s="22">
        <f t="shared" ref="AR5:AR62" si="35">MAX(AO5-AQ5,0)</f>
        <v>5</v>
      </c>
      <c r="AS5" s="23" t="str">
        <f>IF(SUMPRODUCT($J$66:AR$66,$J5:AR5)&lt;0.5, "Pending", IF(AR5&lt;0.5, "Complete", "In Progress"))</f>
        <v>Pending</v>
      </c>
      <c r="AT5" s="22">
        <v>0</v>
      </c>
      <c r="AU5" s="22">
        <f t="shared" ref="AU5:AU62" si="36">MAX(AR5-AT5,0)</f>
        <v>5</v>
      </c>
      <c r="AV5" s="23" t="str">
        <f>IF(SUMPRODUCT($J$66:AU$66,$J5:AU5)&lt;0.5, "Pending", IF(AU5&lt;0.5, "Complete", "In Progress"))</f>
        <v>Pending</v>
      </c>
      <c r="AW5" s="22">
        <v>0</v>
      </c>
      <c r="AX5" s="22">
        <f t="shared" ref="AX5:AX62" si="37">MAX(AU5-AW5,0)</f>
        <v>5</v>
      </c>
      <c r="AY5" s="23" t="str">
        <f>IF(SUMPRODUCT($J$66:AX$66,$J5:AX5)&lt;0.5,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IF(SUMPRODUCT($J$66:BA$66,$J5:BA5)&lt;0.5, "Pending", IF(BA5&lt;0.5, "Complete", "In Progress"))</f>
        <v>#REF!</v>
      </c>
      <c r="BC5" s="22">
        <v>0</v>
      </c>
      <c r="BD5" s="22" t="e">
        <f t="shared" ref="BD5:BD62" si="38">MAX(BA5-BC5,0)</f>
        <v>#REF!</v>
      </c>
      <c r="BE5" s="23" t="e">
        <f>IF(SUMPRODUCT($J$66:BD$66,$J5:BD5)&lt;0.5, "Pending", IF(BD5&lt;0.5, "Complete", "In Progress"))</f>
        <v>#REF!</v>
      </c>
      <c r="BF5" s="22">
        <v>0</v>
      </c>
      <c r="BG5" s="22" t="e">
        <f t="shared" ref="BG5:BG62" si="39">MAX(BD5-BF5,0)</f>
        <v>#REF!</v>
      </c>
      <c r="BH5" s="23" t="e">
        <f>IF(SUMPRODUCT($J$66:BG$66,$J5:BG5)&lt;0.5, "Pending", IF(BG5&lt;0.5, "Complete", "In Progress"))</f>
        <v>#REF!</v>
      </c>
      <c r="BI5" s="22">
        <v>0</v>
      </c>
      <c r="BJ5" s="22" t="e">
        <f t="shared" ref="BJ5:BJ62" si="40">MAX(BG5-BI5,0)</f>
        <v>#REF!</v>
      </c>
      <c r="BK5" s="23" t="e">
        <f>IF(SUMPRODUCT($J$66:BJ$66,$J5:BJ5)&lt;0.5, "Pending", IF(BJ5&lt;0.5, "Complete", "In Progress"))</f>
        <v>#REF!</v>
      </c>
      <c r="BL5" s="22">
        <v>0</v>
      </c>
      <c r="BM5" s="22" t="e">
        <f t="shared" ref="BM5:BM62" si="41">MAX(BJ5-BL5,0)</f>
        <v>#REF!</v>
      </c>
      <c r="BN5" s="23" t="e">
        <f>IF(SUMPRODUCT($J$66:BM$66,$J5:BM5)&lt;0.5, "Pending", IF(BM5&lt;0.5, "Complete", "In Progress"))</f>
        <v>#REF!</v>
      </c>
      <c r="BO5" s="22">
        <v>0</v>
      </c>
      <c r="BP5" s="22" t="e">
        <f t="shared" ref="BP5:BP62" si="42">MAX(BM5-BO5,0)</f>
        <v>#REF!</v>
      </c>
      <c r="BQ5" s="23" t="e">
        <f>IF(SUMPRODUCT($J$66:BP$66,$J5:BP5)&lt;0.5, "Pending", IF(BP5&lt;0.5, "Complete", "In Progress"))</f>
        <v>#REF!</v>
      </c>
      <c r="BR5" s="22">
        <v>0</v>
      </c>
      <c r="BS5" s="22" t="e">
        <f t="shared" ref="BS5:BS62" si="43">MAX(BP5-BR5,0)</f>
        <v>#REF!</v>
      </c>
      <c r="BT5" s="23" t="e">
        <f>IF(SUMPRODUCT($J$66:BS$66,$J5:BS5)&lt;0.5, "Pending", IF(BS5&lt;0.5, "Complete", "In Progress"))</f>
        <v>#REF!</v>
      </c>
      <c r="BU5" s="22">
        <v>0</v>
      </c>
      <c r="BV5" s="22" t="e">
        <f t="shared" ref="BV5:BV62" si="44">MAX(BS5-BU5,0)</f>
        <v>#REF!</v>
      </c>
      <c r="BW5" s="23" t="e">
        <f>IF(SUMPRODUCT($J$66:BV$66,$J5:BV5)&lt;0.5, "Pending", IF(BV5&lt;0.5, "Complete", "In Progress"))</f>
        <v>#REF!</v>
      </c>
      <c r="BX5" s="22">
        <v>0</v>
      </c>
      <c r="BY5" s="22" t="e">
        <f t="shared" ref="BY5:BY62" si="45">MAX(BV5-BX5,0)</f>
        <v>#REF!</v>
      </c>
      <c r="BZ5" s="23" t="e">
        <f>IF(SUMPRODUCT($J$66:BY$66,$J5:BY5)&lt;0.5, "Pending", IF(BY5&lt;0.5, "Complete", "In Progress"))</f>
        <v>#REF!</v>
      </c>
      <c r="CA5" s="22">
        <v>0</v>
      </c>
      <c r="CB5" s="22" t="e">
        <f t="shared" ref="CB5:CB62" si="46">MAX(BY5-CA5,0)</f>
        <v>#REF!</v>
      </c>
      <c r="CC5" s="23" t="e">
        <f>IF(SUMPRODUCT($J$66:CB$66,$J5:CB5)&lt;0.5, "Pending", IF(CB5&lt;0.5, "Complete", "In Progress"))</f>
        <v>#REF!</v>
      </c>
      <c r="CD5" s="24"/>
      <c r="CE5" s="25">
        <f>SUMPRODUCT($H$66:AY$66,$H5:AY5)</f>
        <v>0</v>
      </c>
    </row>
    <row r="6" spans="1:83" x14ac:dyDescent="0.2">
      <c r="A6" s="16"/>
      <c r="B6" s="16" t="s">
        <v>126</v>
      </c>
      <c r="C6" s="16" t="s">
        <v>162</v>
      </c>
      <c r="D6" s="17" t="s">
        <v>159</v>
      </c>
      <c r="E6" s="178" t="s">
        <v>155</v>
      </c>
      <c r="F6" s="18" t="s">
        <v>117</v>
      </c>
      <c r="G6" s="19" t="str">
        <f t="shared" ca="1" si="0"/>
        <v>Pending</v>
      </c>
      <c r="H6" s="20">
        <v>1</v>
      </c>
      <c r="I6" s="21">
        <v>13</v>
      </c>
      <c r="J6" s="22">
        <v>0</v>
      </c>
      <c r="K6" s="22">
        <f t="shared" si="24"/>
        <v>13</v>
      </c>
      <c r="L6" s="23" t="str">
        <f>IF(SUMPRODUCT($J$66:K$66,$J6:K6)&lt;0.5, "Pending", IF(K6&lt;0.5, "Complete", "In Progress"))</f>
        <v>Pending</v>
      </c>
      <c r="M6" s="22">
        <v>0</v>
      </c>
      <c r="N6" s="22"/>
      <c r="O6" s="23" t="str">
        <f>IF(SUMPRODUCT($J$66:N$66,$J6:N6)&lt;0.5,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IF(SUMPRODUCT($J$66:Q$66,$J6:Q6)&lt;0.5,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IF(SUMPRODUCT($J$66:T$66,$J6:T6)&lt;0.5,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IF(SUMPRODUCT($J$66:W$66,$J6:W6)&lt;0.5,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IF(SUMPRODUCT($J$66:Z$66,$J6:Z6)&lt;0.5,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IF(SUMPRODUCT($J$66:AC$66,$J6:AC6)&lt;0.5,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IF(SUMPRODUCT($J$66:AF$66,$J6:AF6)&lt;0.5,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IF(SUMPRODUCT($J$66:AI$66,$J6:AI6)&lt;0.5,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IF(SUMPRODUCT($J$66:AL$66,$J6:AL6)&lt;0.5,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IF(SUMPRODUCT($J$66:AO$66,$J6:AO6)&lt;0.5,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IF(SUMPRODUCT($J$66:AR$66,$J6:AR6)&lt;0.5,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IF(SUMPRODUCT($J$66:AU$66,$J6:AU6)&lt;0.5,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IF(SUMPRODUCT($J$66:AX$66,$J6:AX6)&lt;0.5,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IF(SUMPRODUCT($J$66:BA$66,$J6:BA6)&lt;0.5,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IF(SUMPRODUCT($J$66:BD$66,$J6:BD6)&lt;0.5,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IF(SUMPRODUCT($J$66:BG$66,$J6:BG6)&lt;0.5,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IF(SUMPRODUCT($J$66:BJ$66,$J6:BJ6)&lt;0.5,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IF(SUMPRODUCT($J$66:BM$66,$J6:BM6)&lt;0.5,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IF(SUMPRODUCT($J$66:BP$66,$J6:BP6)&lt;0.5,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IF(SUMPRODUCT($J$66:BS$66,$J6:BS6)&lt;0.5,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IF(SUMPRODUCT($J$66:BV$66,$J6:BV6)&lt;0.5,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IF(SUMPRODUCT($J$66:BY$66,$J6:BY6)&lt;0.5,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IF(SUMPRODUCT($J$66:CB$66,$J6:CB6)&lt;0.5, "Pending", IF(CB6&lt;0.5, "Complete", "In Progress"))</f>
        <v>#REF!</v>
      </c>
      <c r="CD6" s="24"/>
      <c r="CE6" s="25">
        <f>SUMPRODUCT($H$66:AY$66,$H6:AY6)</f>
        <v>0</v>
      </c>
    </row>
    <row r="7" spans="1:83" x14ac:dyDescent="0.2">
      <c r="A7" s="16"/>
      <c r="B7" s="16" t="s">
        <v>129</v>
      </c>
      <c r="C7" s="16" t="s">
        <v>162</v>
      </c>
      <c r="D7" s="17" t="s">
        <v>160</v>
      </c>
      <c r="E7" s="178" t="s">
        <v>156</v>
      </c>
      <c r="F7" s="18" t="s">
        <v>117</v>
      </c>
      <c r="G7" s="19" t="str">
        <f t="shared" ca="1" si="0"/>
        <v>Pending</v>
      </c>
      <c r="H7" s="20">
        <v>1</v>
      </c>
      <c r="I7" s="21">
        <v>2</v>
      </c>
      <c r="J7" s="22">
        <v>0</v>
      </c>
      <c r="K7" s="22">
        <f t="shared" si="24"/>
        <v>2</v>
      </c>
      <c r="L7" s="23" t="str">
        <f>IF(SUMPRODUCT($J$66:K$66,$J7:K7)&lt;0.5, "Pending", IF(K7&lt;0.5, "Complete", "In Progress"))</f>
        <v>Pending</v>
      </c>
      <c r="M7" s="22">
        <v>0</v>
      </c>
      <c r="N7" s="22">
        <f t="shared" si="25"/>
        <v>2</v>
      </c>
      <c r="O7" s="23" t="str">
        <f>IF(SUMPRODUCT($J$66:N$66,$J7:N7)&lt;0.5, "Pending", IF(N7&lt;0.5, "Complete", "In Progress"))</f>
        <v>Pending</v>
      </c>
      <c r="P7" s="22">
        <v>0</v>
      </c>
      <c r="Q7" s="22">
        <f t="shared" si="26"/>
        <v>2</v>
      </c>
      <c r="R7" s="23" t="str">
        <f>IF(SUMPRODUCT($J$66:Q$66,$J7:Q7)&lt;0.5, "Pending", IF(Q7&lt;0.5, "Complete", "In Progress"))</f>
        <v>Pending</v>
      </c>
      <c r="S7" s="22">
        <v>0</v>
      </c>
      <c r="T7" s="22">
        <f t="shared" si="27"/>
        <v>2</v>
      </c>
      <c r="U7" s="23" t="str">
        <f>IF(SUMPRODUCT($J$66:T$66,$J7:T7)&lt;0.5, "Pending", IF(T7&lt;0.5, "Complete", "In Progress"))</f>
        <v>Pending</v>
      </c>
      <c r="V7" s="22">
        <v>0</v>
      </c>
      <c r="W7" s="22">
        <f t="shared" si="28"/>
        <v>2</v>
      </c>
      <c r="X7" s="23" t="str">
        <f>IF(SUMPRODUCT($J$66:W$66,$J7:W7)&lt;0.5, "Pending", IF(W7&lt;0.5, "Complete", "In Progress"))</f>
        <v>Pending</v>
      </c>
      <c r="Y7" s="22">
        <v>0</v>
      </c>
      <c r="Z7" s="22">
        <f t="shared" si="29"/>
        <v>2</v>
      </c>
      <c r="AA7" s="23" t="str">
        <f>IF(SUMPRODUCT($J$66:Z$66,$J7:Z7)&lt;0.5, "Pending", IF(Z7&lt;0.5, "Complete", "In Progress"))</f>
        <v>Pending</v>
      </c>
      <c r="AB7" s="22">
        <v>0</v>
      </c>
      <c r="AC7" s="22">
        <f t="shared" si="30"/>
        <v>2</v>
      </c>
      <c r="AD7" s="23" t="str">
        <f>IF(SUMPRODUCT($J$66:AC$66,$J7:AC7)&lt;0.5, "Pending", IF(AC7&lt;0.5, "Complete", "In Progress"))</f>
        <v>Pending</v>
      </c>
      <c r="AE7" s="22">
        <v>0</v>
      </c>
      <c r="AF7" s="22">
        <f t="shared" si="31"/>
        <v>2</v>
      </c>
      <c r="AG7" s="23" t="str">
        <f>IF(SUMPRODUCT($J$66:AF$66,$J7:AF7)&lt;0.5, "Pending", IF(AF7&lt;0.5, "Complete", "In Progress"))</f>
        <v>Pending</v>
      </c>
      <c r="AH7" s="22">
        <v>0</v>
      </c>
      <c r="AI7" s="22">
        <f t="shared" si="32"/>
        <v>2</v>
      </c>
      <c r="AJ7" s="23" t="str">
        <f>IF(SUMPRODUCT($J$66:AI$66,$J7:AI7)&lt;0.5, "Pending", IF(AI7&lt;0.5, "Complete", "In Progress"))</f>
        <v>Pending</v>
      </c>
      <c r="AK7" s="22">
        <v>0</v>
      </c>
      <c r="AL7" s="22">
        <f t="shared" si="33"/>
        <v>2</v>
      </c>
      <c r="AM7" s="23" t="str">
        <f>IF(SUMPRODUCT($J$66:AL$66,$J7:AL7)&lt;0.5, "Pending", IF(AL7&lt;0.5, "Complete", "In Progress"))</f>
        <v>Pending</v>
      </c>
      <c r="AN7" s="22">
        <v>0</v>
      </c>
      <c r="AO7" s="22">
        <f t="shared" si="34"/>
        <v>2</v>
      </c>
      <c r="AP7" s="23" t="str">
        <f>IF(SUMPRODUCT($J$66:AO$66,$J7:AO7)&lt;0.5, "Pending", IF(AO7&lt;0.5, "Complete", "In Progress"))</f>
        <v>Pending</v>
      </c>
      <c r="AQ7" s="22">
        <v>0</v>
      </c>
      <c r="AR7" s="22">
        <f t="shared" si="35"/>
        <v>2</v>
      </c>
      <c r="AS7" s="23" t="str">
        <f>IF(SUMPRODUCT($J$66:AR$66,$J7:AR7)&lt;0.5, "Pending", IF(AR7&lt;0.5, "Complete", "In Progress"))</f>
        <v>Pending</v>
      </c>
      <c r="AT7" s="22">
        <v>0</v>
      </c>
      <c r="AU7" s="22">
        <f t="shared" si="36"/>
        <v>2</v>
      </c>
      <c r="AV7" s="23" t="str">
        <f>IF(SUMPRODUCT($J$66:AU$66,$J7:AU7)&lt;0.5, "Pending", IF(AU7&lt;0.5, "Complete", "In Progress"))</f>
        <v>Pending</v>
      </c>
      <c r="AW7" s="22">
        <v>0</v>
      </c>
      <c r="AX7" s="22">
        <f t="shared" si="37"/>
        <v>2</v>
      </c>
      <c r="AY7" s="23" t="str">
        <f>IF(SUMPRODUCT($J$66:AX$66,$J7:AX7)&lt;0.5,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IF(SUMPRODUCT($J$66:BA$66,$J7:BA7)&lt;0.5,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IF(SUMPRODUCT($J$66:BD$66,$J7:BD7)&lt;0.5,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IF(SUMPRODUCT($J$66:BG$66,$J7:BG7)&lt;0.5,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IF(SUMPRODUCT($J$66:BJ$66,$J7:BJ7)&lt;0.5,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IF(SUMPRODUCT($J$66:BM$66,$J7:BM7)&lt;0.5,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IF(SUMPRODUCT($J$66:BP$66,$J7:BP7)&lt;0.5,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IF(SUMPRODUCT($J$66:BS$66,$J7:BS7)&lt;0.5,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IF(SUMPRODUCT($J$66:BV$66,$J7:BV7)&lt;0.5,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IF(SUMPRODUCT($J$66:BY$66,$J7:BY7)&lt;0.5,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IF(SUMPRODUCT($J$66:CB$66,$J7:CB7)&lt;0.5, "Pending", IF(CB7&lt;0.5, "Complete", "In Progress"))</f>
        <v>#REF!</v>
      </c>
      <c r="CD7" s="24"/>
      <c r="CE7" s="25">
        <f>SUMPRODUCT($H$66:AY$66,$H7:AY7)</f>
        <v>0</v>
      </c>
    </row>
    <row r="8" spans="1:83" x14ac:dyDescent="0.2">
      <c r="A8" s="16"/>
      <c r="B8" s="16" t="s">
        <v>127</v>
      </c>
      <c r="C8" s="16" t="s">
        <v>162</v>
      </c>
      <c r="D8" s="17" t="s">
        <v>161</v>
      </c>
      <c r="E8" s="178" t="s">
        <v>157</v>
      </c>
      <c r="F8" s="18" t="s">
        <v>117</v>
      </c>
      <c r="G8" s="19" t="str">
        <f t="shared" ca="1" si="0"/>
        <v>Pending</v>
      </c>
      <c r="H8" s="20">
        <v>1</v>
      </c>
      <c r="I8" s="21">
        <v>8</v>
      </c>
      <c r="J8" s="22">
        <v>0</v>
      </c>
      <c r="K8" s="22">
        <f t="shared" si="24"/>
        <v>8</v>
      </c>
      <c r="L8" s="23" t="str">
        <f>IF(SUMPRODUCT($J$66:K$66,$J8:K8)&lt;0.5, "Pending", IF(K8&lt;0.5, "Complete", "In Progress"))</f>
        <v>Pending</v>
      </c>
      <c r="M8" s="22">
        <v>0</v>
      </c>
      <c r="N8" s="22">
        <f t="shared" si="25"/>
        <v>8</v>
      </c>
      <c r="O8" s="23" t="str">
        <f>IF(SUMPRODUCT($J$66:N$66,$J8:N8)&lt;0.5, "Pending", IF(N8&lt;0.5, "Complete", "In Progress"))</f>
        <v>Pending</v>
      </c>
      <c r="P8" s="22">
        <v>0</v>
      </c>
      <c r="Q8" s="22">
        <f t="shared" si="26"/>
        <v>8</v>
      </c>
      <c r="R8" s="23" t="str">
        <f>IF(SUMPRODUCT($J$66:Q$66,$J8:Q8)&lt;0.5, "Pending", IF(Q8&lt;0.5, "Complete", "In Progress"))</f>
        <v>Pending</v>
      </c>
      <c r="S8" s="22">
        <v>0</v>
      </c>
      <c r="T8" s="22">
        <f t="shared" si="27"/>
        <v>8</v>
      </c>
      <c r="U8" s="23" t="str">
        <f>IF(SUMPRODUCT($J$66:T$66,$J8:T8)&lt;0.5, "Pending", IF(T8&lt;0.5, "Complete", "In Progress"))</f>
        <v>Pending</v>
      </c>
      <c r="V8" s="22">
        <v>0</v>
      </c>
      <c r="W8" s="22">
        <f t="shared" si="28"/>
        <v>8</v>
      </c>
      <c r="X8" s="23" t="str">
        <f>IF(SUMPRODUCT($J$66:W$66,$J8:W8)&lt;0.5, "Pending", IF(W8&lt;0.5, "Complete", "In Progress"))</f>
        <v>Pending</v>
      </c>
      <c r="Y8" s="22">
        <v>0</v>
      </c>
      <c r="Z8" s="22">
        <f t="shared" si="29"/>
        <v>8</v>
      </c>
      <c r="AA8" s="23" t="str">
        <f>IF(SUMPRODUCT($J$66:Z$66,$J8:Z8)&lt;0.5, "Pending", IF(Z8&lt;0.5, "Complete", "In Progress"))</f>
        <v>Pending</v>
      </c>
      <c r="AB8" s="22">
        <v>0</v>
      </c>
      <c r="AC8" s="22">
        <f t="shared" si="30"/>
        <v>8</v>
      </c>
      <c r="AD8" s="23" t="str">
        <f>IF(SUMPRODUCT($J$66:AC$66,$J8:AC8)&lt;0.5, "Pending", IF(AC8&lt;0.5, "Complete", "In Progress"))</f>
        <v>Pending</v>
      </c>
      <c r="AE8" s="22">
        <v>0</v>
      </c>
      <c r="AF8" s="22">
        <f t="shared" si="31"/>
        <v>8</v>
      </c>
      <c r="AG8" s="23" t="str">
        <f>IF(SUMPRODUCT($J$66:AF$66,$J8:AF8)&lt;0.5, "Pending", IF(AF8&lt;0.5, "Complete", "In Progress"))</f>
        <v>Pending</v>
      </c>
      <c r="AH8" s="22">
        <v>0</v>
      </c>
      <c r="AI8" s="22">
        <f t="shared" si="32"/>
        <v>8</v>
      </c>
      <c r="AJ8" s="23" t="str">
        <f>IF(SUMPRODUCT($J$66:AI$66,$J8:AI8)&lt;0.5, "Pending", IF(AI8&lt;0.5, "Complete", "In Progress"))</f>
        <v>Pending</v>
      </c>
      <c r="AK8" s="22">
        <v>0</v>
      </c>
      <c r="AL8" s="22">
        <f t="shared" si="33"/>
        <v>8</v>
      </c>
      <c r="AM8" s="23" t="str">
        <f>IF(SUMPRODUCT($J$66:AL$66,$J8:AL8)&lt;0.5, "Pending", IF(AL8&lt;0.5, "Complete", "In Progress"))</f>
        <v>Pending</v>
      </c>
      <c r="AN8" s="22">
        <v>0</v>
      </c>
      <c r="AO8" s="22">
        <f t="shared" si="34"/>
        <v>8</v>
      </c>
      <c r="AP8" s="23" t="str">
        <f>IF(SUMPRODUCT($J$66:AO$66,$J8:AO8)&lt;0.5, "Pending", IF(AO8&lt;0.5, "Complete", "In Progress"))</f>
        <v>Pending</v>
      </c>
      <c r="AQ8" s="22">
        <v>0</v>
      </c>
      <c r="AR8" s="22">
        <f t="shared" si="35"/>
        <v>8</v>
      </c>
      <c r="AS8" s="23" t="str">
        <f>IF(SUMPRODUCT($J$66:AR$66,$J8:AR8)&lt;0.5, "Pending", IF(AR8&lt;0.5, "Complete", "In Progress"))</f>
        <v>Pending</v>
      </c>
      <c r="AT8" s="22">
        <v>0</v>
      </c>
      <c r="AU8" s="22">
        <f t="shared" si="36"/>
        <v>8</v>
      </c>
      <c r="AV8" s="23" t="str">
        <f>IF(SUMPRODUCT($J$66:AU$66,$J8:AU8)&lt;0.5, "Pending", IF(AU8&lt;0.5, "Complete", "In Progress"))</f>
        <v>Pending</v>
      </c>
      <c r="AW8" s="22">
        <v>0</v>
      </c>
      <c r="AX8" s="22">
        <f t="shared" si="37"/>
        <v>8</v>
      </c>
      <c r="AY8" s="23" t="str">
        <f>IF(SUMPRODUCT($J$66:AX$66,$J8:AX8)&lt;0.5,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IF(SUMPRODUCT($J$66:BA$66,$J8:BA8)&lt;0.5,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IF(SUMPRODUCT($J$66:BD$66,$J8:BD8)&lt;0.5,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IF(SUMPRODUCT($J$66:BG$66,$J8:BG8)&lt;0.5,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IF(SUMPRODUCT($J$66:BJ$66,$J8:BJ8)&lt;0.5,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IF(SUMPRODUCT($J$66:BM$66,$J8:BM8)&lt;0.5,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IF(SUMPRODUCT($J$66:BP$66,$J8:BP8)&lt;0.5,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IF(SUMPRODUCT($J$66:BS$66,$J8:BS8)&lt;0.5,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IF(SUMPRODUCT($J$66:BV$66,$J8:BV8)&lt;0.5,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IF(SUMPRODUCT($J$66:BY$66,$J8:BY8)&lt;0.5,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IF(SUMPRODUCT($J$66:CB$66,$J8:CB8)&lt;0.5, "Pending", IF(CB8&lt;0.5, "Complete", "In Progress"))</f>
        <v>#REF!</v>
      </c>
      <c r="CD8" s="24"/>
      <c r="CE8" s="25">
        <f>SUMPRODUCT($H$66:AY$66,$H8:AY8)</f>
        <v>0</v>
      </c>
    </row>
    <row r="9" spans="1:83" x14ac:dyDescent="0.2">
      <c r="A9" s="16"/>
      <c r="B9" s="16" t="s">
        <v>128</v>
      </c>
      <c r="C9" s="16" t="s">
        <v>162</v>
      </c>
      <c r="D9" s="17" t="s">
        <v>166</v>
      </c>
      <c r="E9" s="178" t="s">
        <v>164</v>
      </c>
      <c r="F9" s="18" t="s">
        <v>117</v>
      </c>
      <c r="G9" s="19" t="str">
        <f t="shared" ca="1" si="0"/>
        <v>Pending</v>
      </c>
      <c r="H9" s="20">
        <v>1</v>
      </c>
      <c r="I9" s="21">
        <v>5</v>
      </c>
      <c r="J9" s="22">
        <v>0</v>
      </c>
      <c r="K9" s="22">
        <f t="shared" si="24"/>
        <v>5</v>
      </c>
      <c r="L9" s="23" t="str">
        <f>IF(SUMPRODUCT($J$66:K$66,$J9:K9)&lt;0.5, "Pending", IF(K9&lt;0.5, "Complete", "In Progress"))</f>
        <v>Pending</v>
      </c>
      <c r="M9" s="22">
        <v>0</v>
      </c>
      <c r="N9" s="22">
        <f t="shared" si="25"/>
        <v>5</v>
      </c>
      <c r="O9" s="23" t="str">
        <f>IF(SUMPRODUCT($J$66:N$66,$J9:N9)&lt;0.5, "Pending", IF(N9&lt;0.5, "Complete", "In Progress"))</f>
        <v>Pending</v>
      </c>
      <c r="P9" s="22">
        <v>0</v>
      </c>
      <c r="Q9" s="22">
        <f t="shared" si="26"/>
        <v>5</v>
      </c>
      <c r="R9" s="23" t="str">
        <f>IF(SUMPRODUCT($J$66:Q$66,$J9:Q9)&lt;0.5, "Pending", IF(Q9&lt;0.5, "Complete", "In Progress"))</f>
        <v>Pending</v>
      </c>
      <c r="S9" s="22">
        <v>0</v>
      </c>
      <c r="T9" s="22">
        <f t="shared" si="27"/>
        <v>5</v>
      </c>
      <c r="U9" s="23" t="str">
        <f>IF(SUMPRODUCT($J$66:T$66,$J9:T9)&lt;0.5, "Pending", IF(T9&lt;0.5, "Complete", "In Progress"))</f>
        <v>Pending</v>
      </c>
      <c r="V9" s="22">
        <v>0</v>
      </c>
      <c r="W9" s="22">
        <f t="shared" si="28"/>
        <v>5</v>
      </c>
      <c r="X9" s="23" t="str">
        <f>IF(SUMPRODUCT($J$66:W$66,$J9:W9)&lt;0.5, "Pending", IF(W9&lt;0.5, "Complete", "In Progress"))</f>
        <v>Pending</v>
      </c>
      <c r="Y9" s="22">
        <v>0</v>
      </c>
      <c r="Z9" s="22">
        <f t="shared" si="29"/>
        <v>5</v>
      </c>
      <c r="AA9" s="23" t="str">
        <f>IF(SUMPRODUCT($J$66:Z$66,$J9:Z9)&lt;0.5, "Pending", IF(Z9&lt;0.5, "Complete", "In Progress"))</f>
        <v>Pending</v>
      </c>
      <c r="AB9" s="22">
        <v>0</v>
      </c>
      <c r="AC9" s="22">
        <f t="shared" si="30"/>
        <v>5</v>
      </c>
      <c r="AD9" s="23" t="str">
        <f>IF(SUMPRODUCT($J$66:AC$66,$J9:AC9)&lt;0.5, "Pending", IF(AC9&lt;0.5, "Complete", "In Progress"))</f>
        <v>Pending</v>
      </c>
      <c r="AE9" s="22">
        <v>0</v>
      </c>
      <c r="AF9" s="22">
        <f t="shared" si="31"/>
        <v>5</v>
      </c>
      <c r="AG9" s="23" t="str">
        <f>IF(SUMPRODUCT($J$66:AF$66,$J9:AF9)&lt;0.5, "Pending", IF(AF9&lt;0.5, "Complete", "In Progress"))</f>
        <v>Pending</v>
      </c>
      <c r="AH9" s="22">
        <v>0</v>
      </c>
      <c r="AI9" s="22">
        <f t="shared" si="32"/>
        <v>5</v>
      </c>
      <c r="AJ9" s="23" t="str">
        <f>IF(SUMPRODUCT($J$66:AI$66,$J9:AI9)&lt;0.5, "Pending", IF(AI9&lt;0.5, "Complete", "In Progress"))</f>
        <v>Pending</v>
      </c>
      <c r="AK9" s="22">
        <v>0</v>
      </c>
      <c r="AL9" s="22">
        <f t="shared" si="33"/>
        <v>5</v>
      </c>
      <c r="AM9" s="23" t="str">
        <f>IF(SUMPRODUCT($J$66:AL$66,$J9:AL9)&lt;0.5, "Pending", IF(AL9&lt;0.5, "Complete", "In Progress"))</f>
        <v>Pending</v>
      </c>
      <c r="AN9" s="22">
        <v>0</v>
      </c>
      <c r="AO9" s="22">
        <f t="shared" si="34"/>
        <v>5</v>
      </c>
      <c r="AP9" s="23" t="str">
        <f>IF(SUMPRODUCT($J$66:AO$66,$J9:AO9)&lt;0.5, "Pending", IF(AO9&lt;0.5, "Complete", "In Progress"))</f>
        <v>Pending</v>
      </c>
      <c r="AQ9" s="22">
        <v>0</v>
      </c>
      <c r="AR9" s="22">
        <f t="shared" si="35"/>
        <v>5</v>
      </c>
      <c r="AS9" s="23" t="str">
        <f>IF(SUMPRODUCT($J$66:AR$66,$J9:AR9)&lt;0.5, "Pending", IF(AR9&lt;0.5, "Complete", "In Progress"))</f>
        <v>Pending</v>
      </c>
      <c r="AT9" s="22">
        <v>0</v>
      </c>
      <c r="AU9" s="22">
        <f t="shared" si="36"/>
        <v>5</v>
      </c>
      <c r="AV9" s="23" t="str">
        <f>IF(SUMPRODUCT($J$66:AU$66,$J9:AU9)&lt;0.5, "Pending", IF(AU9&lt;0.5, "Complete", "In Progress"))</f>
        <v>Pending</v>
      </c>
      <c r="AW9" s="22">
        <v>0</v>
      </c>
      <c r="AX9" s="22">
        <f t="shared" si="37"/>
        <v>5</v>
      </c>
      <c r="AY9" s="23" t="str">
        <f>IF(SUMPRODUCT($J$66:AX$66,$J9:AX9)&lt;0.5,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IF(SUMPRODUCT($J$66:BA$66,$J9:BA9)&lt;0.5,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IF(SUMPRODUCT($J$66:BD$66,$J9:BD9)&lt;0.5,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IF(SUMPRODUCT($J$66:BG$66,$J9:BG9)&lt;0.5,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IF(SUMPRODUCT($J$66:BJ$66,$J9:BJ9)&lt;0.5,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IF(SUMPRODUCT($J$66:BM$66,$J9:BM9)&lt;0.5,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IF(SUMPRODUCT($J$66:BP$66,$J9:BP9)&lt;0.5,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IF(SUMPRODUCT($J$66:BS$66,$J9:BS9)&lt;0.5,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IF(SUMPRODUCT($J$66:BV$66,$J9:BV9)&lt;0.5,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IF(SUMPRODUCT($J$66:BY$66,$J9:BY9)&lt;0.5,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IF(SUMPRODUCT($J$66:CB$66,$J9:CB9)&lt;0.5, "Pending", IF(CB9&lt;0.5, "Complete", "In Progress"))</f>
        <v>#REF!</v>
      </c>
      <c r="CD9" s="24"/>
      <c r="CE9" s="25">
        <f>SUMPRODUCT($H$66:AY$66,$H9:AY9)</f>
        <v>0</v>
      </c>
    </row>
    <row r="10" spans="1:83" x14ac:dyDescent="0.2">
      <c r="A10" s="16"/>
      <c r="B10" s="16" t="s">
        <v>128</v>
      </c>
      <c r="C10" s="16" t="s">
        <v>162</v>
      </c>
      <c r="D10" s="17" t="s">
        <v>167</v>
      </c>
      <c r="E10" s="178" t="s">
        <v>165</v>
      </c>
      <c r="F10" s="18" t="s">
        <v>117</v>
      </c>
      <c r="G10" s="19" t="str">
        <f t="shared" ca="1" si="0"/>
        <v>Pending</v>
      </c>
      <c r="H10" s="20">
        <v>1</v>
      </c>
      <c r="I10" s="21">
        <v>8</v>
      </c>
      <c r="J10" s="22">
        <v>0</v>
      </c>
      <c r="K10" s="22">
        <f t="shared" si="24"/>
        <v>8</v>
      </c>
      <c r="L10" s="23" t="str">
        <f>IF(SUMPRODUCT($J$66:K$66,$J10:K10)&lt;0.5, "Pending", IF(K10&lt;0.5, "Complete", "In Progress"))</f>
        <v>Pending</v>
      </c>
      <c r="M10" s="22">
        <v>0</v>
      </c>
      <c r="N10" s="22">
        <f t="shared" si="25"/>
        <v>8</v>
      </c>
      <c r="O10" s="23" t="str">
        <f>IF(SUMPRODUCT($J$66:N$66,$J10:N10)&lt;0.5, "Pending", IF(N10&lt;0.5, "Complete", "In Progress"))</f>
        <v>Pending</v>
      </c>
      <c r="P10" s="22">
        <v>0</v>
      </c>
      <c r="Q10" s="22">
        <f t="shared" si="26"/>
        <v>8</v>
      </c>
      <c r="R10" s="23" t="str">
        <f>IF(SUMPRODUCT($J$66:Q$66,$J10:Q10)&lt;0.5, "Pending", IF(Q10&lt;0.5, "Complete", "In Progress"))</f>
        <v>Pending</v>
      </c>
      <c r="S10" s="22">
        <v>0</v>
      </c>
      <c r="T10" s="22">
        <f t="shared" si="27"/>
        <v>8</v>
      </c>
      <c r="U10" s="23" t="str">
        <f>IF(SUMPRODUCT($J$66:T$66,$J10:T10)&lt;0.5, "Pending", IF(T10&lt;0.5, "Complete", "In Progress"))</f>
        <v>Pending</v>
      </c>
      <c r="V10" s="22">
        <v>0</v>
      </c>
      <c r="W10" s="22">
        <f t="shared" si="28"/>
        <v>8</v>
      </c>
      <c r="X10" s="23" t="str">
        <f>IF(SUMPRODUCT($J$66:W$66,$J10:W10)&lt;0.5, "Pending", IF(W10&lt;0.5, "Complete", "In Progress"))</f>
        <v>Pending</v>
      </c>
      <c r="Y10" s="22">
        <v>0</v>
      </c>
      <c r="Z10" s="22">
        <f t="shared" si="29"/>
        <v>8</v>
      </c>
      <c r="AA10" s="23" t="str">
        <f>IF(SUMPRODUCT($J$66:Z$66,$J10:Z10)&lt;0.5, "Pending", IF(Z10&lt;0.5, "Complete", "In Progress"))</f>
        <v>Pending</v>
      </c>
      <c r="AB10" s="22">
        <v>0</v>
      </c>
      <c r="AC10" s="22">
        <f t="shared" si="30"/>
        <v>8</v>
      </c>
      <c r="AD10" s="23" t="str">
        <f>IF(SUMPRODUCT($J$66:AC$66,$J10:AC10)&lt;0.5, "Pending", IF(AC10&lt;0.5, "Complete", "In Progress"))</f>
        <v>Pending</v>
      </c>
      <c r="AE10" s="22">
        <v>0</v>
      </c>
      <c r="AF10" s="22">
        <f t="shared" si="31"/>
        <v>8</v>
      </c>
      <c r="AG10" s="23" t="str">
        <f>IF(SUMPRODUCT($J$66:AF$66,$J10:AF10)&lt;0.5, "Pending", IF(AF10&lt;0.5, "Complete", "In Progress"))</f>
        <v>Pending</v>
      </c>
      <c r="AH10" s="22">
        <v>0</v>
      </c>
      <c r="AI10" s="22">
        <f t="shared" si="32"/>
        <v>8</v>
      </c>
      <c r="AJ10" s="23" t="str">
        <f>IF(SUMPRODUCT($J$66:AI$66,$J10:AI10)&lt;0.5, "Pending", IF(AI10&lt;0.5, "Complete", "In Progress"))</f>
        <v>Pending</v>
      </c>
      <c r="AK10" s="22">
        <v>0</v>
      </c>
      <c r="AL10" s="22">
        <f t="shared" si="33"/>
        <v>8</v>
      </c>
      <c r="AM10" s="23" t="str">
        <f>IF(SUMPRODUCT($J$66:AL$66,$J10:AL10)&lt;0.5, "Pending", IF(AL10&lt;0.5, "Complete", "In Progress"))</f>
        <v>Pending</v>
      </c>
      <c r="AN10" s="22">
        <v>0</v>
      </c>
      <c r="AO10" s="22">
        <f t="shared" si="34"/>
        <v>8</v>
      </c>
      <c r="AP10" s="23" t="str">
        <f>IF(SUMPRODUCT($J$66:AO$66,$J10:AO10)&lt;0.5, "Pending", IF(AO10&lt;0.5, "Complete", "In Progress"))</f>
        <v>Pending</v>
      </c>
      <c r="AQ10" s="22">
        <v>0</v>
      </c>
      <c r="AR10" s="22">
        <f t="shared" si="35"/>
        <v>8</v>
      </c>
      <c r="AS10" s="23" t="str">
        <f>IF(SUMPRODUCT($J$66:AR$66,$J10:AR10)&lt;0.5, "Pending", IF(AR10&lt;0.5, "Complete", "In Progress"))</f>
        <v>Pending</v>
      </c>
      <c r="AT10" s="22">
        <v>0</v>
      </c>
      <c r="AU10" s="22">
        <f t="shared" si="36"/>
        <v>8</v>
      </c>
      <c r="AV10" s="23" t="str">
        <f>IF(SUMPRODUCT($J$66:AU$66,$J10:AU10)&lt;0.5, "Pending", IF(AU10&lt;0.5, "Complete", "In Progress"))</f>
        <v>Pending</v>
      </c>
      <c r="AW10" s="22">
        <v>0</v>
      </c>
      <c r="AX10" s="22">
        <f t="shared" si="37"/>
        <v>8</v>
      </c>
      <c r="AY10" s="23" t="str">
        <f>IF(SUMPRODUCT($J$66:AX$66,$J10:AX10)&lt;0.5,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IF(SUMPRODUCT($J$66:BA$66,$J10:BA10)&lt;0.5,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IF(SUMPRODUCT($J$66:BD$66,$J10:BD10)&lt;0.5,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IF(SUMPRODUCT($J$66:BG$66,$J10:BG10)&lt;0.5,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IF(SUMPRODUCT($J$66:BJ$66,$J10:BJ10)&lt;0.5,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IF(SUMPRODUCT($J$66:BM$66,$J10:BM10)&lt;0.5,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IF(SUMPRODUCT($J$66:BP$66,$J10:BP10)&lt;0.5,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IF(SUMPRODUCT($J$66:BS$66,$J10:BS10)&lt;0.5,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IF(SUMPRODUCT($J$66:BV$66,$J10:BV10)&lt;0.5,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IF(SUMPRODUCT($J$66:BY$66,$J10:BY10)&lt;0.5,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IF(SUMPRODUCT($J$66:CB$66,$J10:CB10)&lt;0.5, "Pending", IF(CB10&lt;0.5, "Complete", "In Progress"))</f>
        <v>#REF!</v>
      </c>
      <c r="CD10" s="24"/>
      <c r="CE10" s="25">
        <f>SUMPRODUCT($H$66:AY$66,$H10:AY10)</f>
        <v>0</v>
      </c>
    </row>
    <row r="11" spans="1:83" x14ac:dyDescent="0.2">
      <c r="A11" s="16"/>
      <c r="B11" s="16" t="s">
        <v>128</v>
      </c>
      <c r="C11" s="16" t="s">
        <v>162</v>
      </c>
      <c r="D11" s="17" t="s">
        <v>168</v>
      </c>
      <c r="E11" s="178" t="s">
        <v>170</v>
      </c>
      <c r="F11" s="18" t="s">
        <v>117</v>
      </c>
      <c r="G11" s="19" t="str">
        <f t="shared" ca="1" si="0"/>
        <v>Pending</v>
      </c>
      <c r="H11" s="20">
        <v>1</v>
      </c>
      <c r="I11" s="21">
        <v>13</v>
      </c>
      <c r="J11" s="22">
        <v>0</v>
      </c>
      <c r="K11" s="22">
        <f t="shared" si="24"/>
        <v>13</v>
      </c>
      <c r="L11" s="23" t="str">
        <f>IF(SUMPRODUCT($J$66:K$66,$J11:K11)&lt;0.5, "Pending", IF(K11&lt;0.5, "Complete", "In Progress"))</f>
        <v>Pending</v>
      </c>
      <c r="M11" s="22">
        <v>0</v>
      </c>
      <c r="N11" s="22">
        <f t="shared" si="25"/>
        <v>13</v>
      </c>
      <c r="O11" s="23" t="str">
        <f>IF(SUMPRODUCT($J$66:N$66,$J11:N11)&lt;0.5, "Pending", IF(N11&lt;0.5, "Complete", "In Progress"))</f>
        <v>Pending</v>
      </c>
      <c r="P11" s="22">
        <v>0</v>
      </c>
      <c r="Q11" s="22">
        <f t="shared" si="26"/>
        <v>13</v>
      </c>
      <c r="R11" s="23" t="str">
        <f>IF(SUMPRODUCT($J$66:Q$66,$J11:Q11)&lt;0.5, "Pending", IF(Q11&lt;0.5, "Complete", "In Progress"))</f>
        <v>Pending</v>
      </c>
      <c r="S11" s="22">
        <v>0</v>
      </c>
      <c r="T11" s="22">
        <f t="shared" si="27"/>
        <v>13</v>
      </c>
      <c r="U11" s="23" t="str">
        <f>IF(SUMPRODUCT($J$66:T$66,$J11:T11)&lt;0.5, "Pending", IF(T11&lt;0.5, "Complete", "In Progress"))</f>
        <v>Pending</v>
      </c>
      <c r="V11" s="22">
        <v>0</v>
      </c>
      <c r="W11" s="22">
        <f t="shared" si="28"/>
        <v>13</v>
      </c>
      <c r="X11" s="23" t="str">
        <f>IF(SUMPRODUCT($J$66:W$66,$J11:W11)&lt;0.5, "Pending", IF(W11&lt;0.5, "Complete", "In Progress"))</f>
        <v>Pending</v>
      </c>
      <c r="Y11" s="22">
        <v>0</v>
      </c>
      <c r="Z11" s="22">
        <f t="shared" si="29"/>
        <v>13</v>
      </c>
      <c r="AA11" s="23" t="str">
        <f>IF(SUMPRODUCT($J$66:Z$66,$J11:Z11)&lt;0.5, "Pending", IF(Z11&lt;0.5, "Complete", "In Progress"))</f>
        <v>Pending</v>
      </c>
      <c r="AB11" s="22">
        <v>0</v>
      </c>
      <c r="AC11" s="22">
        <f t="shared" si="30"/>
        <v>13</v>
      </c>
      <c r="AD11" s="23" t="str">
        <f>IF(SUMPRODUCT($J$66:AC$66,$J11:AC11)&lt;0.5, "Pending", IF(AC11&lt;0.5, "Complete", "In Progress"))</f>
        <v>Pending</v>
      </c>
      <c r="AE11" s="22">
        <v>0</v>
      </c>
      <c r="AF11" s="22">
        <f t="shared" si="31"/>
        <v>13</v>
      </c>
      <c r="AG11" s="23" t="str">
        <f>IF(SUMPRODUCT($J$66:AF$66,$J11:AF11)&lt;0.5, "Pending", IF(AF11&lt;0.5, "Complete", "In Progress"))</f>
        <v>Pending</v>
      </c>
      <c r="AH11" s="22">
        <v>0</v>
      </c>
      <c r="AI11" s="22">
        <f t="shared" si="32"/>
        <v>13</v>
      </c>
      <c r="AJ11" s="23" t="str">
        <f>IF(SUMPRODUCT($J$66:AI$66,$J11:AI11)&lt;0.5, "Pending", IF(AI11&lt;0.5, "Complete", "In Progress"))</f>
        <v>Pending</v>
      </c>
      <c r="AK11" s="22">
        <v>0</v>
      </c>
      <c r="AL11" s="22">
        <f t="shared" si="33"/>
        <v>13</v>
      </c>
      <c r="AM11" s="23" t="str">
        <f>IF(SUMPRODUCT($J$66:AL$66,$J11:AL11)&lt;0.5, "Pending", IF(AL11&lt;0.5, "Complete", "In Progress"))</f>
        <v>Pending</v>
      </c>
      <c r="AN11" s="22">
        <v>0</v>
      </c>
      <c r="AO11" s="22">
        <f t="shared" si="34"/>
        <v>13</v>
      </c>
      <c r="AP11" s="23" t="str">
        <f>IF(SUMPRODUCT($J$66:AO$66,$J11:AO11)&lt;0.5, "Pending", IF(AO11&lt;0.5, "Complete", "In Progress"))</f>
        <v>Pending</v>
      </c>
      <c r="AQ11" s="22">
        <v>0</v>
      </c>
      <c r="AR11" s="22">
        <f t="shared" si="35"/>
        <v>13</v>
      </c>
      <c r="AS11" s="23" t="str">
        <f>IF(SUMPRODUCT($J$66:AR$66,$J11:AR11)&lt;0.5, "Pending", IF(AR11&lt;0.5, "Complete", "In Progress"))</f>
        <v>Pending</v>
      </c>
      <c r="AT11" s="22">
        <v>0</v>
      </c>
      <c r="AU11" s="22">
        <f t="shared" si="36"/>
        <v>13</v>
      </c>
      <c r="AV11" s="23" t="str">
        <f>IF(SUMPRODUCT($J$66:AU$66,$J11:AU11)&lt;0.5, "Pending", IF(AU11&lt;0.5, "Complete", "In Progress"))</f>
        <v>Pending</v>
      </c>
      <c r="AW11" s="22">
        <v>0</v>
      </c>
      <c r="AX11" s="22">
        <f t="shared" si="37"/>
        <v>13</v>
      </c>
      <c r="AY11" s="23" t="str">
        <f>IF(SUMPRODUCT($J$66:AX$66,$J11:AX11)&lt;0.5,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IF(SUMPRODUCT($J$66:BA$66,$J11:BA11)&lt;0.5,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IF(SUMPRODUCT($J$66:BD$66,$J11:BD11)&lt;0.5,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IF(SUMPRODUCT($J$66:BG$66,$J11:BG11)&lt;0.5,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IF(SUMPRODUCT($J$66:BJ$66,$J11:BJ11)&lt;0.5,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IF(SUMPRODUCT($J$66:BM$66,$J11:BM11)&lt;0.5,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IF(SUMPRODUCT($J$66:BP$66,$J11:BP11)&lt;0.5,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IF(SUMPRODUCT($J$66:BS$66,$J11:BS11)&lt;0.5,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IF(SUMPRODUCT($J$66:BV$66,$J11:BV11)&lt;0.5,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IF(SUMPRODUCT($J$66:BY$66,$J11:BY11)&lt;0.5,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IF(SUMPRODUCT($J$66:CB$66,$J11:CB11)&lt;0.5, "Pending", IF(CB11&lt;0.5, "Complete", "In Progress"))</f>
        <v>#REF!</v>
      </c>
      <c r="CD11" s="24"/>
      <c r="CE11" s="25">
        <f>SUMPRODUCT($H$66:AY$66,$H11:AY11)</f>
        <v>0</v>
      </c>
    </row>
    <row r="12" spans="1:83" x14ac:dyDescent="0.2">
      <c r="A12" s="16"/>
      <c r="B12" s="16" t="s">
        <v>128</v>
      </c>
      <c r="C12" s="16" t="s">
        <v>162</v>
      </c>
      <c r="D12" s="17" t="s">
        <v>172</v>
      </c>
      <c r="E12" s="178" t="s">
        <v>169</v>
      </c>
      <c r="F12" s="18" t="s">
        <v>117</v>
      </c>
      <c r="G12" s="19" t="str">
        <f t="shared" ca="1" si="0"/>
        <v>Pending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IF(SUMPRODUCT($J$66:K$66,$J12:K12)&lt;0.5,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IF(SUMPRODUCT($J$66:N$66,$J12:N12)&lt;0.5,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IF(SUMPRODUCT($J$66:Q$66,$J12:Q12)&lt;0.5,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IF(SUMPRODUCT($J$66:T$66,$J12:T12)&lt;0.5,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IF(SUMPRODUCT($J$66:W$66,$J12:W12)&lt;0.5,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IF(SUMPRODUCT($J$66:Z$66,$J12:Z12)&lt;0.5,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IF(SUMPRODUCT($J$66:AC$66,$J12:AC12)&lt;0.5,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IF(SUMPRODUCT($J$66:AF$66,$J12:AF12)&lt;0.5,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IF(SUMPRODUCT($J$66:AI$66,$J12:AI12)&lt;0.5,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IF(SUMPRODUCT($J$66:AL$66,$J12:AL12)&lt;0.5,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IF(SUMPRODUCT($J$66:AO$66,$J12:AO12)&lt;0.5,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IF(SUMPRODUCT($J$66:AR$66,$J12:AR12)&lt;0.5,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IF(SUMPRODUCT($J$66:AU$66,$J12:AU12)&lt;0.5,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IF(SUMPRODUCT($J$66:AX$66,$J12:AX12)&lt;0.5,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IF(SUMPRODUCT($J$66:BA$66,$J12:BA12)&lt;0.5,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IF(SUMPRODUCT($J$66:BD$66,$J12:BD12)&lt;0.5,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IF(SUMPRODUCT($J$66:BG$66,$J12:BG12)&lt;0.5,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IF(SUMPRODUCT($J$66:BJ$66,$J12:BJ12)&lt;0.5,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IF(SUMPRODUCT($J$66:BM$66,$J12:BM12)&lt;0.5,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IF(SUMPRODUCT($J$66:BP$66,$J12:BP12)&lt;0.5,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IF(SUMPRODUCT($J$66:BS$66,$J12:BS12)&lt;0.5,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IF(SUMPRODUCT($J$66:BV$66,$J12:BV12)&lt;0.5,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IF(SUMPRODUCT($J$66:BY$66,$J12:BY12)&lt;0.5,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IF(SUMPRODUCT($J$66:CB$66,$J12:CB12)&lt;0.5, "Pending", IF(CB12&lt;0.5, "Complete", "In Progress"))</f>
        <v>#REF!</v>
      </c>
      <c r="CD12" s="24"/>
      <c r="CE12" s="25">
        <f>SUMPRODUCT($H$66:AY$66,$H12:AY12)</f>
        <v>0</v>
      </c>
    </row>
    <row r="13" spans="1:83" x14ac:dyDescent="0.2">
      <c r="A13" s="16"/>
      <c r="B13" s="16" t="s">
        <v>128</v>
      </c>
      <c r="C13" s="16" t="s">
        <v>162</v>
      </c>
      <c r="D13" s="17" t="s">
        <v>173</v>
      </c>
      <c r="E13" s="178" t="s">
        <v>171</v>
      </c>
      <c r="F13" s="18" t="s">
        <v>117</v>
      </c>
      <c r="G13" s="19" t="str">
        <f t="shared" ca="1" si="0"/>
        <v>Pending</v>
      </c>
      <c r="H13" s="20">
        <v>1</v>
      </c>
      <c r="I13" s="21">
        <v>0</v>
      </c>
      <c r="J13" s="22">
        <v>0</v>
      </c>
      <c r="K13" s="22">
        <f t="shared" si="24"/>
        <v>0</v>
      </c>
      <c r="L13" s="23" t="str">
        <f>IF(SUMPRODUCT($J$66:K$66,$J13:K13)&lt;0.5, "Pending", IF(K13&lt;0.5, "Complete", "In Progress"))</f>
        <v>Pending</v>
      </c>
      <c r="M13" s="22">
        <v>0</v>
      </c>
      <c r="N13" s="22">
        <f t="shared" si="25"/>
        <v>0</v>
      </c>
      <c r="O13" s="23" t="str">
        <f>IF(SUMPRODUCT($J$66:N$66,$J13:N13)&lt;0.5, "Pending", IF(N13&lt;0.5, "Complete", "In Progress"))</f>
        <v>Pending</v>
      </c>
      <c r="P13" s="22">
        <v>0</v>
      </c>
      <c r="Q13" s="22">
        <f t="shared" si="26"/>
        <v>0</v>
      </c>
      <c r="R13" s="23" t="str">
        <f>IF(SUMPRODUCT($J$66:Q$66,$J13:Q13)&lt;0.5, "Pending", IF(Q13&lt;0.5, "Complete", "In Progress"))</f>
        <v>Pending</v>
      </c>
      <c r="S13" s="22">
        <v>0</v>
      </c>
      <c r="T13" s="22">
        <f t="shared" si="27"/>
        <v>0</v>
      </c>
      <c r="U13" s="23" t="str">
        <f>IF(SUMPRODUCT($J$66:T$66,$J13:T13)&lt;0.5, "Pending", IF(T13&lt;0.5, "Complete", "In Progress"))</f>
        <v>Pending</v>
      </c>
      <c r="V13" s="22">
        <v>0</v>
      </c>
      <c r="W13" s="22">
        <f t="shared" si="28"/>
        <v>0</v>
      </c>
      <c r="X13" s="23" t="str">
        <f>IF(SUMPRODUCT($J$66:W$66,$J13:W13)&lt;0.5, "Pending", IF(W13&lt;0.5, "Complete", "In Progress"))</f>
        <v>Pending</v>
      </c>
      <c r="Y13" s="22">
        <v>0</v>
      </c>
      <c r="Z13" s="22">
        <f t="shared" si="29"/>
        <v>0</v>
      </c>
      <c r="AA13" s="23" t="str">
        <f>IF(SUMPRODUCT($J$66:Z$66,$J13:Z13)&lt;0.5, "Pending", IF(Z13&lt;0.5, "Complete", "In Progress"))</f>
        <v>Pending</v>
      </c>
      <c r="AB13" s="22">
        <v>0</v>
      </c>
      <c r="AC13" s="22">
        <f t="shared" si="30"/>
        <v>0</v>
      </c>
      <c r="AD13" s="23" t="str">
        <f>IF(SUMPRODUCT($J$66:AC$66,$J13:AC13)&lt;0.5, "Pending", IF(AC13&lt;0.5, "Complete", "In Progress"))</f>
        <v>Pending</v>
      </c>
      <c r="AE13" s="22">
        <v>0</v>
      </c>
      <c r="AF13" s="22">
        <f t="shared" si="31"/>
        <v>0</v>
      </c>
      <c r="AG13" s="23" t="str">
        <f>IF(SUMPRODUCT($J$66:AF$66,$J13:AF13)&lt;0.5, "Pending", IF(AF13&lt;0.5, "Complete", "In Progress"))</f>
        <v>Pending</v>
      </c>
      <c r="AH13" s="22">
        <v>0</v>
      </c>
      <c r="AI13" s="22">
        <f t="shared" si="32"/>
        <v>0</v>
      </c>
      <c r="AJ13" s="23" t="str">
        <f>IF(SUMPRODUCT($J$66:AI$66,$J13:AI13)&lt;0.5, "Pending", IF(AI13&lt;0.5, "Complete", "In Progress"))</f>
        <v>Pending</v>
      </c>
      <c r="AK13" s="22">
        <v>0</v>
      </c>
      <c r="AL13" s="22">
        <f t="shared" si="33"/>
        <v>0</v>
      </c>
      <c r="AM13" s="23" t="str">
        <f>IF(SUMPRODUCT($J$66:AL$66,$J13:AL13)&lt;0.5, "Pending", IF(AL13&lt;0.5, "Complete", "In Progress"))</f>
        <v>Pending</v>
      </c>
      <c r="AN13" s="22">
        <v>0</v>
      </c>
      <c r="AO13" s="22">
        <f t="shared" si="34"/>
        <v>0</v>
      </c>
      <c r="AP13" s="23" t="str">
        <f>IF(SUMPRODUCT($J$66:AO$66,$J13:AO13)&lt;0.5, "Pending", IF(AO13&lt;0.5, "Complete", "In Progress"))</f>
        <v>Pending</v>
      </c>
      <c r="AQ13" s="22">
        <v>0</v>
      </c>
      <c r="AR13" s="22">
        <f t="shared" si="35"/>
        <v>0</v>
      </c>
      <c r="AS13" s="23" t="str">
        <f>IF(SUMPRODUCT($J$66:AR$66,$J13:AR13)&lt;0.5, "Pending", IF(AR13&lt;0.5, "Complete", "In Progress"))</f>
        <v>Pending</v>
      </c>
      <c r="AT13" s="22">
        <v>0</v>
      </c>
      <c r="AU13" s="22">
        <f t="shared" si="36"/>
        <v>0</v>
      </c>
      <c r="AV13" s="23" t="str">
        <f>IF(SUMPRODUCT($J$66:AU$66,$J13:AU13)&lt;0.5, "Pending", IF(AU13&lt;0.5, "Complete", "In Progress"))</f>
        <v>Pending</v>
      </c>
      <c r="AW13" s="22">
        <v>0</v>
      </c>
      <c r="AX13" s="22">
        <f t="shared" si="37"/>
        <v>0</v>
      </c>
      <c r="AY13" s="23" t="str">
        <f>IF(SUMPRODUCT($J$66:AX$66,$J13:AX13)&lt;0.5,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IF(SUMPRODUCT($J$66:BA$66,$J13:BA13)&lt;0.5,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IF(SUMPRODUCT($J$66:BD$66,$J13:BD13)&lt;0.5,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IF(SUMPRODUCT($J$66:BG$66,$J13:BG13)&lt;0.5,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IF(SUMPRODUCT($J$66:BJ$66,$J13:BJ13)&lt;0.5,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IF(SUMPRODUCT($J$66:BM$66,$J13:BM13)&lt;0.5,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IF(SUMPRODUCT($J$66:BP$66,$J13:BP13)&lt;0.5,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IF(SUMPRODUCT($J$66:BS$66,$J13:BS13)&lt;0.5,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IF(SUMPRODUCT($J$66:BV$66,$J13:BV13)&lt;0.5,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IF(SUMPRODUCT($J$66:BY$66,$J13:BY13)&lt;0.5,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IF(SUMPRODUCT($J$66:CB$66,$J13:CB13)&lt;0.5, "Pending", IF(CB13&lt;0.5, "Complete", "In Progress"))</f>
        <v>#REF!</v>
      </c>
      <c r="CD13" s="24"/>
      <c r="CE13" s="25">
        <f>SUMPRODUCT($H$66:AY$66,$H13:AY13)</f>
        <v>0</v>
      </c>
    </row>
    <row r="14" spans="1:83" x14ac:dyDescent="0.2">
      <c r="A14" s="16"/>
      <c r="B14" s="16" t="s">
        <v>126</v>
      </c>
      <c r="C14" s="16" t="s">
        <v>174</v>
      </c>
      <c r="D14" s="17" t="s">
        <v>175</v>
      </c>
      <c r="E14" s="178" t="s">
        <v>153</v>
      </c>
      <c r="F14" s="18" t="s">
        <v>117</v>
      </c>
      <c r="G14" s="19" t="str">
        <f t="shared" ca="1" si="0"/>
        <v>Pending</v>
      </c>
      <c r="H14" s="20">
        <v>1</v>
      </c>
      <c r="I14" s="21">
        <v>2</v>
      </c>
      <c r="J14" s="22">
        <v>0</v>
      </c>
      <c r="K14" s="22">
        <f t="shared" si="24"/>
        <v>2</v>
      </c>
      <c r="L14" s="23" t="str">
        <f>IF(SUMPRODUCT($J$66:K$66,$J14:K14)&lt;0.5, "Pending", IF(K14&lt;0.5, "Complete", "In Progress"))</f>
        <v>Pending</v>
      </c>
      <c r="M14" s="22">
        <v>0</v>
      </c>
      <c r="N14" s="22">
        <f t="shared" si="25"/>
        <v>2</v>
      </c>
      <c r="O14" s="23" t="str">
        <f>IF(SUMPRODUCT($J$66:N$66,$J14:N14)&lt;0.5, "Pending", IF(N14&lt;0.5, "Complete", "In Progress"))</f>
        <v>Pending</v>
      </c>
      <c r="P14" s="22">
        <v>0</v>
      </c>
      <c r="Q14" s="22">
        <f t="shared" si="26"/>
        <v>2</v>
      </c>
      <c r="R14" s="23" t="str">
        <f>IF(SUMPRODUCT($J$66:Q$66,$J14:Q14)&lt;0.5, "Pending", IF(Q14&lt;0.5, "Complete", "In Progress"))</f>
        <v>Pending</v>
      </c>
      <c r="S14" s="22">
        <v>0</v>
      </c>
      <c r="T14" s="22">
        <f t="shared" si="27"/>
        <v>2</v>
      </c>
      <c r="U14" s="23" t="str">
        <f>IF(SUMPRODUCT($J$66:T$66,$J14:T14)&lt;0.5, "Pending", IF(T14&lt;0.5, "Complete", "In Progress"))</f>
        <v>Pending</v>
      </c>
      <c r="V14" s="22">
        <v>0</v>
      </c>
      <c r="W14" s="22">
        <f t="shared" si="28"/>
        <v>2</v>
      </c>
      <c r="X14" s="23" t="str">
        <f>IF(SUMPRODUCT($J$66:W$66,$J14:W14)&lt;0.5, "Pending", IF(W14&lt;0.5, "Complete", "In Progress"))</f>
        <v>Pending</v>
      </c>
      <c r="Y14" s="22">
        <v>0</v>
      </c>
      <c r="Z14" s="22">
        <f t="shared" si="29"/>
        <v>2</v>
      </c>
      <c r="AA14" s="23" t="str">
        <f>IF(SUMPRODUCT($J$66:Z$66,$J14:Z14)&lt;0.5, "Pending", IF(Z14&lt;0.5, "Complete", "In Progress"))</f>
        <v>Pending</v>
      </c>
      <c r="AB14" s="22">
        <v>0</v>
      </c>
      <c r="AC14" s="22">
        <f t="shared" si="30"/>
        <v>2</v>
      </c>
      <c r="AD14" s="23" t="str">
        <f>IF(SUMPRODUCT($J$66:AC$66,$J14:AC14)&lt;0.5, "Pending", IF(AC14&lt;0.5, "Complete", "In Progress"))</f>
        <v>Pending</v>
      </c>
      <c r="AE14" s="22">
        <v>0</v>
      </c>
      <c r="AF14" s="22">
        <f t="shared" si="31"/>
        <v>2</v>
      </c>
      <c r="AG14" s="23" t="str">
        <f>IF(SUMPRODUCT($J$66:AF$66,$J14:AF14)&lt;0.5, "Pending", IF(AF14&lt;0.5, "Complete", "In Progress"))</f>
        <v>Pending</v>
      </c>
      <c r="AH14" s="22">
        <v>0</v>
      </c>
      <c r="AI14" s="22">
        <f t="shared" si="32"/>
        <v>2</v>
      </c>
      <c r="AJ14" s="23" t="str">
        <f>IF(SUMPRODUCT($J$66:AI$66,$J14:AI14)&lt;0.5, "Pending", IF(AI14&lt;0.5, "Complete", "In Progress"))</f>
        <v>Pending</v>
      </c>
      <c r="AK14" s="22">
        <v>0</v>
      </c>
      <c r="AL14" s="22">
        <f t="shared" si="33"/>
        <v>2</v>
      </c>
      <c r="AM14" s="23" t="str">
        <f>IF(SUMPRODUCT($J$66:AL$66,$J14:AL14)&lt;0.5, "Pending", IF(AL14&lt;0.5, "Complete", "In Progress"))</f>
        <v>Pending</v>
      </c>
      <c r="AN14" s="22">
        <v>0</v>
      </c>
      <c r="AO14" s="22">
        <f t="shared" si="34"/>
        <v>2</v>
      </c>
      <c r="AP14" s="23" t="str">
        <f>IF(SUMPRODUCT($J$66:AO$66,$J14:AO14)&lt;0.5, "Pending", IF(AO14&lt;0.5, "Complete", "In Progress"))</f>
        <v>Pending</v>
      </c>
      <c r="AQ14" s="22">
        <v>0</v>
      </c>
      <c r="AR14" s="22">
        <f t="shared" si="35"/>
        <v>2</v>
      </c>
      <c r="AS14" s="23" t="str">
        <f>IF(SUMPRODUCT($J$66:AR$66,$J14:AR14)&lt;0.5, "Pending", IF(AR14&lt;0.5, "Complete", "In Progress"))</f>
        <v>Pending</v>
      </c>
      <c r="AT14" s="22">
        <v>0</v>
      </c>
      <c r="AU14" s="22">
        <f t="shared" si="36"/>
        <v>2</v>
      </c>
      <c r="AV14" s="23" t="str">
        <f>IF(SUMPRODUCT($J$66:AU$66,$J14:AU14)&lt;0.5, "Pending", IF(AU14&lt;0.5, "Complete", "In Progress"))</f>
        <v>Pending</v>
      </c>
      <c r="AW14" s="22">
        <v>0</v>
      </c>
      <c r="AX14" s="22">
        <f t="shared" si="37"/>
        <v>2</v>
      </c>
      <c r="AY14" s="23" t="str">
        <f>IF(SUMPRODUCT($J$66:AX$66,$J14:AX14)&lt;0.5,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IF(SUMPRODUCT($J$66:BA$66,$J14:BA14)&lt;0.5,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IF(SUMPRODUCT($J$66:BD$66,$J14:BD14)&lt;0.5,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IF(SUMPRODUCT($J$66:BG$66,$J14:BG14)&lt;0.5,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IF(SUMPRODUCT($J$66:BJ$66,$J14:BJ14)&lt;0.5,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IF(SUMPRODUCT($J$66:BM$66,$J14:BM14)&lt;0.5,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IF(SUMPRODUCT($J$66:BP$66,$J14:BP14)&lt;0.5,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IF(SUMPRODUCT($J$66:BS$66,$J14:BS14)&lt;0.5,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IF(SUMPRODUCT($J$66:BV$66,$J14:BV14)&lt;0.5,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IF(SUMPRODUCT($J$66:BY$66,$J14:BY14)&lt;0.5,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IF(SUMPRODUCT($J$66:CB$66,$J14:CB14)&lt;0.5, "Pending", IF(CB14&lt;0.5, "Complete", "In Progress"))</f>
        <v>#REF!</v>
      </c>
      <c r="CD14" s="24"/>
      <c r="CE14" s="25">
        <f>SUMPRODUCT($H$66:AY$66,$H14:AY14)</f>
        <v>0</v>
      </c>
    </row>
    <row r="15" spans="1:83" x14ac:dyDescent="0.2">
      <c r="A15" s="16"/>
      <c r="B15" s="16" t="s">
        <v>126</v>
      </c>
      <c r="C15" s="16" t="s">
        <v>174</v>
      </c>
      <c r="D15" s="17" t="s">
        <v>178</v>
      </c>
      <c r="E15" s="178" t="s">
        <v>154</v>
      </c>
      <c r="F15" s="18" t="s">
        <v>117</v>
      </c>
      <c r="G15" s="19" t="str">
        <f t="shared" ca="1" si="0"/>
        <v>Pending</v>
      </c>
      <c r="H15" s="20">
        <v>1</v>
      </c>
      <c r="I15" s="21">
        <v>5</v>
      </c>
      <c r="J15" s="22">
        <v>0</v>
      </c>
      <c r="K15" s="22">
        <f t="shared" si="24"/>
        <v>5</v>
      </c>
      <c r="L15" s="23" t="str">
        <f>IF(SUMPRODUCT($J$66:K$66,$J15:K15)&lt;0.5, "Pending", IF(K15&lt;0.5, "Complete", "In Progress"))</f>
        <v>Pending</v>
      </c>
      <c r="M15" s="22">
        <v>0</v>
      </c>
      <c r="N15" s="22">
        <f t="shared" si="25"/>
        <v>5</v>
      </c>
      <c r="O15" s="23" t="str">
        <f>IF(SUMPRODUCT($J$66:N$66,$J15:N15)&lt;0.5, "Pending", IF(N15&lt;0.5, "Complete", "In Progress"))</f>
        <v>Pending</v>
      </c>
      <c r="P15" s="22">
        <v>0</v>
      </c>
      <c r="Q15" s="22">
        <f t="shared" si="26"/>
        <v>5</v>
      </c>
      <c r="R15" s="23" t="str">
        <f>IF(SUMPRODUCT($J$66:Q$66,$J15:Q15)&lt;0.5, "Pending", IF(Q15&lt;0.5, "Complete", "In Progress"))</f>
        <v>Pending</v>
      </c>
      <c r="S15" s="22">
        <v>0</v>
      </c>
      <c r="T15" s="22">
        <f t="shared" si="27"/>
        <v>5</v>
      </c>
      <c r="U15" s="23" t="str">
        <f>IF(SUMPRODUCT($J$66:T$66,$J15:T15)&lt;0.5, "Pending", IF(T15&lt;0.5, "Complete", "In Progress"))</f>
        <v>Pending</v>
      </c>
      <c r="V15" s="22">
        <v>0</v>
      </c>
      <c r="W15" s="22">
        <f t="shared" si="28"/>
        <v>5</v>
      </c>
      <c r="X15" s="23" t="str">
        <f>IF(SUMPRODUCT($J$66:W$66,$J15:W15)&lt;0.5, "Pending", IF(W15&lt;0.5, "Complete", "In Progress"))</f>
        <v>Pending</v>
      </c>
      <c r="Y15" s="22">
        <v>0</v>
      </c>
      <c r="Z15" s="22">
        <f t="shared" si="29"/>
        <v>5</v>
      </c>
      <c r="AA15" s="23" t="str">
        <f>IF(SUMPRODUCT($J$66:Z$66,$J15:Z15)&lt;0.5, "Pending", IF(Z15&lt;0.5, "Complete", "In Progress"))</f>
        <v>Pending</v>
      </c>
      <c r="AB15" s="22">
        <v>0</v>
      </c>
      <c r="AC15" s="22">
        <f t="shared" si="30"/>
        <v>5</v>
      </c>
      <c r="AD15" s="23" t="str">
        <f>IF(SUMPRODUCT($J$66:AC$66,$J15:AC15)&lt;0.5, "Pending", IF(AC15&lt;0.5, "Complete", "In Progress"))</f>
        <v>Pending</v>
      </c>
      <c r="AE15" s="22">
        <v>0</v>
      </c>
      <c r="AF15" s="22">
        <f t="shared" si="31"/>
        <v>5</v>
      </c>
      <c r="AG15" s="23" t="str">
        <f>IF(SUMPRODUCT($J$66:AF$66,$J15:AF15)&lt;0.5, "Pending", IF(AF15&lt;0.5, "Complete", "In Progress"))</f>
        <v>Pending</v>
      </c>
      <c r="AH15" s="22">
        <v>0</v>
      </c>
      <c r="AI15" s="22">
        <f t="shared" si="32"/>
        <v>5</v>
      </c>
      <c r="AJ15" s="23" t="str">
        <f>IF(SUMPRODUCT($J$66:AI$66,$J15:AI15)&lt;0.5, "Pending", IF(AI15&lt;0.5, "Complete", "In Progress"))</f>
        <v>Pending</v>
      </c>
      <c r="AK15" s="22">
        <v>0</v>
      </c>
      <c r="AL15" s="22">
        <f t="shared" si="33"/>
        <v>5</v>
      </c>
      <c r="AM15" s="23" t="str">
        <f>IF(SUMPRODUCT($J$66:AL$66,$J15:AL15)&lt;0.5, "Pending", IF(AL15&lt;0.5, "Complete", "In Progress"))</f>
        <v>Pending</v>
      </c>
      <c r="AN15" s="22">
        <v>0</v>
      </c>
      <c r="AO15" s="22">
        <f t="shared" si="34"/>
        <v>5</v>
      </c>
      <c r="AP15" s="23" t="str">
        <f>IF(SUMPRODUCT($J$66:AO$66,$J15:AO15)&lt;0.5, "Pending", IF(AO15&lt;0.5, "Complete", "In Progress"))</f>
        <v>Pending</v>
      </c>
      <c r="AQ15" s="22">
        <v>0</v>
      </c>
      <c r="AR15" s="22">
        <f t="shared" si="35"/>
        <v>5</v>
      </c>
      <c r="AS15" s="23" t="str">
        <f>IF(SUMPRODUCT($J$66:AR$66,$J15:AR15)&lt;0.5, "Pending", IF(AR15&lt;0.5, "Complete", "In Progress"))</f>
        <v>Pending</v>
      </c>
      <c r="AT15" s="22">
        <v>0</v>
      </c>
      <c r="AU15" s="22">
        <f t="shared" si="36"/>
        <v>5</v>
      </c>
      <c r="AV15" s="23" t="str">
        <f>IF(SUMPRODUCT($J$66:AU$66,$J15:AU15)&lt;0.5, "Pending", IF(AU15&lt;0.5, "Complete", "In Progress"))</f>
        <v>Pending</v>
      </c>
      <c r="AW15" s="22">
        <v>0</v>
      </c>
      <c r="AX15" s="22">
        <f t="shared" si="37"/>
        <v>5</v>
      </c>
      <c r="AY15" s="23" t="str">
        <f>IF(SUMPRODUCT($J$66:AX$66,$J15:AX15)&lt;0.5,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IF(SUMPRODUCT($J$66:BA$66,$J15:BA15)&lt;0.5,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IF(SUMPRODUCT($J$66:BD$66,$J15:BD15)&lt;0.5,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IF(SUMPRODUCT($J$66:BG$66,$J15:BG15)&lt;0.5,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IF(SUMPRODUCT($J$66:BJ$66,$J15:BJ15)&lt;0.5,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IF(SUMPRODUCT($J$66:BM$66,$J15:BM15)&lt;0.5,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IF(SUMPRODUCT($J$66:BP$66,$J15:BP15)&lt;0.5,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IF(SUMPRODUCT($J$66:BS$66,$J15:BS15)&lt;0.5,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IF(SUMPRODUCT($J$66:BV$66,$J15:BV15)&lt;0.5,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IF(SUMPRODUCT($J$66:BY$66,$J15:BY15)&lt;0.5,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IF(SUMPRODUCT($J$66:CB$66,$J15:CB15)&lt;0.5, "Pending", IF(CB15&lt;0.5, "Complete", "In Progress"))</f>
        <v>#REF!</v>
      </c>
      <c r="CD15" s="24"/>
      <c r="CE15" s="25">
        <f>SUMPRODUCT($H$66:AY$66,$H15:AY15)</f>
        <v>0</v>
      </c>
    </row>
    <row r="16" spans="1:83" x14ac:dyDescent="0.2">
      <c r="A16" s="16"/>
      <c r="B16" s="16" t="s">
        <v>126</v>
      </c>
      <c r="C16" s="16" t="s">
        <v>174</v>
      </c>
      <c r="D16" s="17" t="s">
        <v>179</v>
      </c>
      <c r="E16" s="178" t="s">
        <v>155</v>
      </c>
      <c r="F16" s="18" t="s">
        <v>117</v>
      </c>
      <c r="G16" s="19" t="str">
        <f t="shared" ca="1" si="0"/>
        <v>Pending</v>
      </c>
      <c r="H16" s="20">
        <v>1</v>
      </c>
      <c r="I16" s="21">
        <v>13</v>
      </c>
      <c r="J16" s="22">
        <v>0</v>
      </c>
      <c r="K16" s="22">
        <f t="shared" ref="K16" si="47">MAX(I16-J16, 0)</f>
        <v>13</v>
      </c>
      <c r="L16" s="23" t="str">
        <f>IF(SUMPRODUCT($J$66:K$66,$J16:K16)&lt;0.5, "Pending", IF(K16&lt;0.5, "Complete", "In Progress"))</f>
        <v>Pending</v>
      </c>
      <c r="M16" s="22">
        <v>0</v>
      </c>
      <c r="N16" s="22">
        <f t="shared" ref="N16" si="48">MAX(K16-M16,0)</f>
        <v>13</v>
      </c>
      <c r="O16" s="23" t="str">
        <f>IF(SUMPRODUCT($J$66:N$66,$J16:N16)&lt;0.5, "Pending", IF(N16&lt;0.5, "Complete", "In Progress"))</f>
        <v>Pending</v>
      </c>
      <c r="P16" s="22">
        <v>0</v>
      </c>
      <c r="Q16" s="22">
        <f t="shared" ref="Q16" si="49">MAX(N16-P16,0)</f>
        <v>13</v>
      </c>
      <c r="R16" s="23" t="str">
        <f>IF(SUMPRODUCT($J$66:Q$66,$J16:Q16)&lt;0.5, "Pending", IF(Q16&lt;0.5, "Complete", "In Progress"))</f>
        <v>Pending</v>
      </c>
      <c r="S16" s="22">
        <v>0</v>
      </c>
      <c r="T16" s="22">
        <f t="shared" ref="T16" si="50">MAX(Q16-S16,0)</f>
        <v>13</v>
      </c>
      <c r="U16" s="23" t="str">
        <f>IF(SUMPRODUCT($J$66:T$66,$J16:T16)&lt;0.5, "Pending", IF(T16&lt;0.5, "Complete", "In Progress"))</f>
        <v>Pending</v>
      </c>
      <c r="V16" s="22">
        <v>0</v>
      </c>
      <c r="W16" s="22">
        <f t="shared" ref="W16" si="51">MAX(T16-V16,0)</f>
        <v>13</v>
      </c>
      <c r="X16" s="23" t="str">
        <f>IF(SUMPRODUCT($J$66:W$66,$J16:W16)&lt;0.5, "Pending", IF(W16&lt;0.5, "Complete", "In Progress"))</f>
        <v>Pending</v>
      </c>
      <c r="Y16" s="22">
        <v>0</v>
      </c>
      <c r="Z16" s="22">
        <f t="shared" ref="Z16" si="52">MAX(W16-Y16,0)</f>
        <v>13</v>
      </c>
      <c r="AA16" s="23" t="str">
        <f>IF(SUMPRODUCT($J$66:Z$66,$J16:Z16)&lt;0.5, "Pending", IF(Z16&lt;0.5, "Complete", "In Progress"))</f>
        <v>Pending</v>
      </c>
      <c r="AB16" s="22">
        <v>0</v>
      </c>
      <c r="AC16" s="22">
        <f t="shared" ref="AC16" si="53">MAX(Z16-AB16,0)</f>
        <v>13</v>
      </c>
      <c r="AD16" s="23" t="str">
        <f>IF(SUMPRODUCT($J$66:AC$66,$J16:AC16)&lt;0.5, "Pending", IF(AC16&lt;0.5, "Complete", "In Progress"))</f>
        <v>Pending</v>
      </c>
      <c r="AE16" s="22">
        <v>0</v>
      </c>
      <c r="AF16" s="22">
        <f t="shared" ref="AF16" si="54">MAX(AC16-AE16,0)</f>
        <v>13</v>
      </c>
      <c r="AG16" s="23" t="str">
        <f>IF(SUMPRODUCT($J$66:AF$66,$J16:AF16)&lt;0.5, "Pending", IF(AF16&lt;0.5, "Complete", "In Progress"))</f>
        <v>Pending</v>
      </c>
      <c r="AH16" s="22">
        <v>0</v>
      </c>
      <c r="AI16" s="22">
        <f t="shared" ref="AI16" si="55">MAX(AF16-AH16,0)</f>
        <v>13</v>
      </c>
      <c r="AJ16" s="23" t="str">
        <f>IF(SUMPRODUCT($J$66:AI$66,$J16:AI16)&lt;0.5, "Pending", IF(AI16&lt;0.5, "Complete", "In Progress"))</f>
        <v>Pending</v>
      </c>
      <c r="AK16" s="22">
        <v>0</v>
      </c>
      <c r="AL16" s="22">
        <f t="shared" ref="AL16" si="56">MAX(AI16-AK16,0)</f>
        <v>13</v>
      </c>
      <c r="AM16" s="23" t="str">
        <f>IF(SUMPRODUCT($J$66:AL$66,$J16:AL16)&lt;0.5, "Pending", IF(AL16&lt;0.5, "Complete", "In Progress"))</f>
        <v>Pending</v>
      </c>
      <c r="AN16" s="22">
        <v>0</v>
      </c>
      <c r="AO16" s="22">
        <f t="shared" ref="AO16" si="57">MAX(AL16-AN16,0)</f>
        <v>13</v>
      </c>
      <c r="AP16" s="23" t="str">
        <f>IF(SUMPRODUCT($J$66:AO$66,$J16:AO16)&lt;0.5, "Pending", IF(AO16&lt;0.5, "Complete", "In Progress"))</f>
        <v>Pending</v>
      </c>
      <c r="AQ16" s="22">
        <v>0</v>
      </c>
      <c r="AR16" s="22">
        <f t="shared" ref="AR16" si="58">MAX(AO16-AQ16,0)</f>
        <v>13</v>
      </c>
      <c r="AS16" s="23" t="str">
        <f>IF(SUMPRODUCT($J$66:AR$66,$J16:AR16)&lt;0.5, "Pending", IF(AR16&lt;0.5, "Complete", "In Progress"))</f>
        <v>Pending</v>
      </c>
      <c r="AT16" s="22">
        <v>0</v>
      </c>
      <c r="AU16" s="22">
        <f t="shared" ref="AU16" si="59">MAX(AR16-AT16,0)</f>
        <v>13</v>
      </c>
      <c r="AV16" s="23" t="str">
        <f>IF(SUMPRODUCT($J$66:AU$66,$J16:AU16)&lt;0.5, "Pending", IF(AU16&lt;0.5, "Complete", "In Progress"))</f>
        <v>Pending</v>
      </c>
      <c r="AW16" s="22">
        <v>0</v>
      </c>
      <c r="AX16" s="22">
        <f t="shared" ref="AX16" si="60">MAX(AU16-AW16,0)</f>
        <v>13</v>
      </c>
      <c r="AY16" s="23" t="str">
        <f>IF(SUMPRODUCT($J$66:AX$66,$J16:AX16)&lt;0.5,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IF(SUMPRODUCT($J$66:BA$66,$J16:BA16)&lt;0.5, "Pending", IF(BA16&lt;0.5, "Complete", "In Progress"))</f>
        <v>#REF!</v>
      </c>
      <c r="BC16" s="22">
        <v>0</v>
      </c>
      <c r="BD16" s="22" t="e">
        <f t="shared" ref="BD16" si="61">MAX(BA16-BC16,0)</f>
        <v>#REF!</v>
      </c>
      <c r="BE16" s="23" t="e">
        <f>IF(SUMPRODUCT($J$66:BD$66,$J16:BD16)&lt;0.5, "Pending", IF(BD16&lt;0.5, "Complete", "In Progress"))</f>
        <v>#REF!</v>
      </c>
      <c r="BF16" s="22">
        <v>0</v>
      </c>
      <c r="BG16" s="22" t="e">
        <f t="shared" ref="BG16" si="62">MAX(BD16-BF16,0)</f>
        <v>#REF!</v>
      </c>
      <c r="BH16" s="23" t="e">
        <f>IF(SUMPRODUCT($J$66:BG$66,$J16:BG16)&lt;0.5, "Pending", IF(BG16&lt;0.5, "Complete", "In Progress"))</f>
        <v>#REF!</v>
      </c>
      <c r="BI16" s="22">
        <v>0</v>
      </c>
      <c r="BJ16" s="22" t="e">
        <f t="shared" ref="BJ16" si="63">MAX(BG16-BI16,0)</f>
        <v>#REF!</v>
      </c>
      <c r="BK16" s="23" t="e">
        <f>IF(SUMPRODUCT($J$66:BJ$66,$J16:BJ16)&lt;0.5, "Pending", IF(BJ16&lt;0.5, "Complete", "In Progress"))</f>
        <v>#REF!</v>
      </c>
      <c r="BL16" s="22">
        <v>0</v>
      </c>
      <c r="BM16" s="22" t="e">
        <f t="shared" ref="BM16" si="64">MAX(BJ16-BL16,0)</f>
        <v>#REF!</v>
      </c>
      <c r="BN16" s="23" t="e">
        <f>IF(SUMPRODUCT($J$66:BM$66,$J16:BM16)&lt;0.5, "Pending", IF(BM16&lt;0.5, "Complete", "In Progress"))</f>
        <v>#REF!</v>
      </c>
      <c r="BO16" s="22">
        <v>0</v>
      </c>
      <c r="BP16" s="22" t="e">
        <f t="shared" ref="BP16" si="65">MAX(BM16-BO16,0)</f>
        <v>#REF!</v>
      </c>
      <c r="BQ16" s="23" t="e">
        <f>IF(SUMPRODUCT($J$66:BP$66,$J16:BP16)&lt;0.5, "Pending", IF(BP16&lt;0.5, "Complete", "In Progress"))</f>
        <v>#REF!</v>
      </c>
      <c r="BR16" s="22">
        <v>0</v>
      </c>
      <c r="BS16" s="22" t="e">
        <f t="shared" ref="BS16" si="66">MAX(BP16-BR16,0)</f>
        <v>#REF!</v>
      </c>
      <c r="BT16" s="23" t="e">
        <f>IF(SUMPRODUCT($J$66:BS$66,$J16:BS16)&lt;0.5, "Pending", IF(BS16&lt;0.5, "Complete", "In Progress"))</f>
        <v>#REF!</v>
      </c>
      <c r="BU16" s="22">
        <v>0</v>
      </c>
      <c r="BV16" s="22" t="e">
        <f t="shared" ref="BV16" si="67">MAX(BS16-BU16,0)</f>
        <v>#REF!</v>
      </c>
      <c r="BW16" s="23" t="e">
        <f>IF(SUMPRODUCT($J$66:BV$66,$J16:BV16)&lt;0.5, "Pending", IF(BV16&lt;0.5, "Complete", "In Progress"))</f>
        <v>#REF!</v>
      </c>
      <c r="BX16" s="22">
        <v>0</v>
      </c>
      <c r="BY16" s="22" t="e">
        <f t="shared" ref="BY16" si="68">MAX(BV16-BX16,0)</f>
        <v>#REF!</v>
      </c>
      <c r="BZ16" s="23" t="e">
        <f>IF(SUMPRODUCT($J$66:BY$66,$J16:BY16)&lt;0.5, "Pending", IF(BY16&lt;0.5, "Complete", "In Progress"))</f>
        <v>#REF!</v>
      </c>
      <c r="CA16" s="22">
        <v>0</v>
      </c>
      <c r="CB16" s="22" t="e">
        <f t="shared" ref="CB16" si="69">MAX(BY16-CA16,0)</f>
        <v>#REF!</v>
      </c>
      <c r="CC16" s="23" t="e">
        <f>IF(SUMPRODUCT($J$66:CB$66,$J16:CB16)&lt;0.5, "Pending", IF(CB16&lt;0.5, "Complete", "In Progress"))</f>
        <v>#REF!</v>
      </c>
      <c r="CD16" s="24"/>
      <c r="CE16" s="25">
        <f>SUMPRODUCT($H$66:AY$66,$H16:AY16)</f>
        <v>0</v>
      </c>
    </row>
    <row r="17" spans="1:83" x14ac:dyDescent="0.2">
      <c r="A17" s="16"/>
      <c r="B17" s="16" t="s">
        <v>129</v>
      </c>
      <c r="C17" s="16" t="s">
        <v>174</v>
      </c>
      <c r="D17" s="17" t="s">
        <v>180</v>
      </c>
      <c r="E17" s="178" t="s">
        <v>156</v>
      </c>
      <c r="F17" s="18" t="s">
        <v>117</v>
      </c>
      <c r="G17" s="19" t="str">
        <f t="shared" ca="1" si="0"/>
        <v>Pending</v>
      </c>
      <c r="H17" s="20">
        <v>1</v>
      </c>
      <c r="I17" s="21">
        <v>2</v>
      </c>
      <c r="J17" s="22">
        <v>0</v>
      </c>
      <c r="K17" s="22">
        <f t="shared" si="24"/>
        <v>2</v>
      </c>
      <c r="L17" s="23" t="str">
        <f>IF(SUMPRODUCT($J$66:K$66,$J17:K17)&lt;0.5, "Pending", IF(K17&lt;0.5, "Complete", "In Progress"))</f>
        <v>Pending</v>
      </c>
      <c r="M17" s="22">
        <v>0</v>
      </c>
      <c r="N17" s="22">
        <f t="shared" si="25"/>
        <v>2</v>
      </c>
      <c r="O17" s="23" t="str">
        <f>IF(SUMPRODUCT($J$66:N$66,$J17:N17)&lt;0.5, "Pending", IF(N17&lt;0.5, "Complete", "In Progress"))</f>
        <v>Pending</v>
      </c>
      <c r="P17" s="22">
        <v>0</v>
      </c>
      <c r="Q17" s="22">
        <f t="shared" si="26"/>
        <v>2</v>
      </c>
      <c r="R17" s="23" t="str">
        <f>IF(SUMPRODUCT($J$66:Q$66,$J17:Q17)&lt;0.5, "Pending", IF(Q17&lt;0.5, "Complete", "In Progress"))</f>
        <v>Pending</v>
      </c>
      <c r="S17" s="22">
        <v>0</v>
      </c>
      <c r="T17" s="22">
        <f t="shared" si="27"/>
        <v>2</v>
      </c>
      <c r="U17" s="23" t="str">
        <f>IF(SUMPRODUCT($J$66:T$66,$J17:T17)&lt;0.5, "Pending", IF(T17&lt;0.5, "Complete", "In Progress"))</f>
        <v>Pending</v>
      </c>
      <c r="V17" s="22">
        <v>0</v>
      </c>
      <c r="W17" s="22">
        <f t="shared" si="28"/>
        <v>2</v>
      </c>
      <c r="X17" s="23" t="str">
        <f>IF(SUMPRODUCT($J$66:W$66,$J17:W17)&lt;0.5, "Pending", IF(W17&lt;0.5, "Complete", "In Progress"))</f>
        <v>Pending</v>
      </c>
      <c r="Y17" s="22">
        <v>0</v>
      </c>
      <c r="Z17" s="22">
        <f t="shared" si="29"/>
        <v>2</v>
      </c>
      <c r="AA17" s="23" t="str">
        <f>IF(SUMPRODUCT($J$66:Z$66,$J17:Z17)&lt;0.5, "Pending", IF(Z17&lt;0.5, "Complete", "In Progress"))</f>
        <v>Pending</v>
      </c>
      <c r="AB17" s="22">
        <v>0</v>
      </c>
      <c r="AC17" s="22">
        <f t="shared" si="30"/>
        <v>2</v>
      </c>
      <c r="AD17" s="23" t="str">
        <f>IF(SUMPRODUCT($J$66:AC$66,$J17:AC17)&lt;0.5, "Pending", IF(AC17&lt;0.5, "Complete", "In Progress"))</f>
        <v>Pending</v>
      </c>
      <c r="AE17" s="22">
        <v>0</v>
      </c>
      <c r="AF17" s="22">
        <f t="shared" si="31"/>
        <v>2</v>
      </c>
      <c r="AG17" s="23" t="str">
        <f>IF(SUMPRODUCT($J$66:AF$66,$J17:AF17)&lt;0.5, "Pending", IF(AF17&lt;0.5, "Complete", "In Progress"))</f>
        <v>Pending</v>
      </c>
      <c r="AH17" s="22">
        <v>0</v>
      </c>
      <c r="AI17" s="22">
        <f t="shared" si="32"/>
        <v>2</v>
      </c>
      <c r="AJ17" s="23" t="str">
        <f>IF(SUMPRODUCT($J$66:AI$66,$J17:AI17)&lt;0.5, "Pending", IF(AI17&lt;0.5, "Complete", "In Progress"))</f>
        <v>Pending</v>
      </c>
      <c r="AK17" s="22">
        <v>0</v>
      </c>
      <c r="AL17" s="22">
        <f t="shared" si="33"/>
        <v>2</v>
      </c>
      <c r="AM17" s="23" t="str">
        <f>IF(SUMPRODUCT($J$66:AL$66,$J17:AL17)&lt;0.5, "Pending", IF(AL17&lt;0.5, "Complete", "In Progress"))</f>
        <v>Pending</v>
      </c>
      <c r="AN17" s="22">
        <v>0</v>
      </c>
      <c r="AO17" s="22">
        <f t="shared" si="34"/>
        <v>2</v>
      </c>
      <c r="AP17" s="23" t="str">
        <f>IF(SUMPRODUCT($J$66:AO$66,$J17:AO17)&lt;0.5, "Pending", IF(AO17&lt;0.5, "Complete", "In Progress"))</f>
        <v>Pending</v>
      </c>
      <c r="AQ17" s="22">
        <v>0</v>
      </c>
      <c r="AR17" s="22">
        <f t="shared" si="35"/>
        <v>2</v>
      </c>
      <c r="AS17" s="23" t="str">
        <f>IF(SUMPRODUCT($J$66:AR$66,$J17:AR17)&lt;0.5, "Pending", IF(AR17&lt;0.5, "Complete", "In Progress"))</f>
        <v>Pending</v>
      </c>
      <c r="AT17" s="22">
        <v>0</v>
      </c>
      <c r="AU17" s="22">
        <f t="shared" si="36"/>
        <v>2</v>
      </c>
      <c r="AV17" s="23" t="str">
        <f>IF(SUMPRODUCT($J$66:AU$66,$J17:AU17)&lt;0.5, "Pending", IF(AU17&lt;0.5, "Complete", "In Progress"))</f>
        <v>Pending</v>
      </c>
      <c r="AW17" s="22">
        <v>0</v>
      </c>
      <c r="AX17" s="22">
        <f t="shared" si="37"/>
        <v>2</v>
      </c>
      <c r="AY17" s="23" t="str">
        <f>IF(SUMPRODUCT($J$66:AX$66,$J17:AX17)&lt;0.5,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IF(SUMPRODUCT($J$66:BA$66,$J17:BA17)&lt;0.5,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IF(SUMPRODUCT($J$66:BD$66,$J17:BD17)&lt;0.5,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IF(SUMPRODUCT($J$66:BG$66,$J17:BG17)&lt;0.5,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IF(SUMPRODUCT($J$66:BJ$66,$J17:BJ17)&lt;0.5,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IF(SUMPRODUCT($J$66:BM$66,$J17:BM17)&lt;0.5,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IF(SUMPRODUCT($J$66:BP$66,$J17:BP17)&lt;0.5,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IF(SUMPRODUCT($J$66:BS$66,$J17:BS17)&lt;0.5,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IF(SUMPRODUCT($J$66:BV$66,$J17:BV17)&lt;0.5,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IF(SUMPRODUCT($J$66:BY$66,$J17:BY17)&lt;0.5,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IF(SUMPRODUCT($J$66:CB$66,$J17:CB17)&lt;0.5, "Pending", IF(CB17&lt;0.5, "Complete", "In Progress"))</f>
        <v>#REF!</v>
      </c>
      <c r="CD17" s="24"/>
      <c r="CE17" s="25">
        <f>SUMPRODUCT($H$66:AY$66,$H17:AY17)</f>
        <v>0</v>
      </c>
    </row>
    <row r="18" spans="1:83" x14ac:dyDescent="0.2">
      <c r="A18" s="16"/>
      <c r="B18" s="16" t="s">
        <v>129</v>
      </c>
      <c r="C18" s="16" t="s">
        <v>174</v>
      </c>
      <c r="D18" s="17" t="s">
        <v>187</v>
      </c>
      <c r="E18" s="178" t="s">
        <v>177</v>
      </c>
      <c r="F18" s="18" t="s">
        <v>117</v>
      </c>
      <c r="G18" s="19" t="str">
        <f t="shared" ca="1" si="0"/>
        <v>Pending</v>
      </c>
      <c r="H18" s="20">
        <v>1</v>
      </c>
      <c r="I18" s="21">
        <v>20</v>
      </c>
      <c r="J18" s="22">
        <v>0</v>
      </c>
      <c r="K18" s="22">
        <f t="shared" si="24"/>
        <v>20</v>
      </c>
      <c r="L18" s="23" t="str">
        <f>IF(SUMPRODUCT($J$66:K$66,$J18:K18)&lt;0.5, "Pending", IF(K18&lt;0.5, "Complete", "In Progress"))</f>
        <v>Pending</v>
      </c>
      <c r="M18" s="22">
        <v>0</v>
      </c>
      <c r="N18" s="22">
        <f t="shared" si="25"/>
        <v>20</v>
      </c>
      <c r="O18" s="23" t="str">
        <f>IF(SUMPRODUCT($J$66:N$66,$J18:N18)&lt;0.5, "Pending", IF(N18&lt;0.5, "Complete", "In Progress"))</f>
        <v>Pending</v>
      </c>
      <c r="P18" s="22">
        <v>0</v>
      </c>
      <c r="Q18" s="22">
        <f t="shared" si="26"/>
        <v>20</v>
      </c>
      <c r="R18" s="23" t="str">
        <f>IF(SUMPRODUCT($J$66:Q$66,$J18:Q18)&lt;0.5, "Pending", IF(Q18&lt;0.5, "Complete", "In Progress"))</f>
        <v>Pending</v>
      </c>
      <c r="S18" s="22">
        <v>0</v>
      </c>
      <c r="T18" s="22">
        <f t="shared" si="27"/>
        <v>20</v>
      </c>
      <c r="U18" s="23" t="str">
        <f>IF(SUMPRODUCT($J$66:T$66,$J18:T18)&lt;0.5, "Pending", IF(T18&lt;0.5, "Complete", "In Progress"))</f>
        <v>Pending</v>
      </c>
      <c r="V18" s="22">
        <v>0</v>
      </c>
      <c r="W18" s="22">
        <f t="shared" si="28"/>
        <v>20</v>
      </c>
      <c r="X18" s="23" t="str">
        <f>IF(SUMPRODUCT($J$66:W$66,$J18:W18)&lt;0.5, "Pending", IF(W18&lt;0.5, "Complete", "In Progress"))</f>
        <v>Pending</v>
      </c>
      <c r="Y18" s="22">
        <v>0</v>
      </c>
      <c r="Z18" s="22">
        <f t="shared" si="29"/>
        <v>20</v>
      </c>
      <c r="AA18" s="23" t="str">
        <f>IF(SUMPRODUCT($J$66:Z$66,$J18:Z18)&lt;0.5, "Pending", IF(Z18&lt;0.5, "Complete", "In Progress"))</f>
        <v>Pending</v>
      </c>
      <c r="AB18" s="22">
        <v>0</v>
      </c>
      <c r="AC18" s="22">
        <f t="shared" si="30"/>
        <v>20</v>
      </c>
      <c r="AD18" s="23" t="str">
        <f>IF(SUMPRODUCT($J$66:AC$66,$J18:AC18)&lt;0.5, "Pending", IF(AC18&lt;0.5, "Complete", "In Progress"))</f>
        <v>Pending</v>
      </c>
      <c r="AE18" s="22">
        <v>0</v>
      </c>
      <c r="AF18" s="22">
        <f t="shared" si="31"/>
        <v>20</v>
      </c>
      <c r="AG18" s="23" t="str">
        <f>IF(SUMPRODUCT($J$66:AF$66,$J18:AF18)&lt;0.5, "Pending", IF(AF18&lt;0.5, "Complete", "In Progress"))</f>
        <v>Pending</v>
      </c>
      <c r="AH18" s="22">
        <v>0</v>
      </c>
      <c r="AI18" s="22">
        <f t="shared" si="32"/>
        <v>20</v>
      </c>
      <c r="AJ18" s="23" t="str">
        <f>IF(SUMPRODUCT($J$66:AI$66,$J18:AI18)&lt;0.5, "Pending", IF(AI18&lt;0.5, "Complete", "In Progress"))</f>
        <v>Pending</v>
      </c>
      <c r="AK18" s="22">
        <v>0</v>
      </c>
      <c r="AL18" s="22">
        <f t="shared" si="33"/>
        <v>20</v>
      </c>
      <c r="AM18" s="23" t="str">
        <f>IF(SUMPRODUCT($J$66:AL$66,$J18:AL18)&lt;0.5, "Pending", IF(AL18&lt;0.5, "Complete", "In Progress"))</f>
        <v>Pending</v>
      </c>
      <c r="AN18" s="22">
        <v>0</v>
      </c>
      <c r="AO18" s="22">
        <f t="shared" si="34"/>
        <v>20</v>
      </c>
      <c r="AP18" s="23" t="str">
        <f>IF(SUMPRODUCT($J$66:AO$66,$J18:AO18)&lt;0.5, "Pending", IF(AO18&lt;0.5, "Complete", "In Progress"))</f>
        <v>Pending</v>
      </c>
      <c r="AQ18" s="22">
        <v>0</v>
      </c>
      <c r="AR18" s="22">
        <f t="shared" si="35"/>
        <v>20</v>
      </c>
      <c r="AS18" s="23" t="str">
        <f>IF(SUMPRODUCT($J$66:AR$66,$J18:AR18)&lt;0.5, "Pending", IF(AR18&lt;0.5, "Complete", "In Progress"))</f>
        <v>Pending</v>
      </c>
      <c r="AT18" s="22">
        <v>0</v>
      </c>
      <c r="AU18" s="22">
        <f t="shared" si="36"/>
        <v>20</v>
      </c>
      <c r="AV18" s="23" t="str">
        <f>IF(SUMPRODUCT($J$66:AU$66,$J18:AU18)&lt;0.5, "Pending", IF(AU18&lt;0.5, "Complete", "In Progress"))</f>
        <v>Pending</v>
      </c>
      <c r="AW18" s="22">
        <v>0</v>
      </c>
      <c r="AX18" s="22">
        <f t="shared" si="37"/>
        <v>20</v>
      </c>
      <c r="AY18" s="23" t="str">
        <f>IF(SUMPRODUCT($J$66:AX$66,$J18:AX18)&lt;0.5,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IF(SUMPRODUCT($J$66:BA$66,$J18:BA18)&lt;0.5,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IF(SUMPRODUCT($J$66:BD$66,$J18:BD18)&lt;0.5,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IF(SUMPRODUCT($J$66:BG$66,$J18:BG18)&lt;0.5,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IF(SUMPRODUCT($J$66:BJ$66,$J18:BJ18)&lt;0.5,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IF(SUMPRODUCT($J$66:BM$66,$J18:BM18)&lt;0.5,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IF(SUMPRODUCT($J$66:BP$66,$J18:BP18)&lt;0.5,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IF(SUMPRODUCT($J$66:BS$66,$J18:BS18)&lt;0.5,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IF(SUMPRODUCT($J$66:BV$66,$J18:BV18)&lt;0.5,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IF(SUMPRODUCT($J$66:BY$66,$J18:BY18)&lt;0.5,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IF(SUMPRODUCT($J$66:CB$66,$J18:CB18)&lt;0.5, "Pending", IF(CB18&lt;0.5, "Complete", "In Progress"))</f>
        <v>#REF!</v>
      </c>
      <c r="CD18" s="24"/>
      <c r="CE18" s="25">
        <f>SUMPRODUCT($H$66:AY$66,$H18:AY18)</f>
        <v>0</v>
      </c>
    </row>
    <row r="19" spans="1:83" x14ac:dyDescent="0.2">
      <c r="A19" s="16"/>
      <c r="B19" s="16" t="s">
        <v>126</v>
      </c>
      <c r="C19" s="16" t="s">
        <v>181</v>
      </c>
      <c r="D19" s="17" t="s">
        <v>182</v>
      </c>
      <c r="E19" s="178" t="s">
        <v>153</v>
      </c>
      <c r="F19" s="18" t="s">
        <v>117</v>
      </c>
      <c r="G19" s="19" t="str">
        <f t="shared" ca="1" si="0"/>
        <v>Pending</v>
      </c>
      <c r="H19" s="20">
        <v>1</v>
      </c>
      <c r="I19" s="21">
        <v>2</v>
      </c>
      <c r="J19" s="22">
        <v>0</v>
      </c>
      <c r="K19" s="22">
        <f t="shared" si="24"/>
        <v>2</v>
      </c>
      <c r="L19" s="23" t="str">
        <f>IF(SUMPRODUCT($J$66:K$66,$J19:K19)&lt;0.5, "Pending", IF(K19&lt;0.5, "Complete", "In Progress"))</f>
        <v>Pending</v>
      </c>
      <c r="M19" s="22">
        <v>0</v>
      </c>
      <c r="N19" s="22">
        <f t="shared" si="25"/>
        <v>2</v>
      </c>
      <c r="O19" s="23" t="str">
        <f>IF(SUMPRODUCT($J$66:N$66,$J19:N19)&lt;0.5, "Pending", IF(N19&lt;0.5, "Complete", "In Progress"))</f>
        <v>Pending</v>
      </c>
      <c r="P19" s="22">
        <v>0</v>
      </c>
      <c r="Q19" s="22">
        <f t="shared" si="26"/>
        <v>2</v>
      </c>
      <c r="R19" s="23" t="str">
        <f>IF(SUMPRODUCT($J$66:Q$66,$J19:Q19)&lt;0.5, "Pending", IF(Q19&lt;0.5, "Complete", "In Progress"))</f>
        <v>Pending</v>
      </c>
      <c r="S19" s="22">
        <v>0</v>
      </c>
      <c r="T19" s="22">
        <f t="shared" si="27"/>
        <v>2</v>
      </c>
      <c r="U19" s="23" t="str">
        <f>IF(SUMPRODUCT($J$66:T$66,$J19:T19)&lt;0.5, "Pending", IF(T19&lt;0.5, "Complete", "In Progress"))</f>
        <v>Pending</v>
      </c>
      <c r="V19" s="22">
        <v>0</v>
      </c>
      <c r="W19" s="22">
        <f t="shared" si="28"/>
        <v>2</v>
      </c>
      <c r="X19" s="23" t="str">
        <f>IF(SUMPRODUCT($J$66:W$66,$J19:W19)&lt;0.5, "Pending", IF(W19&lt;0.5, "Complete", "In Progress"))</f>
        <v>Pending</v>
      </c>
      <c r="Y19" s="22">
        <v>0</v>
      </c>
      <c r="Z19" s="22">
        <f t="shared" si="29"/>
        <v>2</v>
      </c>
      <c r="AA19" s="23" t="str">
        <f>IF(SUMPRODUCT($J$66:Z$66,$J19:Z19)&lt;0.5, "Pending", IF(Z19&lt;0.5, "Complete", "In Progress"))</f>
        <v>Pending</v>
      </c>
      <c r="AB19" s="22">
        <v>0</v>
      </c>
      <c r="AC19" s="22">
        <f t="shared" si="30"/>
        <v>2</v>
      </c>
      <c r="AD19" s="23" t="str">
        <f>IF(SUMPRODUCT($J$66:AC$66,$J19:AC19)&lt;0.5, "Pending", IF(AC19&lt;0.5, "Complete", "In Progress"))</f>
        <v>Pending</v>
      </c>
      <c r="AE19" s="22">
        <v>0</v>
      </c>
      <c r="AF19" s="22">
        <f t="shared" si="31"/>
        <v>2</v>
      </c>
      <c r="AG19" s="23" t="str">
        <f>IF(SUMPRODUCT($J$66:AF$66,$J19:AF19)&lt;0.5, "Pending", IF(AF19&lt;0.5, "Complete", "In Progress"))</f>
        <v>Pending</v>
      </c>
      <c r="AH19" s="22">
        <v>0</v>
      </c>
      <c r="AI19" s="22">
        <f t="shared" si="32"/>
        <v>2</v>
      </c>
      <c r="AJ19" s="23" t="str">
        <f>IF(SUMPRODUCT($J$66:AI$66,$J19:AI19)&lt;0.5, "Pending", IF(AI19&lt;0.5, "Complete", "In Progress"))</f>
        <v>Pending</v>
      </c>
      <c r="AK19" s="22">
        <v>0</v>
      </c>
      <c r="AL19" s="22">
        <f t="shared" si="33"/>
        <v>2</v>
      </c>
      <c r="AM19" s="23" t="str">
        <f>IF(SUMPRODUCT($J$66:AL$66,$J19:AL19)&lt;0.5, "Pending", IF(AL19&lt;0.5, "Complete", "In Progress"))</f>
        <v>Pending</v>
      </c>
      <c r="AN19" s="22">
        <v>0</v>
      </c>
      <c r="AO19" s="22">
        <f t="shared" si="34"/>
        <v>2</v>
      </c>
      <c r="AP19" s="23" t="str">
        <f>IF(SUMPRODUCT($J$66:AO$66,$J19:AO19)&lt;0.5, "Pending", IF(AO19&lt;0.5, "Complete", "In Progress"))</f>
        <v>Pending</v>
      </c>
      <c r="AQ19" s="22">
        <v>0</v>
      </c>
      <c r="AR19" s="22">
        <f t="shared" si="35"/>
        <v>2</v>
      </c>
      <c r="AS19" s="23" t="str">
        <f>IF(SUMPRODUCT($J$66:AR$66,$J19:AR19)&lt;0.5, "Pending", IF(AR19&lt;0.5, "Complete", "In Progress"))</f>
        <v>Pending</v>
      </c>
      <c r="AT19" s="22">
        <v>0</v>
      </c>
      <c r="AU19" s="22">
        <f t="shared" si="36"/>
        <v>2</v>
      </c>
      <c r="AV19" s="23" t="str">
        <f>IF(SUMPRODUCT($J$66:AU$66,$J19:AU19)&lt;0.5, "Pending", IF(AU19&lt;0.5, "Complete", "In Progress"))</f>
        <v>Pending</v>
      </c>
      <c r="AW19" s="22">
        <v>0</v>
      </c>
      <c r="AX19" s="22">
        <f t="shared" si="37"/>
        <v>2</v>
      </c>
      <c r="AY19" s="23" t="str">
        <f>IF(SUMPRODUCT($J$66:AX$66,$J19:AX19)&lt;0.5,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IF(SUMPRODUCT($J$66:BA$66,$J19:BA19)&lt;0.5,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IF(SUMPRODUCT($J$66:BD$66,$J19:BD19)&lt;0.5,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IF(SUMPRODUCT($J$66:BG$66,$J19:BG19)&lt;0.5,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IF(SUMPRODUCT($J$66:BJ$66,$J19:BJ19)&lt;0.5,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IF(SUMPRODUCT($J$66:BM$66,$J19:BM19)&lt;0.5,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IF(SUMPRODUCT($J$66:BP$66,$J19:BP19)&lt;0.5,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IF(SUMPRODUCT($J$66:BS$66,$J19:BS19)&lt;0.5,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IF(SUMPRODUCT($J$66:BV$66,$J19:BV19)&lt;0.5,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IF(SUMPRODUCT($J$66:BY$66,$J19:BY19)&lt;0.5,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IF(SUMPRODUCT($J$66:CB$66,$J19:CB19)&lt;0.5, "Pending", IF(CB19&lt;0.5, "Complete", "In Progress"))</f>
        <v>#REF!</v>
      </c>
      <c r="CD19" s="24"/>
      <c r="CE19" s="25">
        <f>SUMPRODUCT($H$66:AY$66,$H19:AY19)</f>
        <v>0</v>
      </c>
    </row>
    <row r="20" spans="1:83" x14ac:dyDescent="0.2">
      <c r="A20" s="16"/>
      <c r="B20" s="16" t="s">
        <v>126</v>
      </c>
      <c r="C20" s="16" t="s">
        <v>181</v>
      </c>
      <c r="D20" s="17" t="s">
        <v>183</v>
      </c>
      <c r="E20" s="178" t="s">
        <v>154</v>
      </c>
      <c r="F20" s="18" t="s">
        <v>117</v>
      </c>
      <c r="G20" s="19" t="str">
        <f t="shared" ca="1" si="0"/>
        <v>Pending</v>
      </c>
      <c r="H20" s="20">
        <v>1</v>
      </c>
      <c r="I20" s="21">
        <v>2</v>
      </c>
      <c r="J20" s="22">
        <v>0</v>
      </c>
      <c r="K20" s="22">
        <f t="shared" si="24"/>
        <v>2</v>
      </c>
      <c r="L20" s="23" t="str">
        <f>IF(SUMPRODUCT($J$66:K$66,$J20:K20)&lt;0.5, "Pending", IF(K20&lt;0.5, "Complete", "In Progress"))</f>
        <v>Pending</v>
      </c>
      <c r="M20" s="22">
        <v>0</v>
      </c>
      <c r="N20" s="22">
        <f t="shared" si="25"/>
        <v>2</v>
      </c>
      <c r="O20" s="23" t="str">
        <f>IF(SUMPRODUCT($J$66:N$66,$J20:N20)&lt;0.5, "Pending", IF(N20&lt;0.5, "Complete", "In Progress"))</f>
        <v>Pending</v>
      </c>
      <c r="P20" s="22">
        <v>0</v>
      </c>
      <c r="Q20" s="22">
        <f t="shared" si="26"/>
        <v>2</v>
      </c>
      <c r="R20" s="23" t="str">
        <f>IF(SUMPRODUCT($J$66:Q$66,$J20:Q20)&lt;0.5, "Pending", IF(Q20&lt;0.5, "Complete", "In Progress"))</f>
        <v>Pending</v>
      </c>
      <c r="S20" s="22">
        <v>0</v>
      </c>
      <c r="T20" s="22">
        <f t="shared" si="27"/>
        <v>2</v>
      </c>
      <c r="U20" s="23" t="str">
        <f>IF(SUMPRODUCT($J$66:T$66,$J20:T20)&lt;0.5, "Pending", IF(T20&lt;0.5, "Complete", "In Progress"))</f>
        <v>Pending</v>
      </c>
      <c r="V20" s="22">
        <v>0</v>
      </c>
      <c r="W20" s="22">
        <f t="shared" si="28"/>
        <v>2</v>
      </c>
      <c r="X20" s="23" t="str">
        <f>IF(SUMPRODUCT($J$66:W$66,$J20:W20)&lt;0.5, "Pending", IF(W20&lt;0.5, "Complete", "In Progress"))</f>
        <v>Pending</v>
      </c>
      <c r="Y20" s="22">
        <v>0</v>
      </c>
      <c r="Z20" s="22">
        <f t="shared" si="29"/>
        <v>2</v>
      </c>
      <c r="AA20" s="23" t="str">
        <f>IF(SUMPRODUCT($J$66:Z$66,$J20:Z20)&lt;0.5, "Pending", IF(Z20&lt;0.5, "Complete", "In Progress"))</f>
        <v>Pending</v>
      </c>
      <c r="AB20" s="22">
        <v>0</v>
      </c>
      <c r="AC20" s="22">
        <f t="shared" si="30"/>
        <v>2</v>
      </c>
      <c r="AD20" s="23" t="str">
        <f>IF(SUMPRODUCT($J$66:AC$66,$J20:AC20)&lt;0.5, "Pending", IF(AC20&lt;0.5, "Complete", "In Progress"))</f>
        <v>Pending</v>
      </c>
      <c r="AE20" s="22">
        <v>0</v>
      </c>
      <c r="AF20" s="22">
        <f t="shared" si="31"/>
        <v>2</v>
      </c>
      <c r="AG20" s="23" t="str">
        <f>IF(SUMPRODUCT($J$66:AF$66,$J20:AF20)&lt;0.5, "Pending", IF(AF20&lt;0.5, "Complete", "In Progress"))</f>
        <v>Pending</v>
      </c>
      <c r="AH20" s="22">
        <v>0</v>
      </c>
      <c r="AI20" s="22">
        <f t="shared" si="32"/>
        <v>2</v>
      </c>
      <c r="AJ20" s="23" t="str">
        <f>IF(SUMPRODUCT($J$66:AI$66,$J20:AI20)&lt;0.5, "Pending", IF(AI20&lt;0.5, "Complete", "In Progress"))</f>
        <v>Pending</v>
      </c>
      <c r="AK20" s="22">
        <v>0</v>
      </c>
      <c r="AL20" s="22">
        <f t="shared" si="33"/>
        <v>2</v>
      </c>
      <c r="AM20" s="23" t="str">
        <f>IF(SUMPRODUCT($J$66:AL$66,$J20:AL20)&lt;0.5, "Pending", IF(AL20&lt;0.5, "Complete", "In Progress"))</f>
        <v>Pending</v>
      </c>
      <c r="AN20" s="22">
        <v>0</v>
      </c>
      <c r="AO20" s="22">
        <f t="shared" si="34"/>
        <v>2</v>
      </c>
      <c r="AP20" s="23" t="str">
        <f>IF(SUMPRODUCT($J$66:AO$66,$J20:AO20)&lt;0.5, "Pending", IF(AO20&lt;0.5, "Complete", "In Progress"))</f>
        <v>Pending</v>
      </c>
      <c r="AQ20" s="22">
        <v>0</v>
      </c>
      <c r="AR20" s="22">
        <f t="shared" si="35"/>
        <v>2</v>
      </c>
      <c r="AS20" s="23" t="str">
        <f>IF(SUMPRODUCT($J$66:AR$66,$J20:AR20)&lt;0.5, "Pending", IF(AR20&lt;0.5, "Complete", "In Progress"))</f>
        <v>Pending</v>
      </c>
      <c r="AT20" s="22">
        <v>0</v>
      </c>
      <c r="AU20" s="22">
        <f t="shared" si="36"/>
        <v>2</v>
      </c>
      <c r="AV20" s="23" t="str">
        <f>IF(SUMPRODUCT($J$66:AU$66,$J20:AU20)&lt;0.5, "Pending", IF(AU20&lt;0.5, "Complete", "In Progress"))</f>
        <v>Pending</v>
      </c>
      <c r="AW20" s="22">
        <v>0</v>
      </c>
      <c r="AX20" s="22">
        <f t="shared" si="37"/>
        <v>2</v>
      </c>
      <c r="AY20" s="23" t="str">
        <f>IF(SUMPRODUCT($J$66:AX$66,$J20:AX20)&lt;0.5,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IF(SUMPRODUCT($J$66:BA$66,$J20:BA20)&lt;0.5,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IF(SUMPRODUCT($J$66:BD$66,$J20:BD20)&lt;0.5,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IF(SUMPRODUCT($J$66:BG$66,$J20:BG20)&lt;0.5,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IF(SUMPRODUCT($J$66:BJ$66,$J20:BJ20)&lt;0.5,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IF(SUMPRODUCT($J$66:BM$66,$J20:BM20)&lt;0.5,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IF(SUMPRODUCT($J$66:BP$66,$J20:BP20)&lt;0.5,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IF(SUMPRODUCT($J$66:BS$66,$J20:BS20)&lt;0.5,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IF(SUMPRODUCT($J$66:BV$66,$J20:BV20)&lt;0.5,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IF(SUMPRODUCT($J$66:BY$66,$J20:BY20)&lt;0.5,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IF(SUMPRODUCT($J$66:CB$66,$J20:CB20)&lt;0.5, "Pending", IF(CB20&lt;0.5, "Complete", "In Progress"))</f>
        <v>#REF!</v>
      </c>
      <c r="CD20" s="24"/>
      <c r="CE20" s="25">
        <f>SUMPRODUCT($H$66:AY$66,$H20:AY20)</f>
        <v>0</v>
      </c>
    </row>
    <row r="21" spans="1:83" x14ac:dyDescent="0.2">
      <c r="A21" s="16"/>
      <c r="B21" s="16" t="s">
        <v>126</v>
      </c>
      <c r="C21" s="16" t="s">
        <v>181</v>
      </c>
      <c r="D21" s="17" t="s">
        <v>184</v>
      </c>
      <c r="E21" s="178" t="s">
        <v>155</v>
      </c>
      <c r="F21" s="18" t="s">
        <v>117</v>
      </c>
      <c r="G21" s="19" t="str">
        <f t="shared" ca="1" si="0"/>
        <v>Pending</v>
      </c>
      <c r="H21" s="20">
        <v>1</v>
      </c>
      <c r="I21" s="21">
        <v>5</v>
      </c>
      <c r="J21" s="22">
        <v>0</v>
      </c>
      <c r="K21" s="22">
        <f t="shared" ref="K21" si="70">MAX(I21-J21, 0)</f>
        <v>5</v>
      </c>
      <c r="L21" s="23" t="str">
        <f>IF(SUMPRODUCT($J$66:K$66,$J21:K21)&lt;0.5, "Pending", IF(K21&lt;0.5, "Complete", "In Progress"))</f>
        <v>Pending</v>
      </c>
      <c r="M21" s="22">
        <v>0</v>
      </c>
      <c r="N21" s="22">
        <f t="shared" ref="N21" si="71">MAX(K21-M21,0)</f>
        <v>5</v>
      </c>
      <c r="O21" s="23" t="str">
        <f>IF(SUMPRODUCT($J$66:N$66,$J21:N21)&lt;0.5, "Pending", IF(N21&lt;0.5, "Complete", "In Progress"))</f>
        <v>Pending</v>
      </c>
      <c r="P21" s="22">
        <v>0</v>
      </c>
      <c r="Q21" s="22">
        <f t="shared" ref="Q21" si="72">MAX(N21-P21,0)</f>
        <v>5</v>
      </c>
      <c r="R21" s="23" t="str">
        <f>IF(SUMPRODUCT($J$66:Q$66,$J21:Q21)&lt;0.5, "Pending", IF(Q21&lt;0.5, "Complete", "In Progress"))</f>
        <v>Pending</v>
      </c>
      <c r="S21" s="22">
        <v>0</v>
      </c>
      <c r="T21" s="22">
        <f t="shared" ref="T21" si="73">MAX(Q21-S21,0)</f>
        <v>5</v>
      </c>
      <c r="U21" s="23" t="str">
        <f>IF(SUMPRODUCT($J$66:T$66,$J21:T21)&lt;0.5, "Pending", IF(T21&lt;0.5, "Complete", "In Progress"))</f>
        <v>Pending</v>
      </c>
      <c r="V21" s="22">
        <v>0</v>
      </c>
      <c r="W21" s="22">
        <f t="shared" ref="W21" si="74">MAX(T21-V21,0)</f>
        <v>5</v>
      </c>
      <c r="X21" s="23" t="str">
        <f>IF(SUMPRODUCT($J$66:W$66,$J21:W21)&lt;0.5, "Pending", IF(W21&lt;0.5, "Complete", "In Progress"))</f>
        <v>Pending</v>
      </c>
      <c r="Y21" s="22">
        <v>0</v>
      </c>
      <c r="Z21" s="22">
        <f t="shared" ref="Z21" si="75">MAX(W21-Y21,0)</f>
        <v>5</v>
      </c>
      <c r="AA21" s="23" t="str">
        <f>IF(SUMPRODUCT($J$66:Z$66,$J21:Z21)&lt;0.5, "Pending", IF(Z21&lt;0.5, "Complete", "In Progress"))</f>
        <v>Pending</v>
      </c>
      <c r="AB21" s="22">
        <v>0</v>
      </c>
      <c r="AC21" s="22">
        <f t="shared" ref="AC21" si="76">MAX(Z21-AB21,0)</f>
        <v>5</v>
      </c>
      <c r="AD21" s="23" t="str">
        <f>IF(SUMPRODUCT($J$66:AC$66,$J21:AC21)&lt;0.5, "Pending", IF(AC21&lt;0.5, "Complete", "In Progress"))</f>
        <v>Pending</v>
      </c>
      <c r="AE21" s="22">
        <v>0</v>
      </c>
      <c r="AF21" s="22">
        <f t="shared" ref="AF21" si="77">MAX(AC21-AE21,0)</f>
        <v>5</v>
      </c>
      <c r="AG21" s="23" t="str">
        <f>IF(SUMPRODUCT($J$66:AF$66,$J21:AF21)&lt;0.5, "Pending", IF(AF21&lt;0.5, "Complete", "In Progress"))</f>
        <v>Pending</v>
      </c>
      <c r="AH21" s="22">
        <v>0</v>
      </c>
      <c r="AI21" s="22">
        <f t="shared" ref="AI21" si="78">MAX(AF21-AH21,0)</f>
        <v>5</v>
      </c>
      <c r="AJ21" s="23" t="str">
        <f>IF(SUMPRODUCT($J$66:AI$66,$J21:AI21)&lt;0.5, "Pending", IF(AI21&lt;0.5, "Complete", "In Progress"))</f>
        <v>Pending</v>
      </c>
      <c r="AK21" s="22">
        <v>0</v>
      </c>
      <c r="AL21" s="22">
        <f t="shared" ref="AL21" si="79">MAX(AI21-AK21,0)</f>
        <v>5</v>
      </c>
      <c r="AM21" s="23" t="str">
        <f>IF(SUMPRODUCT($J$66:AL$66,$J21:AL21)&lt;0.5, "Pending", IF(AL21&lt;0.5, "Complete", "In Progress"))</f>
        <v>Pending</v>
      </c>
      <c r="AN21" s="22">
        <v>0</v>
      </c>
      <c r="AO21" s="22">
        <f t="shared" ref="AO21" si="80">MAX(AL21-AN21,0)</f>
        <v>5</v>
      </c>
      <c r="AP21" s="23" t="str">
        <f>IF(SUMPRODUCT($J$66:AO$66,$J21:AO21)&lt;0.5, "Pending", IF(AO21&lt;0.5, "Complete", "In Progress"))</f>
        <v>Pending</v>
      </c>
      <c r="AQ21" s="22">
        <v>0</v>
      </c>
      <c r="AR21" s="22">
        <f t="shared" ref="AR21" si="81">MAX(AO21-AQ21,0)</f>
        <v>5</v>
      </c>
      <c r="AS21" s="23" t="str">
        <f>IF(SUMPRODUCT($J$66:AR$66,$J21:AR21)&lt;0.5, "Pending", IF(AR21&lt;0.5, "Complete", "In Progress"))</f>
        <v>Pending</v>
      </c>
      <c r="AT21" s="22">
        <v>0</v>
      </c>
      <c r="AU21" s="22">
        <f t="shared" ref="AU21" si="82">MAX(AR21-AT21,0)</f>
        <v>5</v>
      </c>
      <c r="AV21" s="23" t="str">
        <f>IF(SUMPRODUCT($J$66:AU$66,$J21:AU21)&lt;0.5, "Pending", IF(AU21&lt;0.5, "Complete", "In Progress"))</f>
        <v>Pending</v>
      </c>
      <c r="AW21" s="22">
        <v>0</v>
      </c>
      <c r="AX21" s="22">
        <f t="shared" ref="AX21" si="83">MAX(AU21-AW21,0)</f>
        <v>5</v>
      </c>
      <c r="AY21" s="23" t="str">
        <f>IF(SUMPRODUCT($J$66:AX$66,$J21:AX21)&lt;0.5,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IF(SUMPRODUCT($J$66:BA$66,$J21:BA21)&lt;0.5, "Pending", IF(BA21&lt;0.5, "Complete", "In Progress"))</f>
        <v>#REF!</v>
      </c>
      <c r="BC21" s="22">
        <v>0</v>
      </c>
      <c r="BD21" s="22" t="e">
        <f t="shared" ref="BD21" si="84">MAX(BA21-BC21,0)</f>
        <v>#REF!</v>
      </c>
      <c r="BE21" s="23" t="e">
        <f>IF(SUMPRODUCT($J$66:BD$66,$J21:BD21)&lt;0.5, "Pending", IF(BD21&lt;0.5, "Complete", "In Progress"))</f>
        <v>#REF!</v>
      </c>
      <c r="BF21" s="22">
        <v>0</v>
      </c>
      <c r="BG21" s="22" t="e">
        <f t="shared" ref="BG21" si="85">MAX(BD21-BF21,0)</f>
        <v>#REF!</v>
      </c>
      <c r="BH21" s="23" t="e">
        <f>IF(SUMPRODUCT($J$66:BG$66,$J21:BG21)&lt;0.5, "Pending", IF(BG21&lt;0.5, "Complete", "In Progress"))</f>
        <v>#REF!</v>
      </c>
      <c r="BI21" s="22">
        <v>0</v>
      </c>
      <c r="BJ21" s="22" t="e">
        <f t="shared" ref="BJ21" si="86">MAX(BG21-BI21,0)</f>
        <v>#REF!</v>
      </c>
      <c r="BK21" s="23" t="e">
        <f>IF(SUMPRODUCT($J$66:BJ$66,$J21:BJ21)&lt;0.5, "Pending", IF(BJ21&lt;0.5, "Complete", "In Progress"))</f>
        <v>#REF!</v>
      </c>
      <c r="BL21" s="22">
        <v>0</v>
      </c>
      <c r="BM21" s="22" t="e">
        <f t="shared" ref="BM21" si="87">MAX(BJ21-BL21,0)</f>
        <v>#REF!</v>
      </c>
      <c r="BN21" s="23" t="e">
        <f>IF(SUMPRODUCT($J$66:BM$66,$J21:BM21)&lt;0.5, "Pending", IF(BM21&lt;0.5, "Complete", "In Progress"))</f>
        <v>#REF!</v>
      </c>
      <c r="BO21" s="22">
        <v>0</v>
      </c>
      <c r="BP21" s="22" t="e">
        <f t="shared" ref="BP21" si="88">MAX(BM21-BO21,0)</f>
        <v>#REF!</v>
      </c>
      <c r="BQ21" s="23" t="e">
        <f>IF(SUMPRODUCT($J$66:BP$66,$J21:BP21)&lt;0.5, "Pending", IF(BP21&lt;0.5, "Complete", "In Progress"))</f>
        <v>#REF!</v>
      </c>
      <c r="BR21" s="22">
        <v>0</v>
      </c>
      <c r="BS21" s="22" t="e">
        <f t="shared" ref="BS21" si="89">MAX(BP21-BR21,0)</f>
        <v>#REF!</v>
      </c>
      <c r="BT21" s="23" t="e">
        <f>IF(SUMPRODUCT($J$66:BS$66,$J21:BS21)&lt;0.5, "Pending", IF(BS21&lt;0.5, "Complete", "In Progress"))</f>
        <v>#REF!</v>
      </c>
      <c r="BU21" s="22">
        <v>0</v>
      </c>
      <c r="BV21" s="22" t="e">
        <f t="shared" ref="BV21" si="90">MAX(BS21-BU21,0)</f>
        <v>#REF!</v>
      </c>
      <c r="BW21" s="23" t="e">
        <f>IF(SUMPRODUCT($J$66:BV$66,$J21:BV21)&lt;0.5, "Pending", IF(BV21&lt;0.5, "Complete", "In Progress"))</f>
        <v>#REF!</v>
      </c>
      <c r="BX21" s="22">
        <v>0</v>
      </c>
      <c r="BY21" s="22" t="e">
        <f t="shared" ref="BY21" si="91">MAX(BV21-BX21,0)</f>
        <v>#REF!</v>
      </c>
      <c r="BZ21" s="23" t="e">
        <f>IF(SUMPRODUCT($J$66:BY$66,$J21:BY21)&lt;0.5, "Pending", IF(BY21&lt;0.5, "Complete", "In Progress"))</f>
        <v>#REF!</v>
      </c>
      <c r="CA21" s="22">
        <v>0</v>
      </c>
      <c r="CB21" s="22" t="e">
        <f t="shared" ref="CB21" si="92">MAX(BY21-CA21,0)</f>
        <v>#REF!</v>
      </c>
      <c r="CC21" s="23" t="e">
        <f>IF(SUMPRODUCT($J$66:CB$66,$J21:CB21)&lt;0.5, "Pending", IF(CB21&lt;0.5, "Complete", "In Progress"))</f>
        <v>#REF!</v>
      </c>
      <c r="CD21" s="24"/>
      <c r="CE21" s="25">
        <f>SUMPRODUCT($H$66:AY$66,$H21:AY21)</f>
        <v>0</v>
      </c>
    </row>
    <row r="22" spans="1:83" x14ac:dyDescent="0.2">
      <c r="A22" s="16"/>
      <c r="B22" s="16" t="s">
        <v>129</v>
      </c>
      <c r="C22" s="16" t="s">
        <v>181</v>
      </c>
      <c r="D22" s="17" t="s">
        <v>186</v>
      </c>
      <c r="E22" s="178" t="s">
        <v>156</v>
      </c>
      <c r="F22" s="18" t="s">
        <v>117</v>
      </c>
      <c r="G22" s="19" t="str">
        <f t="shared" ca="1" si="0"/>
        <v>Pending</v>
      </c>
      <c r="H22" s="20">
        <v>1</v>
      </c>
      <c r="I22" s="21">
        <v>2</v>
      </c>
      <c r="J22" s="22">
        <v>0</v>
      </c>
      <c r="K22" s="22">
        <f t="shared" si="24"/>
        <v>2</v>
      </c>
      <c r="L22" s="23" t="str">
        <f>IF(SUMPRODUCT($J$66:K$66,$J22:K22)&lt;0.5, "Pending", IF(K22&lt;0.5, "Complete", "In Progress"))</f>
        <v>Pending</v>
      </c>
      <c r="M22" s="22">
        <v>0</v>
      </c>
      <c r="N22" s="22">
        <f t="shared" si="25"/>
        <v>2</v>
      </c>
      <c r="O22" s="23" t="str">
        <f>IF(SUMPRODUCT($J$66:N$66,$J22:N22)&lt;0.5, "Pending", IF(N22&lt;0.5, "Complete", "In Progress"))</f>
        <v>Pending</v>
      </c>
      <c r="P22" s="22">
        <v>0</v>
      </c>
      <c r="Q22" s="22">
        <f t="shared" si="26"/>
        <v>2</v>
      </c>
      <c r="R22" s="23" t="str">
        <f>IF(SUMPRODUCT($J$66:Q$66,$J22:Q22)&lt;0.5, "Pending", IF(Q22&lt;0.5, "Complete", "In Progress"))</f>
        <v>Pending</v>
      </c>
      <c r="S22" s="22">
        <v>0</v>
      </c>
      <c r="T22" s="22">
        <f t="shared" si="27"/>
        <v>2</v>
      </c>
      <c r="U22" s="23" t="str">
        <f>IF(SUMPRODUCT($J$66:T$66,$J22:T22)&lt;0.5, "Pending", IF(T22&lt;0.5, "Complete", "In Progress"))</f>
        <v>Pending</v>
      </c>
      <c r="V22" s="22">
        <v>0</v>
      </c>
      <c r="W22" s="22">
        <f t="shared" si="28"/>
        <v>2</v>
      </c>
      <c r="X22" s="23" t="str">
        <f>IF(SUMPRODUCT($J$66:W$66,$J22:W22)&lt;0.5, "Pending", IF(W22&lt;0.5, "Complete", "In Progress"))</f>
        <v>Pending</v>
      </c>
      <c r="Y22" s="22">
        <v>0</v>
      </c>
      <c r="Z22" s="22">
        <f t="shared" si="29"/>
        <v>2</v>
      </c>
      <c r="AA22" s="23" t="str">
        <f>IF(SUMPRODUCT($J$66:Z$66,$J22:Z22)&lt;0.5, "Pending", IF(Z22&lt;0.5, "Complete", "In Progress"))</f>
        <v>Pending</v>
      </c>
      <c r="AB22" s="22">
        <v>0</v>
      </c>
      <c r="AC22" s="22">
        <f t="shared" si="30"/>
        <v>2</v>
      </c>
      <c r="AD22" s="23" t="str">
        <f>IF(SUMPRODUCT($J$66:AC$66,$J22:AC22)&lt;0.5, "Pending", IF(AC22&lt;0.5, "Complete", "In Progress"))</f>
        <v>Pending</v>
      </c>
      <c r="AE22" s="22">
        <v>0</v>
      </c>
      <c r="AF22" s="22">
        <f t="shared" si="31"/>
        <v>2</v>
      </c>
      <c r="AG22" s="23" t="str">
        <f>IF(SUMPRODUCT($J$66:AF$66,$J22:AF22)&lt;0.5, "Pending", IF(AF22&lt;0.5, "Complete", "In Progress"))</f>
        <v>Pending</v>
      </c>
      <c r="AH22" s="22">
        <v>0</v>
      </c>
      <c r="AI22" s="22">
        <f t="shared" si="32"/>
        <v>2</v>
      </c>
      <c r="AJ22" s="23" t="str">
        <f>IF(SUMPRODUCT($J$66:AI$66,$J22:AI22)&lt;0.5, "Pending", IF(AI22&lt;0.5, "Complete", "In Progress"))</f>
        <v>Pending</v>
      </c>
      <c r="AK22" s="22">
        <v>0</v>
      </c>
      <c r="AL22" s="22">
        <f t="shared" si="33"/>
        <v>2</v>
      </c>
      <c r="AM22" s="23" t="str">
        <f>IF(SUMPRODUCT($J$66:AL$66,$J22:AL22)&lt;0.5, "Pending", IF(AL22&lt;0.5, "Complete", "In Progress"))</f>
        <v>Pending</v>
      </c>
      <c r="AN22" s="22">
        <v>0</v>
      </c>
      <c r="AO22" s="22">
        <f t="shared" si="34"/>
        <v>2</v>
      </c>
      <c r="AP22" s="23" t="str">
        <f>IF(SUMPRODUCT($J$66:AO$66,$J22:AO22)&lt;0.5, "Pending", IF(AO22&lt;0.5, "Complete", "In Progress"))</f>
        <v>Pending</v>
      </c>
      <c r="AQ22" s="22">
        <v>0</v>
      </c>
      <c r="AR22" s="22">
        <f t="shared" si="35"/>
        <v>2</v>
      </c>
      <c r="AS22" s="23" t="str">
        <f>IF(SUMPRODUCT($J$66:AR$66,$J22:AR22)&lt;0.5, "Pending", IF(AR22&lt;0.5, "Complete", "In Progress"))</f>
        <v>Pending</v>
      </c>
      <c r="AT22" s="22">
        <v>0</v>
      </c>
      <c r="AU22" s="22">
        <f t="shared" si="36"/>
        <v>2</v>
      </c>
      <c r="AV22" s="23" t="str">
        <f>IF(SUMPRODUCT($J$66:AU$66,$J22:AU22)&lt;0.5, "Pending", IF(AU22&lt;0.5, "Complete", "In Progress"))</f>
        <v>Pending</v>
      </c>
      <c r="AW22" s="22">
        <v>0</v>
      </c>
      <c r="AX22" s="22">
        <f t="shared" si="37"/>
        <v>2</v>
      </c>
      <c r="AY22" s="23" t="str">
        <f>IF(SUMPRODUCT($J$66:AX$66,$J22:AX22)&lt;0.5,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IF(SUMPRODUCT($J$66:BA$66,$J22:BA22)&lt;0.5,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IF(SUMPRODUCT($J$66:BD$66,$J22:BD22)&lt;0.5,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IF(SUMPRODUCT($J$66:BG$66,$J22:BG22)&lt;0.5,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IF(SUMPRODUCT($J$66:BJ$66,$J22:BJ22)&lt;0.5,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IF(SUMPRODUCT($J$66:BM$66,$J22:BM22)&lt;0.5,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IF(SUMPRODUCT($J$66:BP$66,$J22:BP22)&lt;0.5,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IF(SUMPRODUCT($J$66:BS$66,$J22:BS22)&lt;0.5,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IF(SUMPRODUCT($J$66:BV$66,$J22:BV22)&lt;0.5,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IF(SUMPRODUCT($J$66:BY$66,$J22:BY22)&lt;0.5,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IF(SUMPRODUCT($J$66:CB$66,$J22:CB22)&lt;0.5, "Pending", IF(CB22&lt;0.5, "Complete", "In Progress"))</f>
        <v>#REF!</v>
      </c>
      <c r="CD22" s="24"/>
      <c r="CE22" s="25">
        <f>SUMPRODUCT($H$66:AY$66,$H22:AY22)</f>
        <v>0</v>
      </c>
    </row>
    <row r="23" spans="1:83" x14ac:dyDescent="0.2">
      <c r="A23" s="16"/>
      <c r="B23" s="16" t="s">
        <v>127</v>
      </c>
      <c r="C23" s="16" t="s">
        <v>181</v>
      </c>
      <c r="D23" s="17" t="s">
        <v>188</v>
      </c>
      <c r="E23" s="178" t="s">
        <v>185</v>
      </c>
      <c r="F23" s="18" t="s">
        <v>117</v>
      </c>
      <c r="G23" s="19" t="str">
        <f t="shared" ca="1" si="0"/>
        <v>Pending</v>
      </c>
      <c r="H23" s="20">
        <v>1</v>
      </c>
      <c r="I23" s="21">
        <v>40</v>
      </c>
      <c r="J23" s="22">
        <v>0</v>
      </c>
      <c r="K23" s="22">
        <f t="shared" si="24"/>
        <v>40</v>
      </c>
      <c r="L23" s="23" t="str">
        <f>IF(SUMPRODUCT($J$66:K$66,$J23:K23)&lt;0.5, "Pending", IF(K23&lt;0.5, "Complete", "In Progress"))</f>
        <v>Pending</v>
      </c>
      <c r="M23" s="22">
        <v>0</v>
      </c>
      <c r="N23" s="22">
        <f t="shared" si="25"/>
        <v>40</v>
      </c>
      <c r="O23" s="23" t="str">
        <f>IF(SUMPRODUCT($J$66:N$66,$J23:N23)&lt;0.5, "Pending", IF(N23&lt;0.5, "Complete", "In Progress"))</f>
        <v>Pending</v>
      </c>
      <c r="P23" s="22">
        <v>0</v>
      </c>
      <c r="Q23" s="22">
        <f t="shared" si="26"/>
        <v>40</v>
      </c>
      <c r="R23" s="23" t="str">
        <f>IF(SUMPRODUCT($J$66:Q$66,$J23:Q23)&lt;0.5, "Pending", IF(Q23&lt;0.5, "Complete", "In Progress"))</f>
        <v>Pending</v>
      </c>
      <c r="S23" s="22">
        <v>0</v>
      </c>
      <c r="T23" s="22">
        <f t="shared" si="27"/>
        <v>40</v>
      </c>
      <c r="U23" s="23" t="str">
        <f>IF(SUMPRODUCT($J$66:T$66,$J23:T23)&lt;0.5, "Pending", IF(T23&lt;0.5, "Complete", "In Progress"))</f>
        <v>Pending</v>
      </c>
      <c r="V23" s="22">
        <v>0</v>
      </c>
      <c r="W23" s="22">
        <f t="shared" si="28"/>
        <v>40</v>
      </c>
      <c r="X23" s="23" t="str">
        <f>IF(SUMPRODUCT($J$66:W$66,$J23:W23)&lt;0.5, "Pending", IF(W23&lt;0.5, "Complete", "In Progress"))</f>
        <v>Pending</v>
      </c>
      <c r="Y23" s="22">
        <v>0</v>
      </c>
      <c r="Z23" s="22">
        <f t="shared" si="29"/>
        <v>40</v>
      </c>
      <c r="AA23" s="23" t="str">
        <f>IF(SUMPRODUCT($J$66:Z$66,$J23:Z23)&lt;0.5, "Pending", IF(Z23&lt;0.5, "Complete", "In Progress"))</f>
        <v>Pending</v>
      </c>
      <c r="AB23" s="22">
        <v>0</v>
      </c>
      <c r="AC23" s="22">
        <f t="shared" si="30"/>
        <v>40</v>
      </c>
      <c r="AD23" s="23" t="str">
        <f>IF(SUMPRODUCT($J$66:AC$66,$J23:AC23)&lt;0.5, "Pending", IF(AC23&lt;0.5, "Complete", "In Progress"))</f>
        <v>Pending</v>
      </c>
      <c r="AE23" s="22">
        <v>0</v>
      </c>
      <c r="AF23" s="22">
        <f t="shared" si="31"/>
        <v>40</v>
      </c>
      <c r="AG23" s="23" t="str">
        <f>IF(SUMPRODUCT($J$66:AF$66,$J23:AF23)&lt;0.5, "Pending", IF(AF23&lt;0.5, "Complete", "In Progress"))</f>
        <v>Pending</v>
      </c>
      <c r="AH23" s="22">
        <v>0</v>
      </c>
      <c r="AI23" s="22">
        <f t="shared" si="32"/>
        <v>40</v>
      </c>
      <c r="AJ23" s="23" t="str">
        <f>IF(SUMPRODUCT($J$66:AI$66,$J23:AI23)&lt;0.5, "Pending", IF(AI23&lt;0.5, "Complete", "In Progress"))</f>
        <v>Pending</v>
      </c>
      <c r="AK23" s="22">
        <v>0</v>
      </c>
      <c r="AL23" s="22">
        <f t="shared" si="33"/>
        <v>40</v>
      </c>
      <c r="AM23" s="23" t="str">
        <f>IF(SUMPRODUCT($J$66:AL$66,$J23:AL23)&lt;0.5, "Pending", IF(AL23&lt;0.5, "Complete", "In Progress"))</f>
        <v>Pending</v>
      </c>
      <c r="AN23" s="22">
        <v>0</v>
      </c>
      <c r="AO23" s="22">
        <f t="shared" si="34"/>
        <v>40</v>
      </c>
      <c r="AP23" s="23" t="str">
        <f>IF(SUMPRODUCT($J$66:AO$66,$J23:AO23)&lt;0.5, "Pending", IF(AO23&lt;0.5, "Complete", "In Progress"))</f>
        <v>Pending</v>
      </c>
      <c r="AQ23" s="22">
        <v>0</v>
      </c>
      <c r="AR23" s="22">
        <f t="shared" si="35"/>
        <v>40</v>
      </c>
      <c r="AS23" s="23" t="str">
        <f>IF(SUMPRODUCT($J$66:AR$66,$J23:AR23)&lt;0.5, "Pending", IF(AR23&lt;0.5, "Complete", "In Progress"))</f>
        <v>Pending</v>
      </c>
      <c r="AT23" s="22">
        <v>0</v>
      </c>
      <c r="AU23" s="22">
        <f t="shared" si="36"/>
        <v>40</v>
      </c>
      <c r="AV23" s="23" t="str">
        <f>IF(SUMPRODUCT($J$66:AU$66,$J23:AU23)&lt;0.5, "Pending", IF(AU23&lt;0.5, "Complete", "In Progress"))</f>
        <v>Pending</v>
      </c>
      <c r="AW23" s="22">
        <v>0</v>
      </c>
      <c r="AX23" s="22">
        <f t="shared" si="37"/>
        <v>40</v>
      </c>
      <c r="AY23" s="23" t="str">
        <f>IF(SUMPRODUCT($J$66:AX$66,$J23:AX23)&lt;0.5,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IF(SUMPRODUCT($J$66:BA$66,$J23:BA23)&lt;0.5,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IF(SUMPRODUCT($J$66:BD$66,$J23:BD23)&lt;0.5,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IF(SUMPRODUCT($J$66:BG$66,$J23:BG23)&lt;0.5,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IF(SUMPRODUCT($J$66:BJ$66,$J23:BJ23)&lt;0.5,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IF(SUMPRODUCT($J$66:BM$66,$J23:BM23)&lt;0.5,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IF(SUMPRODUCT($J$66:BP$66,$J23:BP23)&lt;0.5,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IF(SUMPRODUCT($J$66:BS$66,$J23:BS23)&lt;0.5,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IF(SUMPRODUCT($J$66:BV$66,$J23:BV23)&lt;0.5,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IF(SUMPRODUCT($J$66:BY$66,$J23:BY23)&lt;0.5,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IF(SUMPRODUCT($J$66:CB$66,$J23:CB23)&lt;0.5, "Pending", IF(CB23&lt;0.5, "Complete", "In Progress"))</f>
        <v>#REF!</v>
      </c>
      <c r="CD23" s="24"/>
      <c r="CE23" s="25">
        <f>SUMPRODUCT($H$66:AY$66,$H23:AY23)</f>
        <v>0</v>
      </c>
    </row>
    <row r="24" spans="1:83" x14ac:dyDescent="0.2">
      <c r="A24" s="16"/>
      <c r="B24" s="16"/>
      <c r="C24" s="16"/>
      <c r="D24" s="17"/>
      <c r="E24" s="178"/>
      <c r="F24" s="18" t="s">
        <v>117</v>
      </c>
      <c r="G24" s="19" t="str">
        <f t="shared" ca="1" si="0"/>
        <v>Pending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IF(SUMPRODUCT($J$66:K$66,$J24:K24)&lt;0.5,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IF(SUMPRODUCT($J$66:N$66,$J24:N24)&lt;0.5,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IF(SUMPRODUCT($J$66:Q$66,$J24:Q24)&lt;0.5,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IF(SUMPRODUCT($J$66:T$66,$J24:T24)&lt;0.5,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IF(SUMPRODUCT($J$66:W$66,$J24:W24)&lt;0.5,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IF(SUMPRODUCT($J$66:Z$66,$J24:Z24)&lt;0.5,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IF(SUMPRODUCT($J$66:AC$66,$J24:AC24)&lt;0.5,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IF(SUMPRODUCT($J$66:AF$66,$J24:AF24)&lt;0.5,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IF(SUMPRODUCT($J$66:AI$66,$J24:AI24)&lt;0.5,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IF(SUMPRODUCT($J$66:AL$66,$J24:AL24)&lt;0.5,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IF(SUMPRODUCT($J$66:AO$66,$J24:AO24)&lt;0.5,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IF(SUMPRODUCT($J$66:AR$66,$J24:AR24)&lt;0.5,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IF(SUMPRODUCT($J$66:AU$66,$J24:AU24)&lt;0.5,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IF(SUMPRODUCT($J$66:AX$66,$J24:AX24)&lt;0.5,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IF(SUMPRODUCT($J$66:BA$66,$J24:BA24)&lt;0.5,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IF(SUMPRODUCT($J$66:BD$66,$J24:BD24)&lt;0.5,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IF(SUMPRODUCT($J$66:BG$66,$J24:BG24)&lt;0.5,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IF(SUMPRODUCT($J$66:BJ$66,$J24:BJ24)&lt;0.5,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IF(SUMPRODUCT($J$66:BM$66,$J24:BM24)&lt;0.5,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IF(SUMPRODUCT($J$66:BP$66,$J24:BP24)&lt;0.5,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IF(SUMPRODUCT($J$66:BS$66,$J24:BS24)&lt;0.5,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IF(SUMPRODUCT($J$66:BV$66,$J24:BV24)&lt;0.5,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IF(SUMPRODUCT($J$66:BY$66,$J24:BY24)&lt;0.5,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IF(SUMPRODUCT($J$66:CB$66,$J24:CB24)&lt;0.5, "Pending", IF(CB24&lt;0.5, "Complete", "In Progress"))</f>
        <v>#REF!</v>
      </c>
      <c r="CD24" s="24"/>
      <c r="CE24" s="25">
        <f>SUMPRODUCT($H$66:AY$66,$H24:AY24)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117</v>
      </c>
      <c r="G25" s="19" t="str">
        <f t="shared" ca="1" si="0"/>
        <v>Pending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IF(SUMPRODUCT($J$66:K$66,$J25:K25)&lt;0.5,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IF(SUMPRODUCT($J$66:N$66,$J25:N25)&lt;0.5,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IF(SUMPRODUCT($J$66:Q$66,$J25:Q25)&lt;0.5,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IF(SUMPRODUCT($J$66:T$66,$J25:T25)&lt;0.5,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IF(SUMPRODUCT($J$66:W$66,$J25:W25)&lt;0.5,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IF(SUMPRODUCT($J$66:Z$66,$J25:Z25)&lt;0.5,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IF(SUMPRODUCT($J$66:AC$66,$J25:AC25)&lt;0.5,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IF(SUMPRODUCT($J$66:AF$66,$J25:AF25)&lt;0.5,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IF(SUMPRODUCT($J$66:AI$66,$J25:AI25)&lt;0.5,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IF(SUMPRODUCT($J$66:AL$66,$J25:AL25)&lt;0.5,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IF(SUMPRODUCT($J$66:AO$66,$J25:AO25)&lt;0.5,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IF(SUMPRODUCT($J$66:AR$66,$J25:AR25)&lt;0.5,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IF(SUMPRODUCT($J$66:AU$66,$J25:AU25)&lt;0.5,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IF(SUMPRODUCT($J$66:AX$66,$J25:AX25)&lt;0.5,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IF(SUMPRODUCT($J$66:BA$66,$J25:BA25)&lt;0.5,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IF(SUMPRODUCT($J$66:BD$66,$J25:BD25)&lt;0.5,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IF(SUMPRODUCT($J$66:BG$66,$J25:BG25)&lt;0.5,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IF(SUMPRODUCT($J$66:BJ$66,$J25:BJ25)&lt;0.5,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IF(SUMPRODUCT($J$66:BM$66,$J25:BM25)&lt;0.5,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IF(SUMPRODUCT($J$66:BP$66,$J25:BP25)&lt;0.5,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IF(SUMPRODUCT($J$66:BS$66,$J25:BS25)&lt;0.5,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IF(SUMPRODUCT($J$66:BV$66,$J25:BV25)&lt;0.5,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IF(SUMPRODUCT($J$66:BY$66,$J25:BY25)&lt;0.5,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IF(SUMPRODUCT($J$66:CB$66,$J25:CB25)&lt;0.5, "Pending", IF(CB25&lt;0.5, "Complete", "In Progress"))</f>
        <v>#REF!</v>
      </c>
      <c r="CD25" s="24"/>
      <c r="CE25" s="25">
        <f>SUMPRODUCT($H$66:AY$66,$H25:AY25)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117</v>
      </c>
      <c r="G26" s="19" t="str">
        <f t="shared" ca="1" si="0"/>
        <v>Pending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IF(SUMPRODUCT($J$66:K$66,$J26:K26)&lt;0.5,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IF(SUMPRODUCT($J$66:N$66,$J26:N26)&lt;0.5,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IF(SUMPRODUCT($J$66:Q$66,$J26:Q26)&lt;0.5,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IF(SUMPRODUCT($J$66:T$66,$J26:T26)&lt;0.5,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IF(SUMPRODUCT($J$66:W$66,$J26:W26)&lt;0.5,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IF(SUMPRODUCT($J$66:Z$66,$J26:Z26)&lt;0.5,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IF(SUMPRODUCT($J$66:AC$66,$J26:AC26)&lt;0.5,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IF(SUMPRODUCT($J$66:AF$66,$J26:AF26)&lt;0.5,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IF(SUMPRODUCT($J$66:AI$66,$J26:AI26)&lt;0.5,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IF(SUMPRODUCT($J$66:AL$66,$J26:AL26)&lt;0.5,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IF(SUMPRODUCT($J$66:AO$66,$J26:AO26)&lt;0.5,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IF(SUMPRODUCT($J$66:AR$66,$J26:AR26)&lt;0.5,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IF(SUMPRODUCT($J$66:AU$66,$J26:AU26)&lt;0.5,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IF(SUMPRODUCT($J$66:AX$66,$J26:AX26)&lt;0.5,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IF(SUMPRODUCT($J$66:BA$66,$J26:BA26)&lt;0.5,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IF(SUMPRODUCT($J$66:BD$66,$J26:BD26)&lt;0.5,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IF(SUMPRODUCT($J$66:BG$66,$J26:BG26)&lt;0.5,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IF(SUMPRODUCT($J$66:BJ$66,$J26:BJ26)&lt;0.5,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IF(SUMPRODUCT($J$66:BM$66,$J26:BM26)&lt;0.5,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IF(SUMPRODUCT($J$66:BP$66,$J26:BP26)&lt;0.5,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IF(SUMPRODUCT($J$66:BS$66,$J26:BS26)&lt;0.5,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IF(SUMPRODUCT($J$66:BV$66,$J26:BV26)&lt;0.5,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IF(SUMPRODUCT($J$66:BY$66,$J26:BY26)&lt;0.5,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IF(SUMPRODUCT($J$66:CB$66,$J26:CB26)&lt;0.5, "Pending", IF(CB26&lt;0.5, "Complete", "In Progress"))</f>
        <v>#REF!</v>
      </c>
      <c r="CD26" s="24"/>
      <c r="CE26" s="25">
        <f>SUMPRODUCT($H$66:AY$66,$H26:AY26)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117</v>
      </c>
      <c r="G27" s="19" t="str">
        <f t="shared" ca="1" si="0"/>
        <v>Pending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IF(SUMPRODUCT($J$66:K$66,$J27:K27)&lt;0.5,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IF(SUMPRODUCT($J$66:N$66,$J27:N27)&lt;0.5,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IF(SUMPRODUCT($J$66:Q$66,$J27:Q27)&lt;0.5,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IF(SUMPRODUCT($J$66:T$66,$J27:T27)&lt;0.5,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IF(SUMPRODUCT($J$66:W$66,$J27:W27)&lt;0.5,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IF(SUMPRODUCT($J$66:Z$66,$J27:Z27)&lt;0.5,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IF(SUMPRODUCT($J$66:AC$66,$J27:AC27)&lt;0.5,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IF(SUMPRODUCT($J$66:AF$66,$J27:AF27)&lt;0.5,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IF(SUMPRODUCT($J$66:AI$66,$J27:AI27)&lt;0.5,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IF(SUMPRODUCT($J$66:AL$66,$J27:AL27)&lt;0.5,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IF(SUMPRODUCT($J$66:AO$66,$J27:AO27)&lt;0.5,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IF(SUMPRODUCT($J$66:AR$66,$J27:AR27)&lt;0.5,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IF(SUMPRODUCT($J$66:AU$66,$J27:AU27)&lt;0.5,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IF(SUMPRODUCT($J$66:AX$66,$J27:AX27)&lt;0.5,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IF(SUMPRODUCT($J$66:BA$66,$J27:BA27)&lt;0.5,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IF(SUMPRODUCT($J$66:BD$66,$J27:BD27)&lt;0.5,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IF(SUMPRODUCT($J$66:BG$66,$J27:BG27)&lt;0.5,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IF(SUMPRODUCT($J$66:BJ$66,$J27:BJ27)&lt;0.5,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IF(SUMPRODUCT($J$66:BM$66,$J27:BM27)&lt;0.5,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IF(SUMPRODUCT($J$66:BP$66,$J27:BP27)&lt;0.5,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IF(SUMPRODUCT($J$66:BS$66,$J27:BS27)&lt;0.5,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IF(SUMPRODUCT($J$66:BV$66,$J27:BV27)&lt;0.5,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IF(SUMPRODUCT($J$66:BY$66,$J27:BY27)&lt;0.5,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IF(SUMPRODUCT($J$66:CB$66,$J27:CB27)&lt;0.5, "Pending", IF(CB27&lt;0.5, "Complete", "In Progress"))</f>
        <v>#REF!</v>
      </c>
      <c r="CD27" s="24"/>
      <c r="CE27" s="25">
        <f>SUMPRODUCT($H$66:AY$66,$H27:AY27)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117</v>
      </c>
      <c r="G28" s="19" t="str">
        <f t="shared" ca="1" si="0"/>
        <v>Pending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IF(SUMPRODUCT($J$66:K$66,$J28:K28)&lt;0.5,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IF(SUMPRODUCT($J$66:N$66,$J28:N28)&lt;0.5,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IF(SUMPRODUCT($J$66:Q$66,$J28:Q28)&lt;0.5,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IF(SUMPRODUCT($J$66:T$66,$J28:T28)&lt;0.5,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IF(SUMPRODUCT($J$66:W$66,$J28:W28)&lt;0.5,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IF(SUMPRODUCT($J$66:Z$66,$J28:Z28)&lt;0.5,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IF(SUMPRODUCT($J$66:AC$66,$J28:AC28)&lt;0.5,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IF(SUMPRODUCT($J$66:AF$66,$J28:AF28)&lt;0.5,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IF(SUMPRODUCT($J$66:AI$66,$J28:AI28)&lt;0.5,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IF(SUMPRODUCT($J$66:AL$66,$J28:AL28)&lt;0.5,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IF(SUMPRODUCT($J$66:AO$66,$J28:AO28)&lt;0.5,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IF(SUMPRODUCT($J$66:AR$66,$J28:AR28)&lt;0.5,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IF(SUMPRODUCT($J$66:AU$66,$J28:AU28)&lt;0.5,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IF(SUMPRODUCT($J$66:AX$66,$J28:AX28)&lt;0.5,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IF(SUMPRODUCT($J$66:BA$66,$J28:BA28)&lt;0.5,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IF(SUMPRODUCT($J$66:BD$66,$J28:BD28)&lt;0.5,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IF(SUMPRODUCT($J$66:BG$66,$J28:BG28)&lt;0.5,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IF(SUMPRODUCT($J$66:BJ$66,$J28:BJ28)&lt;0.5,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IF(SUMPRODUCT($J$66:BM$66,$J28:BM28)&lt;0.5,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IF(SUMPRODUCT($J$66:BP$66,$J28:BP28)&lt;0.5,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IF(SUMPRODUCT($J$66:BS$66,$J28:BS28)&lt;0.5,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IF(SUMPRODUCT($J$66:BV$66,$J28:BV28)&lt;0.5,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IF(SUMPRODUCT($J$66:BY$66,$J28:BY28)&lt;0.5,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IF(SUMPRODUCT($J$66:CB$66,$J28:CB28)&lt;0.5, "Pending", IF(CB28&lt;0.5, "Complete", "In Progress"))</f>
        <v>#REF!</v>
      </c>
      <c r="CD28" s="24"/>
      <c r="CE28" s="25">
        <f>SUMPRODUCT($H$66:AY$66,$H28:AY28)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117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IF(SUMPRODUCT($J$66:K$66,$J29:K29)&lt;0.5,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IF(SUMPRODUCT($J$66:N$66,$J29:N29)&lt;0.5,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IF(SUMPRODUCT($J$66:Q$66,$J29:Q29)&lt;0.5,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IF(SUMPRODUCT($J$66:T$66,$J29:T29)&lt;0.5,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IF(SUMPRODUCT($J$66:W$66,$J29:W29)&lt;0.5,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IF(SUMPRODUCT($J$66:Z$66,$J29:Z29)&lt;0.5,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IF(SUMPRODUCT($J$66:AC$66,$J29:AC29)&lt;0.5,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IF(SUMPRODUCT($J$66:AF$66,$J29:AF29)&lt;0.5,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IF(SUMPRODUCT($J$66:AI$66,$J29:AI29)&lt;0.5,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IF(SUMPRODUCT($J$66:AL$66,$J29:AL29)&lt;0.5,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IF(SUMPRODUCT($J$66:AO$66,$J29:AO29)&lt;0.5,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IF(SUMPRODUCT($J$66:AR$66,$J29:AR29)&lt;0.5,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IF(SUMPRODUCT($J$66:AU$66,$J29:AU29)&lt;0.5,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IF(SUMPRODUCT($J$66:AX$66,$J29:AX29)&lt;0.5,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IF(SUMPRODUCT($J$66:BA$66,$J29:BA29)&lt;0.5,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IF(SUMPRODUCT($J$66:BD$66,$J29:BD29)&lt;0.5,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IF(SUMPRODUCT($J$66:BG$66,$J29:BG29)&lt;0.5,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IF(SUMPRODUCT($J$66:BJ$66,$J29:BJ29)&lt;0.5,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IF(SUMPRODUCT($J$66:BM$66,$J29:BM29)&lt;0.5,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IF(SUMPRODUCT($J$66:BP$66,$J29:BP29)&lt;0.5,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IF(SUMPRODUCT($J$66:BS$66,$J29:BS29)&lt;0.5,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IF(SUMPRODUCT($J$66:BV$66,$J29:BV29)&lt;0.5,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IF(SUMPRODUCT($J$66:BY$66,$J29:BY29)&lt;0.5,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IF(SUMPRODUCT($J$66:CB$66,$J29:CB29)&lt;0.5, "Pending", IF(CB29&lt;0.5, "Complete", "In Progress"))</f>
        <v>#REF!</v>
      </c>
      <c r="CD29" s="24"/>
      <c r="CE29" s="25">
        <f>SUMPRODUCT($H$66:AY$66,$H29:AY29)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117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IF(SUMPRODUCT($J$66:K$66,$J30:K30)&lt;0.5,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IF(SUMPRODUCT($J$66:N$66,$J30:N30)&lt;0.5,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IF(SUMPRODUCT($J$66:Q$66,$J30:Q30)&lt;0.5,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IF(SUMPRODUCT($J$66:T$66,$J30:T30)&lt;0.5,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IF(SUMPRODUCT($J$66:W$66,$J30:W30)&lt;0.5,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IF(SUMPRODUCT($J$66:Z$66,$J30:Z30)&lt;0.5,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IF(SUMPRODUCT($J$66:AC$66,$J30:AC30)&lt;0.5,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IF(SUMPRODUCT($J$66:AF$66,$J30:AF30)&lt;0.5,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IF(SUMPRODUCT($J$66:AI$66,$J30:AI30)&lt;0.5,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IF(SUMPRODUCT($J$66:AL$66,$J30:AL30)&lt;0.5,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IF(SUMPRODUCT($J$66:AO$66,$J30:AO30)&lt;0.5,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IF(SUMPRODUCT($J$66:AR$66,$J30:AR30)&lt;0.5,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IF(SUMPRODUCT($J$66:AU$66,$J30:AU30)&lt;0.5,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IF(SUMPRODUCT($J$66:AX$66,$J30:AX30)&lt;0.5,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IF(SUMPRODUCT($J$66:BA$66,$J30:BA30)&lt;0.5,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IF(SUMPRODUCT($J$66:BD$66,$J30:BD30)&lt;0.5,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IF(SUMPRODUCT($J$66:BG$66,$J30:BG30)&lt;0.5,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IF(SUMPRODUCT($J$66:BJ$66,$J30:BJ30)&lt;0.5,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IF(SUMPRODUCT($J$66:BM$66,$J30:BM30)&lt;0.5,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IF(SUMPRODUCT($J$66:BP$66,$J30:BP30)&lt;0.5,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IF(SUMPRODUCT($J$66:BS$66,$J30:BS30)&lt;0.5,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IF(SUMPRODUCT($J$66:BV$66,$J30:BV30)&lt;0.5,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IF(SUMPRODUCT($J$66:BY$66,$J30:BY30)&lt;0.5,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IF(SUMPRODUCT($J$66:CB$66,$J30:CB30)&lt;0.5, "Pending", IF(CB30&lt;0.5, "Complete", "In Progress"))</f>
        <v>#REF!</v>
      </c>
      <c r="CD30" s="24"/>
      <c r="CE30" s="25">
        <f>SUMPRODUCT($H$66:AY$66,$H30:AY30)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117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IF(SUMPRODUCT($J$66:K$66,$J31:K31)&lt;0.5,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IF(SUMPRODUCT($J$66:N$66,$J31:N31)&lt;0.5,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IF(SUMPRODUCT($J$66:Q$66,$J31:Q31)&lt;0.5,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IF(SUMPRODUCT($J$66:T$66,$J31:T31)&lt;0.5,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IF(SUMPRODUCT($J$66:W$66,$J31:W31)&lt;0.5,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IF(SUMPRODUCT($J$66:Z$66,$J31:Z31)&lt;0.5,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IF(SUMPRODUCT($J$66:AC$66,$J31:AC31)&lt;0.5,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IF(SUMPRODUCT($J$66:AF$66,$J31:AF31)&lt;0.5,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IF(SUMPRODUCT($J$66:AI$66,$J31:AI31)&lt;0.5,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IF(SUMPRODUCT($J$66:AL$66,$J31:AL31)&lt;0.5,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IF(SUMPRODUCT($J$66:AO$66,$J31:AO31)&lt;0.5,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IF(SUMPRODUCT($J$66:AR$66,$J31:AR31)&lt;0.5,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IF(SUMPRODUCT($J$66:AU$66,$J31:AU31)&lt;0.5,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IF(SUMPRODUCT($J$66:AX$66,$J31:AX31)&lt;0.5,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IF(SUMPRODUCT($J$66:BA$66,$J31:BA31)&lt;0.5,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IF(SUMPRODUCT($J$66:BD$66,$J31:BD31)&lt;0.5,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IF(SUMPRODUCT($J$66:BG$66,$J31:BG31)&lt;0.5,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IF(SUMPRODUCT($J$66:BJ$66,$J31:BJ31)&lt;0.5,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IF(SUMPRODUCT($J$66:BM$66,$J31:BM31)&lt;0.5,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IF(SUMPRODUCT($J$66:BP$66,$J31:BP31)&lt;0.5,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IF(SUMPRODUCT($J$66:BS$66,$J31:BS31)&lt;0.5,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IF(SUMPRODUCT($J$66:BV$66,$J31:BV31)&lt;0.5,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IF(SUMPRODUCT($J$66:BY$66,$J31:BY31)&lt;0.5,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IF(SUMPRODUCT($J$66:CB$66,$J31:CB31)&lt;0.5, "Pending", IF(CB31&lt;0.5, "Complete", "In Progress"))</f>
        <v>#REF!</v>
      </c>
      <c r="CD31" s="24"/>
      <c r="CE31" s="25">
        <f>SUMPRODUCT($H$66:AY$66,$H31:AY31)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117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IF(SUMPRODUCT($J$66:K$66,$J32:K32)&lt;0.5,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IF(SUMPRODUCT($J$66:N$66,$J32:N32)&lt;0.5,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IF(SUMPRODUCT($J$66:Q$66,$J32:Q32)&lt;0.5,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IF(SUMPRODUCT($J$66:T$66,$J32:T32)&lt;0.5,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IF(SUMPRODUCT($J$66:W$66,$J32:W32)&lt;0.5,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IF(SUMPRODUCT($J$66:Z$66,$J32:Z32)&lt;0.5,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IF(SUMPRODUCT($J$66:AC$66,$J32:AC32)&lt;0.5,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IF(SUMPRODUCT($J$66:AF$66,$J32:AF32)&lt;0.5,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IF(SUMPRODUCT($J$66:AI$66,$J32:AI32)&lt;0.5,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IF(SUMPRODUCT($J$66:AL$66,$J32:AL32)&lt;0.5,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IF(SUMPRODUCT($J$66:AO$66,$J32:AO32)&lt;0.5,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IF(SUMPRODUCT($J$66:AR$66,$J32:AR32)&lt;0.5,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IF(SUMPRODUCT($J$66:AU$66,$J32:AU32)&lt;0.5,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IF(SUMPRODUCT($J$66:AX$66,$J32:AX32)&lt;0.5,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IF(SUMPRODUCT($J$66:BA$66,$J32:BA32)&lt;0.5,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IF(SUMPRODUCT($J$66:BD$66,$J32:BD32)&lt;0.5,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IF(SUMPRODUCT($J$66:BG$66,$J32:BG32)&lt;0.5,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IF(SUMPRODUCT($J$66:BJ$66,$J32:BJ32)&lt;0.5,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IF(SUMPRODUCT($J$66:BM$66,$J32:BM32)&lt;0.5,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IF(SUMPRODUCT($J$66:BP$66,$J32:BP32)&lt;0.5,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IF(SUMPRODUCT($J$66:BS$66,$J32:BS32)&lt;0.5,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IF(SUMPRODUCT($J$66:BV$66,$J32:BV32)&lt;0.5,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IF(SUMPRODUCT($J$66:BY$66,$J32:BY32)&lt;0.5,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IF(SUMPRODUCT($J$66:CB$66,$J32:CB32)&lt;0.5, "Pending", IF(CB32&lt;0.5, "Complete", "In Progress"))</f>
        <v>#REF!</v>
      </c>
      <c r="CD32" s="24"/>
      <c r="CE32" s="25">
        <f>SUMPRODUCT($H$66:AY$66,$H32:AY32)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117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IF(SUMPRODUCT($J$66:K$66,$J33:K33)&lt;0.5,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IF(SUMPRODUCT($J$66:N$66,$J33:N33)&lt;0.5,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IF(SUMPRODUCT($J$66:Q$66,$J33:Q33)&lt;0.5,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IF(SUMPRODUCT($J$66:T$66,$J33:T33)&lt;0.5,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IF(SUMPRODUCT($J$66:W$66,$J33:W33)&lt;0.5,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IF(SUMPRODUCT($J$66:Z$66,$J33:Z33)&lt;0.5,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IF(SUMPRODUCT($J$66:AC$66,$J33:AC33)&lt;0.5,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IF(SUMPRODUCT($J$66:AF$66,$J33:AF33)&lt;0.5,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IF(SUMPRODUCT($J$66:AI$66,$J33:AI33)&lt;0.5,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IF(SUMPRODUCT($J$66:AL$66,$J33:AL33)&lt;0.5,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IF(SUMPRODUCT($J$66:AO$66,$J33:AO33)&lt;0.5,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IF(SUMPRODUCT($J$66:AR$66,$J33:AR33)&lt;0.5,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IF(SUMPRODUCT($J$66:AU$66,$J33:AU33)&lt;0.5,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IF(SUMPRODUCT($J$66:AX$66,$J33:AX33)&lt;0.5,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IF(SUMPRODUCT($J$66:BA$66,$J33:BA33)&lt;0.5,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IF(SUMPRODUCT($J$66:BD$66,$J33:BD33)&lt;0.5,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IF(SUMPRODUCT($J$66:BG$66,$J33:BG33)&lt;0.5,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IF(SUMPRODUCT($J$66:BJ$66,$J33:BJ33)&lt;0.5,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IF(SUMPRODUCT($J$66:BM$66,$J33:BM33)&lt;0.5,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IF(SUMPRODUCT($J$66:BP$66,$J33:BP33)&lt;0.5,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IF(SUMPRODUCT($J$66:BS$66,$J33:BS33)&lt;0.5,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IF(SUMPRODUCT($J$66:BV$66,$J33:BV33)&lt;0.5,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IF(SUMPRODUCT($J$66:BY$66,$J33:BY33)&lt;0.5,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IF(SUMPRODUCT($J$66:CB$66,$J33:CB33)&lt;0.5, "Pending", IF(CB33&lt;0.5, "Complete", "In Progress"))</f>
        <v>#REF!</v>
      </c>
      <c r="CD33" s="24"/>
      <c r="CE33" s="25">
        <f>SUMPRODUCT($H$66:AY$66,$H33:AY33)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117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IF(SUMPRODUCT($J$66:K$66,$J34:K34)&lt;0.5,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IF(SUMPRODUCT($J$66:N$66,$J34:N34)&lt;0.5,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IF(SUMPRODUCT($J$66:Q$66,$J34:Q34)&lt;0.5,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IF(SUMPRODUCT($J$66:T$66,$J34:T34)&lt;0.5,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IF(SUMPRODUCT($J$66:W$66,$J34:W34)&lt;0.5,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IF(SUMPRODUCT($J$66:Z$66,$J34:Z34)&lt;0.5,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IF(SUMPRODUCT($J$66:AC$66,$J34:AC34)&lt;0.5,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IF(SUMPRODUCT($J$66:AF$66,$J34:AF34)&lt;0.5,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IF(SUMPRODUCT($J$66:AI$66,$J34:AI34)&lt;0.5,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IF(SUMPRODUCT($J$66:AL$66,$J34:AL34)&lt;0.5,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IF(SUMPRODUCT($J$66:AO$66,$J34:AO34)&lt;0.5,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IF(SUMPRODUCT($J$66:AR$66,$J34:AR34)&lt;0.5,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IF(SUMPRODUCT($J$66:AU$66,$J34:AU34)&lt;0.5,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IF(SUMPRODUCT($J$66:AX$66,$J34:AX34)&lt;0.5,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IF(SUMPRODUCT($J$66:BA$66,$J34:BA34)&lt;0.5,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IF(SUMPRODUCT($J$66:BD$66,$J34:BD34)&lt;0.5,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IF(SUMPRODUCT($J$66:BG$66,$J34:BG34)&lt;0.5,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IF(SUMPRODUCT($J$66:BJ$66,$J34:BJ34)&lt;0.5,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IF(SUMPRODUCT($J$66:BM$66,$J34:BM34)&lt;0.5,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IF(SUMPRODUCT($J$66:BP$66,$J34:BP34)&lt;0.5,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IF(SUMPRODUCT($J$66:BS$66,$J34:BS34)&lt;0.5,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IF(SUMPRODUCT($J$66:BV$66,$J34:BV34)&lt;0.5,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IF(SUMPRODUCT($J$66:BY$66,$J34:BY34)&lt;0.5,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IF(SUMPRODUCT($J$66:CB$66,$J34:CB34)&lt;0.5, "Pending", IF(CB34&lt;0.5, "Complete", "In Progress"))</f>
        <v>#REF!</v>
      </c>
      <c r="CD34" s="24"/>
      <c r="CE34" s="25">
        <f>SUMPRODUCT($H$66:AY$66,$H34:AY34)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117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IF(SUMPRODUCT($J$66:K$66,$J35:K35)&lt;0.5,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IF(SUMPRODUCT($J$66:N$66,$J35:N35)&lt;0.5,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IF(SUMPRODUCT($J$66:Q$66,$J35:Q35)&lt;0.5,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IF(SUMPRODUCT($J$66:T$66,$J35:T35)&lt;0.5,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IF(SUMPRODUCT($J$66:W$66,$J35:W35)&lt;0.5,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IF(SUMPRODUCT($J$66:Z$66,$J35:Z35)&lt;0.5,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IF(SUMPRODUCT($J$66:AC$66,$J35:AC35)&lt;0.5,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IF(SUMPRODUCT($J$66:AF$66,$J35:AF35)&lt;0.5,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IF(SUMPRODUCT($J$66:AI$66,$J35:AI35)&lt;0.5,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IF(SUMPRODUCT($J$66:AL$66,$J35:AL35)&lt;0.5,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IF(SUMPRODUCT($J$66:AO$66,$J35:AO35)&lt;0.5,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IF(SUMPRODUCT($J$66:AR$66,$J35:AR35)&lt;0.5,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IF(SUMPRODUCT($J$66:AU$66,$J35:AU35)&lt;0.5,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IF(SUMPRODUCT($J$66:AX$66,$J35:AX35)&lt;0.5,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IF(SUMPRODUCT($J$66:BA$66,$J35:BA35)&lt;0.5,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IF(SUMPRODUCT($J$66:BD$66,$J35:BD35)&lt;0.5,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IF(SUMPRODUCT($J$66:BG$66,$J35:BG35)&lt;0.5,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IF(SUMPRODUCT($J$66:BJ$66,$J35:BJ35)&lt;0.5,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IF(SUMPRODUCT($J$66:BM$66,$J35:BM35)&lt;0.5,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IF(SUMPRODUCT($J$66:BP$66,$J35:BP35)&lt;0.5,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IF(SUMPRODUCT($J$66:BS$66,$J35:BS35)&lt;0.5,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IF(SUMPRODUCT($J$66:BV$66,$J35:BV35)&lt;0.5,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IF(SUMPRODUCT($J$66:BY$66,$J35:BY35)&lt;0.5,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IF(SUMPRODUCT($J$66:CB$66,$J35:CB35)&lt;0.5, "Pending", IF(CB35&lt;0.5, "Complete", "In Progress"))</f>
        <v>#REF!</v>
      </c>
      <c r="CD35" s="24"/>
      <c r="CE35" s="25">
        <f>SUMPRODUCT($H$66:AY$66,$H35:AY35)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117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IF(SUMPRODUCT($J$66:K$66,$J36:K36)&lt;0.5,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IF(SUMPRODUCT($J$66:N$66,$J36:N36)&lt;0.5,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IF(SUMPRODUCT($J$66:Q$66,$J36:Q36)&lt;0.5,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IF(SUMPRODUCT($J$66:T$66,$J36:T36)&lt;0.5,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IF(SUMPRODUCT($J$66:W$66,$J36:W36)&lt;0.5,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IF(SUMPRODUCT($J$66:Z$66,$J36:Z36)&lt;0.5,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IF(SUMPRODUCT($J$66:AC$66,$J36:AC36)&lt;0.5,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IF(SUMPRODUCT($J$66:AF$66,$J36:AF36)&lt;0.5,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IF(SUMPRODUCT($J$66:AI$66,$J36:AI36)&lt;0.5,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IF(SUMPRODUCT($J$66:AL$66,$J36:AL36)&lt;0.5,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IF(SUMPRODUCT($J$66:AO$66,$J36:AO36)&lt;0.5,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IF(SUMPRODUCT($J$66:AR$66,$J36:AR36)&lt;0.5,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IF(SUMPRODUCT($J$66:AU$66,$J36:AU36)&lt;0.5,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IF(SUMPRODUCT($J$66:AX$66,$J36:AX36)&lt;0.5,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IF(SUMPRODUCT($J$66:BA$66,$J36:BA36)&lt;0.5,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IF(SUMPRODUCT($J$66:BD$66,$J36:BD36)&lt;0.5,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IF(SUMPRODUCT($J$66:BG$66,$J36:BG36)&lt;0.5,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IF(SUMPRODUCT($J$66:BJ$66,$J36:BJ36)&lt;0.5,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IF(SUMPRODUCT($J$66:BM$66,$J36:BM36)&lt;0.5,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IF(SUMPRODUCT($J$66:BP$66,$J36:BP36)&lt;0.5,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IF(SUMPRODUCT($J$66:BS$66,$J36:BS36)&lt;0.5,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IF(SUMPRODUCT($J$66:BV$66,$J36:BV36)&lt;0.5,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IF(SUMPRODUCT($J$66:BY$66,$J36:BY36)&lt;0.5,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IF(SUMPRODUCT($J$66:CB$66,$J36:CB36)&lt;0.5, "Pending", IF(CB36&lt;0.5, "Complete", "In Progress"))</f>
        <v>#REF!</v>
      </c>
      <c r="CD36" s="24"/>
      <c r="CE36" s="25">
        <f>SUMPRODUCT($H$66:AY$66,$H36:AY36)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117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IF(SUMPRODUCT($J$66:K$66,$J37:K37)&lt;0.5,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IF(SUMPRODUCT($J$66:N$66,$J37:N37)&lt;0.5,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IF(SUMPRODUCT($J$66:Q$66,$J37:Q37)&lt;0.5,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IF(SUMPRODUCT($J$66:T$66,$J37:T37)&lt;0.5,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IF(SUMPRODUCT($J$66:W$66,$J37:W37)&lt;0.5,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IF(SUMPRODUCT($J$66:Z$66,$J37:Z37)&lt;0.5,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IF(SUMPRODUCT($J$66:AC$66,$J37:AC37)&lt;0.5,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IF(SUMPRODUCT($J$66:AF$66,$J37:AF37)&lt;0.5,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IF(SUMPRODUCT($J$66:AI$66,$J37:AI37)&lt;0.5,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IF(SUMPRODUCT($J$66:AL$66,$J37:AL37)&lt;0.5,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IF(SUMPRODUCT($J$66:AO$66,$J37:AO37)&lt;0.5,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IF(SUMPRODUCT($J$66:AR$66,$J37:AR37)&lt;0.5,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IF(SUMPRODUCT($J$66:AU$66,$J37:AU37)&lt;0.5,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IF(SUMPRODUCT($J$66:AX$66,$J37:AX37)&lt;0.5,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IF(SUMPRODUCT($J$66:BA$66,$J37:BA37)&lt;0.5,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IF(SUMPRODUCT($J$66:BD$66,$J37:BD37)&lt;0.5,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IF(SUMPRODUCT($J$66:BG$66,$J37:BG37)&lt;0.5,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IF(SUMPRODUCT($J$66:BJ$66,$J37:BJ37)&lt;0.5,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IF(SUMPRODUCT($J$66:BM$66,$J37:BM37)&lt;0.5,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IF(SUMPRODUCT($J$66:BP$66,$J37:BP37)&lt;0.5,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IF(SUMPRODUCT($J$66:BS$66,$J37:BS37)&lt;0.5,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IF(SUMPRODUCT($J$66:BV$66,$J37:BV37)&lt;0.5,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IF(SUMPRODUCT($J$66:BY$66,$J37:BY37)&lt;0.5,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IF(SUMPRODUCT($J$66:CB$66,$J37:CB37)&lt;0.5, "Pending", IF(CB37&lt;0.5, "Complete", "In Progress"))</f>
        <v>#REF!</v>
      </c>
      <c r="CD37" s="24"/>
      <c r="CE37" s="25">
        <f>SUMPRODUCT($H$66:AY$66,$H37:AY37)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117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IF(SUMPRODUCT($J$66:K$66,$J38:K38)&lt;0.5,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IF(SUMPRODUCT($J$66:N$66,$J38:N38)&lt;0.5,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IF(SUMPRODUCT($J$66:Q$66,$J38:Q38)&lt;0.5,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IF(SUMPRODUCT($J$66:T$66,$J38:T38)&lt;0.5,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IF(SUMPRODUCT($J$66:W$66,$J38:W38)&lt;0.5,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IF(SUMPRODUCT($J$66:Z$66,$J38:Z38)&lt;0.5,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IF(SUMPRODUCT($J$66:AC$66,$J38:AC38)&lt;0.5,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IF(SUMPRODUCT($J$66:AF$66,$J38:AF38)&lt;0.5,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IF(SUMPRODUCT($J$66:AI$66,$J38:AI38)&lt;0.5,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IF(SUMPRODUCT($J$66:AL$66,$J38:AL38)&lt;0.5,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IF(SUMPRODUCT($J$66:AO$66,$J38:AO38)&lt;0.5,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IF(SUMPRODUCT($J$66:AR$66,$J38:AR38)&lt;0.5,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IF(SUMPRODUCT($J$66:AU$66,$J38:AU38)&lt;0.5,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IF(SUMPRODUCT($J$66:AX$66,$J38:AX38)&lt;0.5,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IF(SUMPRODUCT($J$66:BA$66,$J38:BA38)&lt;0.5,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IF(SUMPRODUCT($J$66:BD$66,$J38:BD38)&lt;0.5,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IF(SUMPRODUCT($J$66:BG$66,$J38:BG38)&lt;0.5,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IF(SUMPRODUCT($J$66:BJ$66,$J38:BJ38)&lt;0.5,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IF(SUMPRODUCT($J$66:BM$66,$J38:BM38)&lt;0.5,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IF(SUMPRODUCT($J$66:BP$66,$J38:BP38)&lt;0.5,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IF(SUMPRODUCT($J$66:BS$66,$J38:BS38)&lt;0.5,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IF(SUMPRODUCT($J$66:BV$66,$J38:BV38)&lt;0.5,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IF(SUMPRODUCT($J$66:BY$66,$J38:BY38)&lt;0.5,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IF(SUMPRODUCT($J$66:CB$66,$J38:CB38)&lt;0.5, "Pending", IF(CB38&lt;0.5, "Complete", "In Progress"))</f>
        <v>#REF!</v>
      </c>
      <c r="CD38" s="24"/>
      <c r="CE38" s="25">
        <f>SUMPRODUCT($H$66:AY$66,$H38:AY38)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117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IF(SUMPRODUCT($J$66:K$66,$J39:K39)&lt;0.5,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IF(SUMPRODUCT($J$66:N$66,$J39:N39)&lt;0.5,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IF(SUMPRODUCT($J$66:Q$66,$J39:Q39)&lt;0.5,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IF(SUMPRODUCT($J$66:T$66,$J39:T39)&lt;0.5,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IF(SUMPRODUCT($J$66:W$66,$J39:W39)&lt;0.5,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IF(SUMPRODUCT($J$66:Z$66,$J39:Z39)&lt;0.5,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IF(SUMPRODUCT($J$66:AC$66,$J39:AC39)&lt;0.5,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IF(SUMPRODUCT($J$66:AF$66,$J39:AF39)&lt;0.5,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IF(SUMPRODUCT($J$66:AI$66,$J39:AI39)&lt;0.5,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IF(SUMPRODUCT($J$66:AL$66,$J39:AL39)&lt;0.5,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IF(SUMPRODUCT($J$66:AO$66,$J39:AO39)&lt;0.5,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IF(SUMPRODUCT($J$66:AR$66,$J39:AR39)&lt;0.5,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IF(SUMPRODUCT($J$66:AU$66,$J39:AU39)&lt;0.5,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IF(SUMPRODUCT($J$66:AX$66,$J39:AX39)&lt;0.5,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IF(SUMPRODUCT($J$66:BA$66,$J39:BA39)&lt;0.5,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IF(SUMPRODUCT($J$66:BD$66,$J39:BD39)&lt;0.5,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IF(SUMPRODUCT($J$66:BG$66,$J39:BG39)&lt;0.5,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IF(SUMPRODUCT($J$66:BJ$66,$J39:BJ39)&lt;0.5,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IF(SUMPRODUCT($J$66:BM$66,$J39:BM39)&lt;0.5,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IF(SUMPRODUCT($J$66:BP$66,$J39:BP39)&lt;0.5,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IF(SUMPRODUCT($J$66:BS$66,$J39:BS39)&lt;0.5,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IF(SUMPRODUCT($J$66:BV$66,$J39:BV39)&lt;0.5,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IF(SUMPRODUCT($J$66:BY$66,$J39:BY39)&lt;0.5,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IF(SUMPRODUCT($J$66:CB$66,$J39:CB39)&lt;0.5, "Pending", IF(CB39&lt;0.5, "Complete", "In Progress"))</f>
        <v>#REF!</v>
      </c>
      <c r="CD39" s="24"/>
      <c r="CE39" s="25">
        <f>SUMPRODUCT($H$66:AY$66,$H39:AY39)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117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IF(SUMPRODUCT($J$66:K$66,$J40:K40)&lt;0.5,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IF(SUMPRODUCT($J$66:N$66,$J40:N40)&lt;0.5,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IF(SUMPRODUCT($J$66:Q$66,$J40:Q40)&lt;0.5,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IF(SUMPRODUCT($J$66:T$66,$J40:T40)&lt;0.5,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IF(SUMPRODUCT($J$66:W$66,$J40:W40)&lt;0.5,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IF(SUMPRODUCT($J$66:Z$66,$J40:Z40)&lt;0.5,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IF(SUMPRODUCT($J$66:AC$66,$J40:AC40)&lt;0.5,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IF(SUMPRODUCT($J$66:AF$66,$J40:AF40)&lt;0.5,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IF(SUMPRODUCT($J$66:AI$66,$J40:AI40)&lt;0.5,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IF(SUMPRODUCT($J$66:AL$66,$J40:AL40)&lt;0.5,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IF(SUMPRODUCT($J$66:AO$66,$J40:AO40)&lt;0.5,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IF(SUMPRODUCT($J$66:AR$66,$J40:AR40)&lt;0.5,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IF(SUMPRODUCT($J$66:AU$66,$J40:AU40)&lt;0.5,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IF(SUMPRODUCT($J$66:AX$66,$J40:AX40)&lt;0.5,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IF(SUMPRODUCT($J$66:BA$66,$J40:BA40)&lt;0.5,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IF(SUMPRODUCT($J$66:BD$66,$J40:BD40)&lt;0.5,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IF(SUMPRODUCT($J$66:BG$66,$J40:BG40)&lt;0.5,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IF(SUMPRODUCT($J$66:BJ$66,$J40:BJ40)&lt;0.5,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IF(SUMPRODUCT($J$66:BM$66,$J40:BM40)&lt;0.5,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IF(SUMPRODUCT($J$66:BP$66,$J40:BP40)&lt;0.5,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IF(SUMPRODUCT($J$66:BS$66,$J40:BS40)&lt;0.5,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IF(SUMPRODUCT($J$66:BV$66,$J40:BV40)&lt;0.5,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IF(SUMPRODUCT($J$66:BY$66,$J40:BY40)&lt;0.5,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IF(SUMPRODUCT($J$66:CB$66,$J40:CB40)&lt;0.5, "Pending", IF(CB40&lt;0.5, "Complete", "In Progress"))</f>
        <v>#REF!</v>
      </c>
      <c r="CD40" s="24"/>
      <c r="CE40" s="25">
        <f>SUMPRODUCT($H$66:AY$66,$H40:AY40)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117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IF(SUMPRODUCT($J$66:K$66,$J41:K41)&lt;0.5,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IF(SUMPRODUCT($J$66:N$66,$J41:N41)&lt;0.5,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IF(SUMPRODUCT($J$66:Q$66,$J41:Q41)&lt;0.5,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IF(SUMPRODUCT($J$66:T$66,$J41:T41)&lt;0.5,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IF(SUMPRODUCT($J$66:W$66,$J41:W41)&lt;0.5,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IF(SUMPRODUCT($J$66:Z$66,$J41:Z41)&lt;0.5,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IF(SUMPRODUCT($J$66:AC$66,$J41:AC41)&lt;0.5,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IF(SUMPRODUCT($J$66:AF$66,$J41:AF41)&lt;0.5,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IF(SUMPRODUCT($J$66:AI$66,$J41:AI41)&lt;0.5,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IF(SUMPRODUCT($J$66:AL$66,$J41:AL41)&lt;0.5,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IF(SUMPRODUCT($J$66:AO$66,$J41:AO41)&lt;0.5,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IF(SUMPRODUCT($J$66:AR$66,$J41:AR41)&lt;0.5,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IF(SUMPRODUCT($J$66:AU$66,$J41:AU41)&lt;0.5,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IF(SUMPRODUCT($J$66:AX$66,$J41:AX41)&lt;0.5,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IF(SUMPRODUCT($J$66:BA$66,$J41:BA41)&lt;0.5,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IF(SUMPRODUCT($J$66:BD$66,$J41:BD41)&lt;0.5,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IF(SUMPRODUCT($J$66:BG$66,$J41:BG41)&lt;0.5,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IF(SUMPRODUCT($J$66:BJ$66,$J41:BJ41)&lt;0.5,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IF(SUMPRODUCT($J$66:BM$66,$J41:BM41)&lt;0.5,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IF(SUMPRODUCT($J$66:BP$66,$J41:BP41)&lt;0.5,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IF(SUMPRODUCT($J$66:BS$66,$J41:BS41)&lt;0.5,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IF(SUMPRODUCT($J$66:BV$66,$J41:BV41)&lt;0.5,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IF(SUMPRODUCT($J$66:BY$66,$J41:BY41)&lt;0.5,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IF(SUMPRODUCT($J$66:CB$66,$J41:CB41)&lt;0.5, "Pending", IF(CB41&lt;0.5, "Complete", "In Progress"))</f>
        <v>#REF!</v>
      </c>
      <c r="CD41" s="24"/>
      <c r="CE41" s="25">
        <f>SUMPRODUCT($H$66:AY$66,$H41:AY41)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117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IF(SUMPRODUCT($J$66:K$66,$J42:K42)&lt;0.5,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IF(SUMPRODUCT($J$66:N$66,$J42:N42)&lt;0.5,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IF(SUMPRODUCT($J$66:Q$66,$J42:Q42)&lt;0.5,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IF(SUMPRODUCT($J$66:T$66,$J42:T42)&lt;0.5,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IF(SUMPRODUCT($J$66:W$66,$J42:W42)&lt;0.5,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IF(SUMPRODUCT($J$66:Z$66,$J42:Z42)&lt;0.5,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IF(SUMPRODUCT($J$66:AC$66,$J42:AC42)&lt;0.5,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IF(SUMPRODUCT($J$66:AF$66,$J42:AF42)&lt;0.5,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IF(SUMPRODUCT($J$66:AI$66,$J42:AI42)&lt;0.5,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IF(SUMPRODUCT($J$66:AL$66,$J42:AL42)&lt;0.5,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IF(SUMPRODUCT($J$66:AO$66,$J42:AO42)&lt;0.5,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IF(SUMPRODUCT($J$66:AR$66,$J42:AR42)&lt;0.5,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IF(SUMPRODUCT($J$66:AU$66,$J42:AU42)&lt;0.5,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IF(SUMPRODUCT($J$66:AX$66,$J42:AX42)&lt;0.5,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IF(SUMPRODUCT($J$66:BA$66,$J42:BA42)&lt;0.5,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IF(SUMPRODUCT($J$66:BD$66,$J42:BD42)&lt;0.5,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IF(SUMPRODUCT($J$66:BG$66,$J42:BG42)&lt;0.5,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IF(SUMPRODUCT($J$66:BJ$66,$J42:BJ42)&lt;0.5,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IF(SUMPRODUCT($J$66:BM$66,$J42:BM42)&lt;0.5,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IF(SUMPRODUCT($J$66:BP$66,$J42:BP42)&lt;0.5,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IF(SUMPRODUCT($J$66:BS$66,$J42:BS42)&lt;0.5,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IF(SUMPRODUCT($J$66:BV$66,$J42:BV42)&lt;0.5,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IF(SUMPRODUCT($J$66:BY$66,$J42:BY42)&lt;0.5,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IF(SUMPRODUCT($J$66:CB$66,$J42:CB42)&lt;0.5, "Pending", IF(CB42&lt;0.5, "Complete", "In Progress"))</f>
        <v>#REF!</v>
      </c>
      <c r="CD42" s="24"/>
      <c r="CE42" s="25">
        <f>SUMPRODUCT($H$66:AY$66,$H42:AY42)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117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IF(SUMPRODUCT($J$66:K$66,$J43:K43)&lt;0.5,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IF(SUMPRODUCT($J$66:N$66,$J43:N43)&lt;0.5,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IF(SUMPRODUCT($J$66:Q$66,$J43:Q43)&lt;0.5,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IF(SUMPRODUCT($J$66:T$66,$J43:T43)&lt;0.5,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IF(SUMPRODUCT($J$66:W$66,$J43:W43)&lt;0.5,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IF(SUMPRODUCT($J$66:Z$66,$J43:Z43)&lt;0.5,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IF(SUMPRODUCT($J$66:AC$66,$J43:AC43)&lt;0.5,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IF(SUMPRODUCT($J$66:AF$66,$J43:AF43)&lt;0.5,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IF(SUMPRODUCT($J$66:AI$66,$J43:AI43)&lt;0.5,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IF(SUMPRODUCT($J$66:AL$66,$J43:AL43)&lt;0.5,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IF(SUMPRODUCT($J$66:AO$66,$J43:AO43)&lt;0.5,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IF(SUMPRODUCT($J$66:AR$66,$J43:AR43)&lt;0.5,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IF(SUMPRODUCT($J$66:AU$66,$J43:AU43)&lt;0.5,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IF(SUMPRODUCT($J$66:AX$66,$J43:AX43)&lt;0.5,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IF(SUMPRODUCT($J$66:BA$66,$J43:BA43)&lt;0.5,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IF(SUMPRODUCT($J$66:BD$66,$J43:BD43)&lt;0.5,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IF(SUMPRODUCT($J$66:BG$66,$J43:BG43)&lt;0.5,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IF(SUMPRODUCT($J$66:BJ$66,$J43:BJ43)&lt;0.5,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IF(SUMPRODUCT($J$66:BM$66,$J43:BM43)&lt;0.5,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IF(SUMPRODUCT($J$66:BP$66,$J43:BP43)&lt;0.5,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IF(SUMPRODUCT($J$66:BS$66,$J43:BS43)&lt;0.5,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IF(SUMPRODUCT($J$66:BV$66,$J43:BV43)&lt;0.5,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IF(SUMPRODUCT($J$66:BY$66,$J43:BY43)&lt;0.5,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IF(SUMPRODUCT($J$66:CB$66,$J43:CB43)&lt;0.5, "Pending", IF(CB43&lt;0.5, "Complete", "In Progress"))</f>
        <v>#REF!</v>
      </c>
      <c r="CD43" s="24"/>
      <c r="CE43" s="25">
        <f>SUMPRODUCT($H$66:AY$66,$H43:AY43)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117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IF(SUMPRODUCT($J$66:K$66,$J44:K44)&lt;0.5,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IF(SUMPRODUCT($J$66:N$66,$J44:N44)&lt;0.5,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IF(SUMPRODUCT($J$66:Q$66,$J44:Q44)&lt;0.5,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IF(SUMPRODUCT($J$66:T$66,$J44:T44)&lt;0.5,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IF(SUMPRODUCT($J$66:W$66,$J44:W44)&lt;0.5,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IF(SUMPRODUCT($J$66:Z$66,$J44:Z44)&lt;0.5,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IF(SUMPRODUCT($J$66:AC$66,$J44:AC44)&lt;0.5,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IF(SUMPRODUCT($J$66:AF$66,$J44:AF44)&lt;0.5,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IF(SUMPRODUCT($J$66:AI$66,$J44:AI44)&lt;0.5,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IF(SUMPRODUCT($J$66:AL$66,$J44:AL44)&lt;0.5,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IF(SUMPRODUCT($J$66:AO$66,$J44:AO44)&lt;0.5,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IF(SUMPRODUCT($J$66:AR$66,$J44:AR44)&lt;0.5,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IF(SUMPRODUCT($J$66:AU$66,$J44:AU44)&lt;0.5,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IF(SUMPRODUCT($J$66:AX$66,$J44:AX44)&lt;0.5,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IF(SUMPRODUCT($J$66:BA$66,$J44:BA44)&lt;0.5,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IF(SUMPRODUCT($J$66:BD$66,$J44:BD44)&lt;0.5,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IF(SUMPRODUCT($J$66:BG$66,$J44:BG44)&lt;0.5,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IF(SUMPRODUCT($J$66:BJ$66,$J44:BJ44)&lt;0.5,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IF(SUMPRODUCT($J$66:BM$66,$J44:BM44)&lt;0.5,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IF(SUMPRODUCT($J$66:BP$66,$J44:BP44)&lt;0.5,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IF(SUMPRODUCT($J$66:BS$66,$J44:BS44)&lt;0.5,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IF(SUMPRODUCT($J$66:BV$66,$J44:BV44)&lt;0.5,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IF(SUMPRODUCT($J$66:BY$66,$J44:BY44)&lt;0.5,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IF(SUMPRODUCT($J$66:CB$66,$J44:CB44)&lt;0.5, "Pending", IF(CB44&lt;0.5, "Complete", "In Progress"))</f>
        <v>#REF!</v>
      </c>
      <c r="CD44" s="24"/>
      <c r="CE44" s="25">
        <f>SUMPRODUCT($H$66:AY$66,$H44:AY44)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117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IF(SUMPRODUCT($J$66:K$66,$J45:K45)&lt;0.5,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IF(SUMPRODUCT($J$66:N$66,$J45:N45)&lt;0.5,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IF(SUMPRODUCT($J$66:Q$66,$J45:Q45)&lt;0.5,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IF(SUMPRODUCT($J$66:T$66,$J45:T45)&lt;0.5,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IF(SUMPRODUCT($J$66:W$66,$J45:W45)&lt;0.5,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IF(SUMPRODUCT($J$66:Z$66,$J45:Z45)&lt;0.5,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IF(SUMPRODUCT($J$66:AC$66,$J45:AC45)&lt;0.5,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IF(SUMPRODUCT($J$66:AF$66,$J45:AF45)&lt;0.5,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IF(SUMPRODUCT($J$66:AI$66,$J45:AI45)&lt;0.5,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IF(SUMPRODUCT($J$66:AL$66,$J45:AL45)&lt;0.5,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IF(SUMPRODUCT($J$66:AO$66,$J45:AO45)&lt;0.5,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IF(SUMPRODUCT($J$66:AR$66,$J45:AR45)&lt;0.5,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IF(SUMPRODUCT($J$66:AU$66,$J45:AU45)&lt;0.5,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IF(SUMPRODUCT($J$66:AX$66,$J45:AX45)&lt;0.5,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IF(SUMPRODUCT($J$66:BA$66,$J45:BA45)&lt;0.5,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IF(SUMPRODUCT($J$66:BD$66,$J45:BD45)&lt;0.5,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IF(SUMPRODUCT($J$66:BG$66,$J45:BG45)&lt;0.5,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IF(SUMPRODUCT($J$66:BJ$66,$J45:BJ45)&lt;0.5,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IF(SUMPRODUCT($J$66:BM$66,$J45:BM45)&lt;0.5,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IF(SUMPRODUCT($J$66:BP$66,$J45:BP45)&lt;0.5,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IF(SUMPRODUCT($J$66:BS$66,$J45:BS45)&lt;0.5,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IF(SUMPRODUCT($J$66:BV$66,$J45:BV45)&lt;0.5,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IF(SUMPRODUCT($J$66:BY$66,$J45:BY45)&lt;0.5,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IF(SUMPRODUCT($J$66:CB$66,$J45:CB45)&lt;0.5, "Pending", IF(CB45&lt;0.5, "Complete", "In Progress"))</f>
        <v>#REF!</v>
      </c>
      <c r="CD45" s="24"/>
      <c r="CE45" s="25">
        <f>SUMPRODUCT($H$66:AY$66,$H45:AY45)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117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IF(SUMPRODUCT($J$66:K$66,$J46:K46)&lt;0.5,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IF(SUMPRODUCT($J$66:N$66,$J46:N46)&lt;0.5,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IF(SUMPRODUCT($J$66:Q$66,$J46:Q46)&lt;0.5,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IF(SUMPRODUCT($J$66:T$66,$J46:T46)&lt;0.5,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IF(SUMPRODUCT($J$66:W$66,$J46:W46)&lt;0.5,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IF(SUMPRODUCT($J$66:Z$66,$J46:Z46)&lt;0.5,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IF(SUMPRODUCT($J$66:AC$66,$J46:AC46)&lt;0.5,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IF(SUMPRODUCT($J$66:AF$66,$J46:AF46)&lt;0.5,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IF(SUMPRODUCT($J$66:AI$66,$J46:AI46)&lt;0.5,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IF(SUMPRODUCT($J$66:AL$66,$J46:AL46)&lt;0.5,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IF(SUMPRODUCT($J$66:AO$66,$J46:AO46)&lt;0.5,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IF(SUMPRODUCT($J$66:AR$66,$J46:AR46)&lt;0.5,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IF(SUMPRODUCT($J$66:AU$66,$J46:AU46)&lt;0.5,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IF(SUMPRODUCT($J$66:AX$66,$J46:AX46)&lt;0.5,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IF(SUMPRODUCT($J$66:BA$66,$J46:BA46)&lt;0.5,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IF(SUMPRODUCT($J$66:BD$66,$J46:BD46)&lt;0.5,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IF(SUMPRODUCT($J$66:BG$66,$J46:BG46)&lt;0.5,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IF(SUMPRODUCT($J$66:BJ$66,$J46:BJ46)&lt;0.5,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IF(SUMPRODUCT($J$66:BM$66,$J46:BM46)&lt;0.5,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IF(SUMPRODUCT($J$66:BP$66,$J46:BP46)&lt;0.5,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IF(SUMPRODUCT($J$66:BS$66,$J46:BS46)&lt;0.5,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IF(SUMPRODUCT($J$66:BV$66,$J46:BV46)&lt;0.5,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IF(SUMPRODUCT($J$66:BY$66,$J46:BY46)&lt;0.5,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IF(SUMPRODUCT($J$66:CB$66,$J46:CB46)&lt;0.5, "Pending", IF(CB46&lt;0.5, "Complete", "In Progress"))</f>
        <v>#REF!</v>
      </c>
      <c r="CD46" s="24"/>
      <c r="CE46" s="25">
        <f>SUMPRODUCT($H$66:AY$66,$H46:AY46)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117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IF(SUMPRODUCT($J$66:K$66,$J47:K47)&lt;0.5,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IF(SUMPRODUCT($J$66:N$66,$J47:N47)&lt;0.5,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IF(SUMPRODUCT($J$66:Q$66,$J47:Q47)&lt;0.5,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IF(SUMPRODUCT($J$66:T$66,$J47:T47)&lt;0.5,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IF(SUMPRODUCT($J$66:W$66,$J47:W47)&lt;0.5,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IF(SUMPRODUCT($J$66:Z$66,$J47:Z47)&lt;0.5,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IF(SUMPRODUCT($J$66:AC$66,$J47:AC47)&lt;0.5,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IF(SUMPRODUCT($J$66:AF$66,$J47:AF47)&lt;0.5,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IF(SUMPRODUCT($J$66:AI$66,$J47:AI47)&lt;0.5,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IF(SUMPRODUCT($J$66:AL$66,$J47:AL47)&lt;0.5,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IF(SUMPRODUCT($J$66:AO$66,$J47:AO47)&lt;0.5,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IF(SUMPRODUCT($J$66:AR$66,$J47:AR47)&lt;0.5,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IF(SUMPRODUCT($J$66:AU$66,$J47:AU47)&lt;0.5,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IF(SUMPRODUCT($J$66:AX$66,$J47:AX47)&lt;0.5,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IF(SUMPRODUCT($J$66:BA$66,$J47:BA47)&lt;0.5,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IF(SUMPRODUCT($J$66:BD$66,$J47:BD47)&lt;0.5,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IF(SUMPRODUCT($J$66:BG$66,$J47:BG47)&lt;0.5,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IF(SUMPRODUCT($J$66:BJ$66,$J47:BJ47)&lt;0.5,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IF(SUMPRODUCT($J$66:BM$66,$J47:BM47)&lt;0.5,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IF(SUMPRODUCT($J$66:BP$66,$J47:BP47)&lt;0.5,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IF(SUMPRODUCT($J$66:BS$66,$J47:BS47)&lt;0.5,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IF(SUMPRODUCT($J$66:BV$66,$J47:BV47)&lt;0.5,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IF(SUMPRODUCT($J$66:BY$66,$J47:BY47)&lt;0.5,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IF(SUMPRODUCT($J$66:CB$66,$J47:CB47)&lt;0.5, "Pending", IF(CB47&lt;0.5, "Complete", "In Progress"))</f>
        <v>#REF!</v>
      </c>
      <c r="CD47" s="24"/>
      <c r="CE47" s="25">
        <f>SUMPRODUCT($H$66:AY$66,$H47:AY47)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117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IF(SUMPRODUCT($J$66:K$66,$J48:K48)&lt;0.5,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IF(SUMPRODUCT($J$66:N$66,$J48:N48)&lt;0.5,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IF(SUMPRODUCT($J$66:Q$66,$J48:Q48)&lt;0.5,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IF(SUMPRODUCT($J$66:T$66,$J48:T48)&lt;0.5,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IF(SUMPRODUCT($J$66:W$66,$J48:W48)&lt;0.5,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IF(SUMPRODUCT($J$66:Z$66,$J48:Z48)&lt;0.5,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IF(SUMPRODUCT($J$66:AC$66,$J48:AC48)&lt;0.5,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IF(SUMPRODUCT($J$66:AF$66,$J48:AF48)&lt;0.5,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IF(SUMPRODUCT($J$66:AI$66,$J48:AI48)&lt;0.5,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IF(SUMPRODUCT($J$66:AL$66,$J48:AL48)&lt;0.5,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IF(SUMPRODUCT($J$66:AO$66,$J48:AO48)&lt;0.5,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IF(SUMPRODUCT($J$66:AR$66,$J48:AR48)&lt;0.5,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IF(SUMPRODUCT($J$66:AU$66,$J48:AU48)&lt;0.5,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IF(SUMPRODUCT($J$66:AX$66,$J48:AX48)&lt;0.5,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IF(SUMPRODUCT($J$66:BA$66,$J48:BA48)&lt;0.5,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IF(SUMPRODUCT($J$66:BD$66,$J48:BD48)&lt;0.5,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IF(SUMPRODUCT($J$66:BG$66,$J48:BG48)&lt;0.5,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IF(SUMPRODUCT($J$66:BJ$66,$J48:BJ48)&lt;0.5,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IF(SUMPRODUCT($J$66:BM$66,$J48:BM48)&lt;0.5,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IF(SUMPRODUCT($J$66:BP$66,$J48:BP48)&lt;0.5,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IF(SUMPRODUCT($J$66:BS$66,$J48:BS48)&lt;0.5,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IF(SUMPRODUCT($J$66:BV$66,$J48:BV48)&lt;0.5,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IF(SUMPRODUCT($J$66:BY$66,$J48:BY48)&lt;0.5,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IF(SUMPRODUCT($J$66:CB$66,$J48:CB48)&lt;0.5, "Pending", IF(CB48&lt;0.5, "Complete", "In Progress"))</f>
        <v>#REF!</v>
      </c>
      <c r="CD48" s="24"/>
      <c r="CE48" s="25">
        <f>SUMPRODUCT($H$66:AY$66,$H48:AY48)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117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IF(SUMPRODUCT($J$66:K$66,$J49:K49)&lt;0.5,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IF(SUMPRODUCT($J$66:N$66,$J49:N49)&lt;0.5,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IF(SUMPRODUCT($J$66:Q$66,$J49:Q49)&lt;0.5,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IF(SUMPRODUCT($J$66:T$66,$J49:T49)&lt;0.5,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IF(SUMPRODUCT($J$66:W$66,$J49:W49)&lt;0.5,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IF(SUMPRODUCT($J$66:Z$66,$J49:Z49)&lt;0.5,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IF(SUMPRODUCT($J$66:AC$66,$J49:AC49)&lt;0.5,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IF(SUMPRODUCT($J$66:AF$66,$J49:AF49)&lt;0.5,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IF(SUMPRODUCT($J$66:AI$66,$J49:AI49)&lt;0.5,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IF(SUMPRODUCT($J$66:AL$66,$J49:AL49)&lt;0.5,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IF(SUMPRODUCT($J$66:AO$66,$J49:AO49)&lt;0.5,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IF(SUMPRODUCT($J$66:AR$66,$J49:AR49)&lt;0.5,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IF(SUMPRODUCT($J$66:AU$66,$J49:AU49)&lt;0.5,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IF(SUMPRODUCT($J$66:AX$66,$J49:AX49)&lt;0.5,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IF(SUMPRODUCT($J$66:BA$66,$J49:BA49)&lt;0.5,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IF(SUMPRODUCT($J$66:BD$66,$J49:BD49)&lt;0.5,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IF(SUMPRODUCT($J$66:BG$66,$J49:BG49)&lt;0.5,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IF(SUMPRODUCT($J$66:BJ$66,$J49:BJ49)&lt;0.5,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IF(SUMPRODUCT($J$66:BM$66,$J49:BM49)&lt;0.5,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IF(SUMPRODUCT($J$66:BP$66,$J49:BP49)&lt;0.5,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IF(SUMPRODUCT($J$66:BS$66,$J49:BS49)&lt;0.5,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IF(SUMPRODUCT($J$66:BV$66,$J49:BV49)&lt;0.5,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IF(SUMPRODUCT($J$66:BY$66,$J49:BY49)&lt;0.5,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IF(SUMPRODUCT($J$66:CB$66,$J49:CB49)&lt;0.5, "Pending", IF(CB49&lt;0.5, "Complete", "In Progress"))</f>
        <v>#REF!</v>
      </c>
      <c r="CD49" s="24"/>
      <c r="CE49" s="25">
        <f>SUMPRODUCT($H$66:AY$66,$H49:AY49)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117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IF(SUMPRODUCT($J$66:K$66,$J50:K50)&lt;0.5,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IF(SUMPRODUCT($J$66:N$66,$J50:N50)&lt;0.5,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IF(SUMPRODUCT($J$66:Q$66,$J50:Q50)&lt;0.5,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IF(SUMPRODUCT($J$66:T$66,$J50:T50)&lt;0.5,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IF(SUMPRODUCT($J$66:W$66,$J50:W50)&lt;0.5,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IF(SUMPRODUCT($J$66:Z$66,$J50:Z50)&lt;0.5,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IF(SUMPRODUCT($J$66:AC$66,$J50:AC50)&lt;0.5,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IF(SUMPRODUCT($J$66:AF$66,$J50:AF50)&lt;0.5,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IF(SUMPRODUCT($J$66:AI$66,$J50:AI50)&lt;0.5,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IF(SUMPRODUCT($J$66:AL$66,$J50:AL50)&lt;0.5,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IF(SUMPRODUCT($J$66:AO$66,$J50:AO50)&lt;0.5,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IF(SUMPRODUCT($J$66:AR$66,$J50:AR50)&lt;0.5,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IF(SUMPRODUCT($J$66:AU$66,$J50:AU50)&lt;0.5,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IF(SUMPRODUCT($J$66:AX$66,$J50:AX50)&lt;0.5,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IF(SUMPRODUCT($J$66:BA$66,$J50:BA50)&lt;0.5,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IF(SUMPRODUCT($J$66:BD$66,$J50:BD50)&lt;0.5,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IF(SUMPRODUCT($J$66:BG$66,$J50:BG50)&lt;0.5,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IF(SUMPRODUCT($J$66:BJ$66,$J50:BJ50)&lt;0.5,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IF(SUMPRODUCT($J$66:BM$66,$J50:BM50)&lt;0.5,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IF(SUMPRODUCT($J$66:BP$66,$J50:BP50)&lt;0.5,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IF(SUMPRODUCT($J$66:BS$66,$J50:BS50)&lt;0.5,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IF(SUMPRODUCT($J$66:BV$66,$J50:BV50)&lt;0.5,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IF(SUMPRODUCT($J$66:BY$66,$J50:BY50)&lt;0.5,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IF(SUMPRODUCT($J$66:CB$66,$J50:CB50)&lt;0.5, "Pending", IF(CB50&lt;0.5, "Complete", "In Progress"))</f>
        <v>#REF!</v>
      </c>
      <c r="CD50" s="24"/>
      <c r="CE50" s="25">
        <f>SUMPRODUCT($H$66:AY$66,$H50:AY50)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117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IF(SUMPRODUCT($J$66:K$66,$J51:K51)&lt;0.5,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IF(SUMPRODUCT($J$66:N$66,$J51:N51)&lt;0.5,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IF(SUMPRODUCT($J$66:Q$66,$J51:Q51)&lt;0.5,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IF(SUMPRODUCT($J$66:T$66,$J51:T51)&lt;0.5,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IF(SUMPRODUCT($J$66:W$66,$J51:W51)&lt;0.5,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IF(SUMPRODUCT($J$66:Z$66,$J51:Z51)&lt;0.5,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IF(SUMPRODUCT($J$66:AC$66,$J51:AC51)&lt;0.5,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IF(SUMPRODUCT($J$66:AF$66,$J51:AF51)&lt;0.5,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IF(SUMPRODUCT($J$66:AI$66,$J51:AI51)&lt;0.5,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IF(SUMPRODUCT($J$66:AL$66,$J51:AL51)&lt;0.5,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IF(SUMPRODUCT($J$66:AO$66,$J51:AO51)&lt;0.5,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IF(SUMPRODUCT($J$66:AR$66,$J51:AR51)&lt;0.5,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IF(SUMPRODUCT($J$66:AU$66,$J51:AU51)&lt;0.5,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IF(SUMPRODUCT($J$66:AX$66,$J51:AX51)&lt;0.5,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IF(SUMPRODUCT($J$66:BA$66,$J51:BA51)&lt;0.5,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IF(SUMPRODUCT($J$66:BD$66,$J51:BD51)&lt;0.5,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IF(SUMPRODUCT($J$66:BG$66,$J51:BG51)&lt;0.5,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IF(SUMPRODUCT($J$66:BJ$66,$J51:BJ51)&lt;0.5,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IF(SUMPRODUCT($J$66:BM$66,$J51:BM51)&lt;0.5,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IF(SUMPRODUCT($J$66:BP$66,$J51:BP51)&lt;0.5,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IF(SUMPRODUCT($J$66:BS$66,$J51:BS51)&lt;0.5,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IF(SUMPRODUCT($J$66:BV$66,$J51:BV51)&lt;0.5,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IF(SUMPRODUCT($J$66:BY$66,$J51:BY51)&lt;0.5,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IF(SUMPRODUCT($J$66:CB$66,$J51:CB51)&lt;0.5, "Pending", IF(CB51&lt;0.5, "Complete", "In Progress"))</f>
        <v>#REF!</v>
      </c>
      <c r="CD51" s="24"/>
      <c r="CE51" s="25">
        <f>SUMPRODUCT($H$66:AY$66,$H51:AY51)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117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IF(SUMPRODUCT($J$66:K$66,$J52:K52)&lt;0.5,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IF(SUMPRODUCT($J$66:N$66,$J52:N52)&lt;0.5,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IF(SUMPRODUCT($J$66:Q$66,$J52:Q52)&lt;0.5,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IF(SUMPRODUCT($J$66:T$66,$J52:T52)&lt;0.5,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IF(SUMPRODUCT($J$66:W$66,$J52:W52)&lt;0.5,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IF(SUMPRODUCT($J$66:Z$66,$J52:Z52)&lt;0.5,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IF(SUMPRODUCT($J$66:AC$66,$J52:AC52)&lt;0.5,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IF(SUMPRODUCT($J$66:AF$66,$J52:AF52)&lt;0.5,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IF(SUMPRODUCT($J$66:AI$66,$J52:AI52)&lt;0.5,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IF(SUMPRODUCT($J$66:AL$66,$J52:AL52)&lt;0.5,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IF(SUMPRODUCT($J$66:AO$66,$J52:AO52)&lt;0.5,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IF(SUMPRODUCT($J$66:AR$66,$J52:AR52)&lt;0.5,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IF(SUMPRODUCT($J$66:AU$66,$J52:AU52)&lt;0.5,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IF(SUMPRODUCT($J$66:AX$66,$J52:AX52)&lt;0.5,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IF(SUMPRODUCT($J$66:BA$66,$J52:BA52)&lt;0.5,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IF(SUMPRODUCT($J$66:BD$66,$J52:BD52)&lt;0.5,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IF(SUMPRODUCT($J$66:BG$66,$J52:BG52)&lt;0.5,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IF(SUMPRODUCT($J$66:BJ$66,$J52:BJ52)&lt;0.5,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IF(SUMPRODUCT($J$66:BM$66,$J52:BM52)&lt;0.5,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IF(SUMPRODUCT($J$66:BP$66,$J52:BP52)&lt;0.5,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IF(SUMPRODUCT($J$66:BS$66,$J52:BS52)&lt;0.5,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IF(SUMPRODUCT($J$66:BV$66,$J52:BV52)&lt;0.5,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IF(SUMPRODUCT($J$66:BY$66,$J52:BY52)&lt;0.5,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IF(SUMPRODUCT($J$66:CB$66,$J52:CB52)&lt;0.5, "Pending", IF(CB52&lt;0.5, "Complete", "In Progress"))</f>
        <v>#REF!</v>
      </c>
      <c r="CD52" s="24"/>
      <c r="CE52" s="25">
        <f>SUMPRODUCT($H$66:AY$66,$H52:AY52)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117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IF(SUMPRODUCT($J$66:K$66,$J53:K53)&lt;0.5,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IF(SUMPRODUCT($J$66:N$66,$J53:N53)&lt;0.5,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IF(SUMPRODUCT($J$66:Q$66,$J53:Q53)&lt;0.5,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IF(SUMPRODUCT($J$66:T$66,$J53:T53)&lt;0.5,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IF(SUMPRODUCT($J$66:W$66,$J53:W53)&lt;0.5,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IF(SUMPRODUCT($J$66:Z$66,$J53:Z53)&lt;0.5,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IF(SUMPRODUCT($J$66:AC$66,$J53:AC53)&lt;0.5,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IF(SUMPRODUCT($J$66:AF$66,$J53:AF53)&lt;0.5,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IF(SUMPRODUCT($J$66:AI$66,$J53:AI53)&lt;0.5,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IF(SUMPRODUCT($J$66:AL$66,$J53:AL53)&lt;0.5,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IF(SUMPRODUCT($J$66:AO$66,$J53:AO53)&lt;0.5,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IF(SUMPRODUCT($J$66:AR$66,$J53:AR53)&lt;0.5,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IF(SUMPRODUCT($J$66:AU$66,$J53:AU53)&lt;0.5,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IF(SUMPRODUCT($J$66:AX$66,$J53:AX53)&lt;0.5,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IF(SUMPRODUCT($J$66:BA$66,$J53:BA53)&lt;0.5,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IF(SUMPRODUCT($J$66:BD$66,$J53:BD53)&lt;0.5,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IF(SUMPRODUCT($J$66:BG$66,$J53:BG53)&lt;0.5,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IF(SUMPRODUCT($J$66:BJ$66,$J53:BJ53)&lt;0.5,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IF(SUMPRODUCT($J$66:BM$66,$J53:BM53)&lt;0.5,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IF(SUMPRODUCT($J$66:BP$66,$J53:BP53)&lt;0.5,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IF(SUMPRODUCT($J$66:BS$66,$J53:BS53)&lt;0.5,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IF(SUMPRODUCT($J$66:BV$66,$J53:BV53)&lt;0.5,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IF(SUMPRODUCT($J$66:BY$66,$J53:BY53)&lt;0.5,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IF(SUMPRODUCT($J$66:CB$66,$J53:CB53)&lt;0.5, "Pending", IF(CB53&lt;0.5, "Complete", "In Progress"))</f>
        <v>#REF!</v>
      </c>
      <c r="CD53" s="24"/>
      <c r="CE53" s="25">
        <f>SUMPRODUCT($H$66:AY$66,$H53:AY53)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117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IF(SUMPRODUCT($J$66:K$66,$J54:K54)&lt;0.5,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IF(SUMPRODUCT($J$66:N$66,$J54:N54)&lt;0.5,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IF(SUMPRODUCT($J$66:Q$66,$J54:Q54)&lt;0.5,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IF(SUMPRODUCT($J$66:T$66,$J54:T54)&lt;0.5,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IF(SUMPRODUCT($J$66:W$66,$J54:W54)&lt;0.5,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IF(SUMPRODUCT($J$66:Z$66,$J54:Z54)&lt;0.5,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IF(SUMPRODUCT($J$66:AC$66,$J54:AC54)&lt;0.5,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IF(SUMPRODUCT($J$66:AF$66,$J54:AF54)&lt;0.5,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IF(SUMPRODUCT($J$66:AI$66,$J54:AI54)&lt;0.5,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IF(SUMPRODUCT($J$66:AL$66,$J54:AL54)&lt;0.5,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IF(SUMPRODUCT($J$66:AO$66,$J54:AO54)&lt;0.5,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IF(SUMPRODUCT($J$66:AR$66,$J54:AR54)&lt;0.5,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IF(SUMPRODUCT($J$66:AU$66,$J54:AU54)&lt;0.5,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IF(SUMPRODUCT($J$66:AX$66,$J54:AX54)&lt;0.5,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IF(SUMPRODUCT($J$66:BA$66,$J54:BA54)&lt;0.5,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IF(SUMPRODUCT($J$66:BD$66,$J54:BD54)&lt;0.5,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IF(SUMPRODUCT($J$66:BG$66,$J54:BG54)&lt;0.5,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IF(SUMPRODUCT($J$66:BJ$66,$J54:BJ54)&lt;0.5,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IF(SUMPRODUCT($J$66:BM$66,$J54:BM54)&lt;0.5,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IF(SUMPRODUCT($J$66:BP$66,$J54:BP54)&lt;0.5,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IF(SUMPRODUCT($J$66:BS$66,$J54:BS54)&lt;0.5,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IF(SUMPRODUCT($J$66:BV$66,$J54:BV54)&lt;0.5,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IF(SUMPRODUCT($J$66:BY$66,$J54:BY54)&lt;0.5,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IF(SUMPRODUCT($J$66:CB$66,$J54:CB54)&lt;0.5, "Pending", IF(CB54&lt;0.5, "Complete", "In Progress"))</f>
        <v>#REF!</v>
      </c>
      <c r="CD54" s="24"/>
      <c r="CE54" s="25">
        <f>SUMPRODUCT($H$66:AY$66,$H54:AY54)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117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IF(SUMPRODUCT($J$66:K$66,$J55:K55)&lt;0.5,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IF(SUMPRODUCT($J$66:N$66,$J55:N55)&lt;0.5,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IF(SUMPRODUCT($J$66:Q$66,$J55:Q55)&lt;0.5,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IF(SUMPRODUCT($J$66:T$66,$J55:T55)&lt;0.5,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IF(SUMPRODUCT($J$66:W$66,$J55:W55)&lt;0.5,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IF(SUMPRODUCT($J$66:Z$66,$J55:Z55)&lt;0.5,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IF(SUMPRODUCT($J$66:AC$66,$J55:AC55)&lt;0.5,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IF(SUMPRODUCT($J$66:AF$66,$J55:AF55)&lt;0.5,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IF(SUMPRODUCT($J$66:AI$66,$J55:AI55)&lt;0.5,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IF(SUMPRODUCT($J$66:AL$66,$J55:AL55)&lt;0.5,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IF(SUMPRODUCT($J$66:AO$66,$J55:AO55)&lt;0.5,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IF(SUMPRODUCT($J$66:AR$66,$J55:AR55)&lt;0.5,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IF(SUMPRODUCT($J$66:AU$66,$J55:AU55)&lt;0.5,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IF(SUMPRODUCT($J$66:AX$66,$J55:AX55)&lt;0.5,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IF(SUMPRODUCT($J$66:BA$66,$J55:BA55)&lt;0.5,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IF(SUMPRODUCT($J$66:BD$66,$J55:BD55)&lt;0.5,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IF(SUMPRODUCT($J$66:BG$66,$J55:BG55)&lt;0.5,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IF(SUMPRODUCT($J$66:BJ$66,$J55:BJ55)&lt;0.5,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IF(SUMPRODUCT($J$66:BM$66,$J55:BM55)&lt;0.5,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IF(SUMPRODUCT($J$66:BP$66,$J55:BP55)&lt;0.5,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IF(SUMPRODUCT($J$66:BS$66,$J55:BS55)&lt;0.5,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IF(SUMPRODUCT($J$66:BV$66,$J55:BV55)&lt;0.5,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IF(SUMPRODUCT($J$66:BY$66,$J55:BY55)&lt;0.5,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IF(SUMPRODUCT($J$66:CB$66,$J55:CB55)&lt;0.5, "Pending", IF(CB55&lt;0.5, "Complete", "In Progress"))</f>
        <v>#REF!</v>
      </c>
      <c r="CD55" s="24"/>
      <c r="CE55" s="25">
        <f>SUMPRODUCT($H$66:AY$66,$H55:AY55)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117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IF(SUMPRODUCT($J$66:K$66,$J56:K56)&lt;0.5,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IF(SUMPRODUCT($J$66:N$66,$J56:N56)&lt;0.5,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IF(SUMPRODUCT($J$66:Q$66,$J56:Q56)&lt;0.5,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IF(SUMPRODUCT($J$66:T$66,$J56:T56)&lt;0.5,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IF(SUMPRODUCT($J$66:W$66,$J56:W56)&lt;0.5,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IF(SUMPRODUCT($J$66:Z$66,$J56:Z56)&lt;0.5,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IF(SUMPRODUCT($J$66:AC$66,$J56:AC56)&lt;0.5,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IF(SUMPRODUCT($J$66:AF$66,$J56:AF56)&lt;0.5,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IF(SUMPRODUCT($J$66:AI$66,$J56:AI56)&lt;0.5,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IF(SUMPRODUCT($J$66:AL$66,$J56:AL56)&lt;0.5,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IF(SUMPRODUCT($J$66:AO$66,$J56:AO56)&lt;0.5,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IF(SUMPRODUCT($J$66:AR$66,$J56:AR56)&lt;0.5,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IF(SUMPRODUCT($J$66:AU$66,$J56:AU56)&lt;0.5,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IF(SUMPRODUCT($J$66:AX$66,$J56:AX56)&lt;0.5,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IF(SUMPRODUCT($J$66:BA$66,$J56:BA56)&lt;0.5,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IF(SUMPRODUCT($J$66:BD$66,$J56:BD56)&lt;0.5,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IF(SUMPRODUCT($J$66:BG$66,$J56:BG56)&lt;0.5,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IF(SUMPRODUCT($J$66:BJ$66,$J56:BJ56)&lt;0.5,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IF(SUMPRODUCT($J$66:BM$66,$J56:BM56)&lt;0.5,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IF(SUMPRODUCT($J$66:BP$66,$J56:BP56)&lt;0.5,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IF(SUMPRODUCT($J$66:BS$66,$J56:BS56)&lt;0.5,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IF(SUMPRODUCT($J$66:BV$66,$J56:BV56)&lt;0.5,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IF(SUMPRODUCT($J$66:BY$66,$J56:BY56)&lt;0.5,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IF(SUMPRODUCT($J$66:CB$66,$J56:CB56)&lt;0.5, "Pending", IF(CB56&lt;0.5, "Complete", "In Progress"))</f>
        <v>#REF!</v>
      </c>
      <c r="CD56" s="24"/>
      <c r="CE56" s="25">
        <f>SUMPRODUCT($H$66:AY$66,$H56:AY56)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117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IF(SUMPRODUCT($J$66:K$66,$J57:K57)&lt;0.5,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IF(SUMPRODUCT($J$66:N$66,$J57:N57)&lt;0.5,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IF(SUMPRODUCT($J$66:Q$66,$J57:Q57)&lt;0.5,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IF(SUMPRODUCT($J$66:T$66,$J57:T57)&lt;0.5,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IF(SUMPRODUCT($J$66:W$66,$J57:W57)&lt;0.5,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IF(SUMPRODUCT($J$66:Z$66,$J57:Z57)&lt;0.5,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IF(SUMPRODUCT($J$66:AC$66,$J57:AC57)&lt;0.5,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IF(SUMPRODUCT($J$66:AF$66,$J57:AF57)&lt;0.5,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IF(SUMPRODUCT($J$66:AI$66,$J57:AI57)&lt;0.5,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IF(SUMPRODUCT($J$66:AL$66,$J57:AL57)&lt;0.5,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IF(SUMPRODUCT($J$66:AO$66,$J57:AO57)&lt;0.5,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IF(SUMPRODUCT($J$66:AR$66,$J57:AR57)&lt;0.5,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IF(SUMPRODUCT($J$66:AU$66,$J57:AU57)&lt;0.5,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IF(SUMPRODUCT($J$66:AX$66,$J57:AX57)&lt;0.5,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IF(SUMPRODUCT($J$66:BA$66,$J57:BA57)&lt;0.5,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IF(SUMPRODUCT($J$66:BD$66,$J57:BD57)&lt;0.5,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IF(SUMPRODUCT($J$66:BG$66,$J57:BG57)&lt;0.5,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IF(SUMPRODUCT($J$66:BJ$66,$J57:BJ57)&lt;0.5,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IF(SUMPRODUCT($J$66:BM$66,$J57:BM57)&lt;0.5,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IF(SUMPRODUCT($J$66:BP$66,$J57:BP57)&lt;0.5,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IF(SUMPRODUCT($J$66:BS$66,$J57:BS57)&lt;0.5,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IF(SUMPRODUCT($J$66:BV$66,$J57:BV57)&lt;0.5,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IF(SUMPRODUCT($J$66:BY$66,$J57:BY57)&lt;0.5,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IF(SUMPRODUCT($J$66:CB$66,$J57:CB57)&lt;0.5, "Pending", IF(CB57&lt;0.5, "Complete", "In Progress"))</f>
        <v>#REF!</v>
      </c>
      <c r="CD57" s="24"/>
      <c r="CE57" s="25">
        <f>SUMPRODUCT($H$66:AY$66,$H57:AY57)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117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IF(SUMPRODUCT($J$66:K$66,$J58:K58)&lt;0.5,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IF(SUMPRODUCT($J$66:N$66,$J58:N58)&lt;0.5,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IF(SUMPRODUCT($J$66:Q$66,$J58:Q58)&lt;0.5,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IF(SUMPRODUCT($J$66:T$66,$J58:T58)&lt;0.5,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IF(SUMPRODUCT($J$66:W$66,$J58:W58)&lt;0.5,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IF(SUMPRODUCT($J$66:Z$66,$J58:Z58)&lt;0.5,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IF(SUMPRODUCT($J$66:AC$66,$J58:AC58)&lt;0.5,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IF(SUMPRODUCT($J$66:AF$66,$J58:AF58)&lt;0.5,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IF(SUMPRODUCT($J$66:AI$66,$J58:AI58)&lt;0.5,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IF(SUMPRODUCT($J$66:AL$66,$J58:AL58)&lt;0.5,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IF(SUMPRODUCT($J$66:AO$66,$J58:AO58)&lt;0.5,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IF(SUMPRODUCT($J$66:AR$66,$J58:AR58)&lt;0.5,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IF(SUMPRODUCT($J$66:AU$66,$J58:AU58)&lt;0.5,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IF(SUMPRODUCT($J$66:AX$66,$J58:AX58)&lt;0.5,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IF(SUMPRODUCT($J$66:BA$66,$J58:BA58)&lt;0.5,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IF(SUMPRODUCT($J$66:BD$66,$J58:BD58)&lt;0.5,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IF(SUMPRODUCT($J$66:BG$66,$J58:BG58)&lt;0.5,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IF(SUMPRODUCT($J$66:BJ$66,$J58:BJ58)&lt;0.5,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IF(SUMPRODUCT($J$66:BM$66,$J58:BM58)&lt;0.5,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IF(SUMPRODUCT($J$66:BP$66,$J58:BP58)&lt;0.5,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IF(SUMPRODUCT($J$66:BS$66,$J58:BS58)&lt;0.5,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IF(SUMPRODUCT($J$66:BV$66,$J58:BV58)&lt;0.5,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IF(SUMPRODUCT($J$66:BY$66,$J58:BY58)&lt;0.5,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IF(SUMPRODUCT($J$66:CB$66,$J58:CB58)&lt;0.5, "Pending", IF(CB58&lt;0.5, "Complete", "In Progress"))</f>
        <v>#REF!</v>
      </c>
      <c r="CD58" s="24"/>
      <c r="CE58" s="25">
        <f>SUMPRODUCT($H$66:AY$66,$H58:AY58)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117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IF(SUMPRODUCT($J$66:K$66,$J59:K59)&lt;0.5,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IF(SUMPRODUCT($J$66:N$66,$J59:N59)&lt;0.5,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IF(SUMPRODUCT($J$66:Q$66,$J59:Q59)&lt;0.5,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IF(SUMPRODUCT($J$66:T$66,$J59:T59)&lt;0.5,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IF(SUMPRODUCT($J$66:W$66,$J59:W59)&lt;0.5,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IF(SUMPRODUCT($J$66:Z$66,$J59:Z59)&lt;0.5,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IF(SUMPRODUCT($J$66:AC$66,$J59:AC59)&lt;0.5,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IF(SUMPRODUCT($J$66:AF$66,$J59:AF59)&lt;0.5,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IF(SUMPRODUCT($J$66:AI$66,$J59:AI59)&lt;0.5,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IF(SUMPRODUCT($J$66:AL$66,$J59:AL59)&lt;0.5,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IF(SUMPRODUCT($J$66:AO$66,$J59:AO59)&lt;0.5,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IF(SUMPRODUCT($J$66:AR$66,$J59:AR59)&lt;0.5,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IF(SUMPRODUCT($J$66:AU$66,$J59:AU59)&lt;0.5,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IF(SUMPRODUCT($J$66:AX$66,$J59:AX59)&lt;0.5,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IF(SUMPRODUCT($J$66:BA$66,$J59:BA59)&lt;0.5,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IF(SUMPRODUCT($J$66:BD$66,$J59:BD59)&lt;0.5,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IF(SUMPRODUCT($J$66:BG$66,$J59:BG59)&lt;0.5,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IF(SUMPRODUCT($J$66:BJ$66,$J59:BJ59)&lt;0.5,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IF(SUMPRODUCT($J$66:BM$66,$J59:BM59)&lt;0.5,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IF(SUMPRODUCT($J$66:BP$66,$J59:BP59)&lt;0.5,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IF(SUMPRODUCT($J$66:BS$66,$J59:BS59)&lt;0.5,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IF(SUMPRODUCT($J$66:BV$66,$J59:BV59)&lt;0.5,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IF(SUMPRODUCT($J$66:BY$66,$J59:BY59)&lt;0.5,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IF(SUMPRODUCT($J$66:CB$66,$J59:CB59)&lt;0.5, "Pending", IF(CB59&lt;0.5, "Complete", "In Progress"))</f>
        <v>#REF!</v>
      </c>
      <c r="CD59" s="24"/>
      <c r="CE59" s="25">
        <f>SUMPRODUCT($H$66:AY$66,$H59:AY59)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117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IF(SUMPRODUCT($J$66:K$66,$J60:K60)&lt;0.5,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IF(SUMPRODUCT($J$66:N$66,$J60:N60)&lt;0.5,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IF(SUMPRODUCT($J$66:Q$66,$J60:Q60)&lt;0.5,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IF(SUMPRODUCT($J$66:T$66,$J60:T60)&lt;0.5,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IF(SUMPRODUCT($J$66:W$66,$J60:W60)&lt;0.5,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IF(SUMPRODUCT($J$66:Z$66,$J60:Z60)&lt;0.5,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IF(SUMPRODUCT($J$66:AC$66,$J60:AC60)&lt;0.5,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IF(SUMPRODUCT($J$66:AF$66,$J60:AF60)&lt;0.5,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IF(SUMPRODUCT($J$66:AI$66,$J60:AI60)&lt;0.5,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IF(SUMPRODUCT($J$66:AL$66,$J60:AL60)&lt;0.5,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IF(SUMPRODUCT($J$66:AO$66,$J60:AO60)&lt;0.5,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IF(SUMPRODUCT($J$66:AR$66,$J60:AR60)&lt;0.5,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IF(SUMPRODUCT($J$66:AU$66,$J60:AU60)&lt;0.5,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IF(SUMPRODUCT($J$66:AX$66,$J60:AX60)&lt;0.5,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IF(SUMPRODUCT($J$66:BA$66,$J60:BA60)&lt;0.5,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IF(SUMPRODUCT($J$66:BD$66,$J60:BD60)&lt;0.5,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IF(SUMPRODUCT($J$66:BG$66,$J60:BG60)&lt;0.5,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IF(SUMPRODUCT($J$66:BJ$66,$J60:BJ60)&lt;0.5,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IF(SUMPRODUCT($J$66:BM$66,$J60:BM60)&lt;0.5,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IF(SUMPRODUCT($J$66:BP$66,$J60:BP60)&lt;0.5,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IF(SUMPRODUCT($J$66:BS$66,$J60:BS60)&lt;0.5,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IF(SUMPRODUCT($J$66:BV$66,$J60:BV60)&lt;0.5,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IF(SUMPRODUCT($J$66:BY$66,$J60:BY60)&lt;0.5,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IF(SUMPRODUCT($J$66:CB$66,$J60:CB60)&lt;0.5, "Pending", IF(CB60&lt;0.5, "Complete", "In Progress"))</f>
        <v>#REF!</v>
      </c>
      <c r="CD60" s="24"/>
      <c r="CE60" s="25">
        <f>SUMPRODUCT($H$66:AY$66,$H60:AY60)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117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IF(SUMPRODUCT($J$66:K$66,$J61:K61)&lt;0.5,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IF(SUMPRODUCT($J$66:N$66,$J61:N61)&lt;0.5,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IF(SUMPRODUCT($J$66:Q$66,$J61:Q61)&lt;0.5,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IF(SUMPRODUCT($J$66:T$66,$J61:T61)&lt;0.5,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IF(SUMPRODUCT($J$66:W$66,$J61:W61)&lt;0.5,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IF(SUMPRODUCT($J$66:Z$66,$J61:Z61)&lt;0.5,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IF(SUMPRODUCT($J$66:AC$66,$J61:AC61)&lt;0.5,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IF(SUMPRODUCT($J$66:AF$66,$J61:AF61)&lt;0.5,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IF(SUMPRODUCT($J$66:AI$66,$J61:AI61)&lt;0.5,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IF(SUMPRODUCT($J$66:AL$66,$J61:AL61)&lt;0.5,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IF(SUMPRODUCT($J$66:AO$66,$J61:AO61)&lt;0.5,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IF(SUMPRODUCT($J$66:AR$66,$J61:AR61)&lt;0.5,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IF(SUMPRODUCT($J$66:AU$66,$J61:AU61)&lt;0.5,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IF(SUMPRODUCT($J$66:AX$66,$J61:AX61)&lt;0.5,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IF(SUMPRODUCT($J$66:BA$66,$J61:BA61)&lt;0.5,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IF(SUMPRODUCT($J$66:BD$66,$J61:BD61)&lt;0.5,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IF(SUMPRODUCT($J$66:BG$66,$J61:BG61)&lt;0.5,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IF(SUMPRODUCT($J$66:BJ$66,$J61:BJ61)&lt;0.5,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IF(SUMPRODUCT($J$66:BM$66,$J61:BM61)&lt;0.5,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IF(SUMPRODUCT($J$66:BP$66,$J61:BP61)&lt;0.5,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IF(SUMPRODUCT($J$66:BS$66,$J61:BS61)&lt;0.5,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IF(SUMPRODUCT($J$66:BV$66,$J61:BV61)&lt;0.5,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IF(SUMPRODUCT($J$66:BY$66,$J61:BY61)&lt;0.5,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IF(SUMPRODUCT($J$66:CB$66,$J61:CB61)&lt;0.5, "Pending", IF(CB61&lt;0.5, "Complete", "In Progress"))</f>
        <v>#REF!</v>
      </c>
      <c r="CD61" s="24"/>
      <c r="CE61" s="25">
        <f>SUMPRODUCT($H$66:AY$66,$H61:AY61)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117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IF(SUMPRODUCT($J$66:K$66,$J62:K62)&lt;0.5,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IF(SUMPRODUCT($J$66:N$66,$J62:N62)&lt;0.5,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IF(SUMPRODUCT($J$66:Q$66,$J62:Q62)&lt;0.5,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IF(SUMPRODUCT($J$66:T$66,$J62:T62)&lt;0.5,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IF(SUMPRODUCT($J$66:W$66,$J62:W62)&lt;0.5,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IF(SUMPRODUCT($J$66:Z$66,$J62:Z62)&lt;0.5,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IF(SUMPRODUCT($J$66:AC$66,$J62:AC62)&lt;0.5,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IF(SUMPRODUCT($J$66:AF$66,$J62:AF62)&lt;0.5,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IF(SUMPRODUCT($J$66:AI$66,$J62:AI62)&lt;0.5,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IF(SUMPRODUCT($J$66:AL$66,$J62:AL62)&lt;0.5,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IF(SUMPRODUCT($J$66:AO$66,$J62:AO62)&lt;0.5,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IF(SUMPRODUCT($J$66:AR$66,$J62:AR62)&lt;0.5,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IF(SUMPRODUCT($J$66:AU$66,$J62:AU62)&lt;0.5,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IF(SUMPRODUCT($J$66:AX$66,$J62:AX62)&lt;0.5,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IF(SUMPRODUCT($J$66:BA$66,$J62:BA62)&lt;0.5,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IF(SUMPRODUCT($J$66:BD$66,$J62:BD62)&lt;0.5,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IF(SUMPRODUCT($J$66:BG$66,$J62:BG62)&lt;0.5,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IF(SUMPRODUCT($J$66:BJ$66,$J62:BJ62)&lt;0.5,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IF(SUMPRODUCT($J$66:BM$66,$J62:BM62)&lt;0.5,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IF(SUMPRODUCT($J$66:BP$66,$J62:BP62)&lt;0.5,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IF(SUMPRODUCT($J$66:BS$66,$J62:BS62)&lt;0.5,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IF(SUMPRODUCT($J$66:BV$66,$J62:BV62)&lt;0.5,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IF(SUMPRODUCT($J$66:BY$66,$J62:BY62)&lt;0.5,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IF(SUMPRODUCT($J$66:CB$66,$J62:CB62)&lt;0.5, "Pending", IF(CB62&lt;0.5, "Complete", "In Progress"))</f>
        <v>#REF!</v>
      </c>
      <c r="CD62" s="24"/>
      <c r="CE62" s="25">
        <f>SUMPRODUCT($H$66:AY$66,$H62:AY62)</f>
        <v>0</v>
      </c>
    </row>
    <row r="63" spans="1:83" x14ac:dyDescent="0.2">
      <c r="A63" s="16"/>
      <c r="B63" s="16"/>
      <c r="C63" s="16"/>
      <c r="D63" s="17"/>
      <c r="E63" s="177"/>
      <c r="F63" s="18" t="s">
        <v>48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ref="K63" si="93">MAX(I63-J63, 0)</f>
        <v>0</v>
      </c>
      <c r="L63" s="23" t="str">
        <f>IF(SUMPRODUCT($J$66:K$66,$J63:K63)&lt;0.5, "Pending", IF(K63&lt;0.5, "Complete", "In Progress"))</f>
        <v>Pending</v>
      </c>
      <c r="M63" s="22">
        <v>0</v>
      </c>
      <c r="N63" s="22">
        <f t="shared" ref="N63" si="94">MAX(K63-M63,0)</f>
        <v>0</v>
      </c>
      <c r="O63" s="23" t="str">
        <f>IF(SUMPRODUCT($J$66:N$66,$J63:N63)&lt;0.5, "Pending", IF(N63&lt;0.5, "Complete", "In Progress"))</f>
        <v>Pending</v>
      </c>
      <c r="P63" s="22">
        <v>0</v>
      </c>
      <c r="Q63" s="22">
        <f t="shared" ref="Q63" si="95">MAX(N63-P63,0)</f>
        <v>0</v>
      </c>
      <c r="R63" s="23" t="str">
        <f>IF(SUMPRODUCT($J$66:Q$66,$J63:Q63)&lt;0.5, "Pending", IF(Q63&lt;0.5, "Complete", "In Progress"))</f>
        <v>Pending</v>
      </c>
      <c r="S63" s="22">
        <v>0</v>
      </c>
      <c r="T63" s="22">
        <f t="shared" ref="T63" si="96">MAX(Q63-S63,0)</f>
        <v>0</v>
      </c>
      <c r="U63" s="23" t="str">
        <f>IF(SUMPRODUCT($J$66:T$66,$J63:T63)&lt;0.5, "Pending", IF(T63&lt;0.5, "Complete", "In Progress"))</f>
        <v>Pending</v>
      </c>
      <c r="V63" s="22">
        <v>0</v>
      </c>
      <c r="W63" s="22">
        <f t="shared" ref="W63" si="97">MAX(T63-V63,0)</f>
        <v>0</v>
      </c>
      <c r="X63" s="23" t="str">
        <f>IF(SUMPRODUCT($J$66:W$66,$J63:W63)&lt;0.5, "Pending", IF(W63&lt;0.5, "Complete", "In Progress"))</f>
        <v>Pending</v>
      </c>
      <c r="Y63" s="22">
        <v>0</v>
      </c>
      <c r="Z63" s="22">
        <f t="shared" ref="Z63" si="98">MAX(W63-Y63,0)</f>
        <v>0</v>
      </c>
      <c r="AA63" s="23" t="str">
        <f>IF(SUMPRODUCT($J$66:Z$66,$J63:Z63)&lt;0.5, "Pending", IF(Z63&lt;0.5, "Complete", "In Progress"))</f>
        <v>Pending</v>
      </c>
      <c r="AB63" s="22">
        <v>0</v>
      </c>
      <c r="AC63" s="22">
        <f t="shared" ref="AC63" si="99">MAX(Z63-AB63,0)</f>
        <v>0</v>
      </c>
      <c r="AD63" s="23" t="str">
        <f>IF(SUMPRODUCT($J$66:AC$66,$J63:AC63)&lt;0.5, "Pending", IF(AC63&lt;0.5, "Complete", "In Progress"))</f>
        <v>Pending</v>
      </c>
      <c r="AE63" s="22">
        <v>0</v>
      </c>
      <c r="AF63" s="22">
        <f t="shared" ref="AF63" si="100">MAX(AC63-AE63,0)</f>
        <v>0</v>
      </c>
      <c r="AG63" s="23" t="str">
        <f>IF(SUMPRODUCT($J$66:AF$66,$J63:AF63)&lt;0.5, "Pending", IF(AF63&lt;0.5, "Complete", "In Progress"))</f>
        <v>Pending</v>
      </c>
      <c r="AH63" s="22">
        <v>0</v>
      </c>
      <c r="AI63" s="22">
        <f t="shared" ref="AI63" si="101">MAX(AF63-AH63,0)</f>
        <v>0</v>
      </c>
      <c r="AJ63" s="23" t="str">
        <f>IF(SUMPRODUCT($J$66:AI$66,$J63:AI63)&lt;0.5, "Pending", IF(AI63&lt;0.5, "Complete", "In Progress"))</f>
        <v>Pending</v>
      </c>
      <c r="AK63" s="22">
        <v>0</v>
      </c>
      <c r="AL63" s="22">
        <f t="shared" ref="AL63" si="102">MAX(AI63-AK63,0)</f>
        <v>0</v>
      </c>
      <c r="AM63" s="23" t="str">
        <f>IF(SUMPRODUCT($J$66:AL$66,$J63:AL63)&lt;0.5, "Pending", IF(AL63&lt;0.5, "Complete", "In Progress"))</f>
        <v>Pending</v>
      </c>
      <c r="AN63" s="22">
        <v>0</v>
      </c>
      <c r="AO63" s="22">
        <f t="shared" ref="AO63" si="103">MAX(AL63-AN63,0)</f>
        <v>0</v>
      </c>
      <c r="AP63" s="23" t="str">
        <f>IF(SUMPRODUCT($J$66:AO$66,$J63:AO63)&lt;0.5, "Pending", IF(AO63&lt;0.5, "Complete", "In Progress"))</f>
        <v>Pending</v>
      </c>
      <c r="AQ63" s="22">
        <v>0</v>
      </c>
      <c r="AR63" s="22">
        <f t="shared" ref="AR63" si="104">MAX(AO63-AQ63,0)</f>
        <v>0</v>
      </c>
      <c r="AS63" s="23" t="str">
        <f>IF(SUMPRODUCT($J$66:AR$66,$J63:AR63)&lt;0.5, "Pending", IF(AR63&lt;0.5, "Complete", "In Progress"))</f>
        <v>Pending</v>
      </c>
      <c r="AT63" s="22">
        <v>0</v>
      </c>
      <c r="AU63" s="22">
        <f t="shared" ref="AU63" si="105">MAX(AR63-AT63,0)</f>
        <v>0</v>
      </c>
      <c r="AV63" s="23" t="str">
        <f>IF(SUMPRODUCT($J$66:AU$66,$J63:AU63)&lt;0.5, "Pending", IF(AU63&lt;0.5, "Complete", "In Progress"))</f>
        <v>Pending</v>
      </c>
      <c r="AW63" s="22">
        <v>0</v>
      </c>
      <c r="AX63" s="22">
        <f t="shared" ref="AX63" si="106">MAX(AU63-AW63,0)</f>
        <v>0</v>
      </c>
      <c r="AY63" s="23" t="str">
        <f>IF(SUMPRODUCT($J$66:AX$66,$J63:AX63)&lt;0.5,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IF(SUMPRODUCT($J$66:BA$66,$J63:BA63)&lt;0.5, "Pending", IF(BA63&lt;0.5, "Complete", "In Progress"))</f>
        <v>#REF!</v>
      </c>
      <c r="BC63" s="22">
        <v>0</v>
      </c>
      <c r="BD63" s="22" t="e">
        <f t="shared" ref="BD63" si="107">MAX(BA63-BC63,0)</f>
        <v>#REF!</v>
      </c>
      <c r="BE63" s="23" t="e">
        <f>IF(SUMPRODUCT($J$66:BD$66,$J63:BD63)&lt;0.5, "Pending", IF(BD63&lt;0.5, "Complete", "In Progress"))</f>
        <v>#REF!</v>
      </c>
      <c r="BF63" s="22">
        <v>0</v>
      </c>
      <c r="BG63" s="22" t="e">
        <f t="shared" ref="BG63" si="108">MAX(BD63-BF63,0)</f>
        <v>#REF!</v>
      </c>
      <c r="BH63" s="23" t="e">
        <f>IF(SUMPRODUCT($J$66:BG$66,$J63:BG63)&lt;0.5, "Pending", IF(BG63&lt;0.5, "Complete", "In Progress"))</f>
        <v>#REF!</v>
      </c>
      <c r="BI63" s="22">
        <v>0</v>
      </c>
      <c r="BJ63" s="22" t="e">
        <f t="shared" ref="BJ63" si="109">MAX(BG63-BI63,0)</f>
        <v>#REF!</v>
      </c>
      <c r="BK63" s="23" t="e">
        <f>IF(SUMPRODUCT($J$66:BJ$66,$J63:BJ63)&lt;0.5, "Pending", IF(BJ63&lt;0.5, "Complete", "In Progress"))</f>
        <v>#REF!</v>
      </c>
      <c r="BL63" s="22">
        <v>0</v>
      </c>
      <c r="BM63" s="22" t="e">
        <f t="shared" ref="BM63" si="110">MAX(BJ63-BL63,0)</f>
        <v>#REF!</v>
      </c>
      <c r="BN63" s="23" t="e">
        <f>IF(SUMPRODUCT($J$66:BM$66,$J63:BM63)&lt;0.5, "Pending", IF(BM63&lt;0.5, "Complete", "In Progress"))</f>
        <v>#REF!</v>
      </c>
      <c r="BO63" s="22">
        <v>0</v>
      </c>
      <c r="BP63" s="22" t="e">
        <f t="shared" ref="BP63" si="111">MAX(BM63-BO63,0)</f>
        <v>#REF!</v>
      </c>
      <c r="BQ63" s="23" t="e">
        <f>IF(SUMPRODUCT($J$66:BP$66,$J63:BP63)&lt;0.5, "Pending", IF(BP63&lt;0.5, "Complete", "In Progress"))</f>
        <v>#REF!</v>
      </c>
      <c r="BR63" s="22">
        <v>0</v>
      </c>
      <c r="BS63" s="22" t="e">
        <f t="shared" ref="BS63" si="112">MAX(BP63-BR63,0)</f>
        <v>#REF!</v>
      </c>
      <c r="BT63" s="23" t="e">
        <f>IF(SUMPRODUCT($J$66:BS$66,$J63:BS63)&lt;0.5, "Pending", IF(BS63&lt;0.5, "Complete", "In Progress"))</f>
        <v>#REF!</v>
      </c>
      <c r="BU63" s="22">
        <v>0</v>
      </c>
      <c r="BV63" s="22" t="e">
        <f t="shared" ref="BV63" si="113">MAX(BS63-BU63,0)</f>
        <v>#REF!</v>
      </c>
      <c r="BW63" s="23" t="e">
        <f>IF(SUMPRODUCT($J$66:BV$66,$J63:BV63)&lt;0.5, "Pending", IF(BV63&lt;0.5, "Complete", "In Progress"))</f>
        <v>#REF!</v>
      </c>
      <c r="BX63" s="22">
        <v>0</v>
      </c>
      <c r="BY63" s="22" t="e">
        <f t="shared" ref="BY63" si="114">MAX(BV63-BX63,0)</f>
        <v>#REF!</v>
      </c>
      <c r="BZ63" s="23" t="e">
        <f>IF(SUMPRODUCT($J$66:BY$66,$J63:BY63)&lt;0.5, "Pending", IF(BY63&lt;0.5, "Complete", "In Progress"))</f>
        <v>#REF!</v>
      </c>
      <c r="CA63" s="22">
        <v>0</v>
      </c>
      <c r="CB63" s="22" t="e">
        <f t="shared" ref="CB63" si="115">MAX(BY63-CA63,0)</f>
        <v>#REF!</v>
      </c>
      <c r="CC63" s="23" t="e">
        <f>IF(SUMPRODUCT($J$66:CB$66,$J63:CB63)&lt;0.5, "Pending", IF(CB63&lt;0.5, "Complete", "In Progress"))</f>
        <v>#REF!</v>
      </c>
      <c r="CD63" s="24"/>
      <c r="CE63" s="25">
        <f>SUMPRODUCT($H$66:AY$66,$H63:AY63)</f>
        <v>0</v>
      </c>
    </row>
    <row r="64" spans="1:83" hidden="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4"/>
      <c r="K64" s="24"/>
      <c r="L64" s="24"/>
      <c r="M64" s="27"/>
      <c r="N64" s="27"/>
      <c r="O64" s="24"/>
      <c r="P64" s="27"/>
      <c r="Q64" s="27"/>
      <c r="R64" s="24"/>
      <c r="S64" s="27"/>
      <c r="T64" s="27"/>
      <c r="U64" s="27"/>
      <c r="V64" s="27"/>
      <c r="W64" s="27"/>
      <c r="X64" s="24"/>
      <c r="Y64" s="27"/>
      <c r="Z64" s="27"/>
      <c r="AA64" s="24"/>
      <c r="AB64" s="27"/>
      <c r="AC64" s="27"/>
      <c r="AD64" s="24"/>
      <c r="AE64" s="27"/>
      <c r="AF64" s="27"/>
      <c r="AG64" s="24"/>
      <c r="AH64" s="27"/>
      <c r="AI64" s="27"/>
      <c r="AJ64" s="24"/>
      <c r="AK64" s="27"/>
      <c r="AL64" s="27"/>
      <c r="AM64" s="24"/>
      <c r="AN64" s="27"/>
      <c r="AO64" s="27"/>
      <c r="AP64" s="24"/>
      <c r="AQ64" s="27"/>
      <c r="AR64" s="27"/>
      <c r="AS64" s="24"/>
      <c r="AT64" s="27"/>
      <c r="AU64" s="27"/>
      <c r="AV64" s="24"/>
      <c r="AW64" s="27"/>
      <c r="AX64" s="27"/>
      <c r="AY64" s="24"/>
      <c r="AZ64" s="27"/>
      <c r="BA64" s="27"/>
      <c r="BB64" s="24"/>
      <c r="BC64" s="27"/>
      <c r="BD64" s="27"/>
      <c r="BE64" s="24"/>
      <c r="BF64" s="27"/>
      <c r="BG64" s="27"/>
      <c r="BH64" s="24"/>
      <c r="BI64" s="27"/>
      <c r="BJ64" s="27"/>
      <c r="BK64" s="24"/>
      <c r="BL64" s="27"/>
      <c r="BM64" s="27"/>
      <c r="BN64" s="24"/>
      <c r="BO64" s="27"/>
      <c r="BP64" s="27"/>
      <c r="BQ64" s="24"/>
      <c r="BR64" s="27"/>
      <c r="BS64" s="27"/>
      <c r="BT64" s="24"/>
      <c r="BU64" s="27"/>
      <c r="BV64" s="27"/>
      <c r="BW64" s="24"/>
      <c r="BX64" s="27"/>
      <c r="BY64" s="27"/>
      <c r="BZ64" s="24"/>
      <c r="CA64" s="27"/>
      <c r="CB64" s="27"/>
      <c r="CC64" s="24"/>
      <c r="CD64" s="24"/>
      <c r="CE64" s="28">
        <f>SUMPRODUCT($H$67:BK$67,$H64:BK64)</f>
        <v>0</v>
      </c>
    </row>
    <row r="65" spans="1:83" x14ac:dyDescent="0.2">
      <c r="A65" s="29"/>
      <c r="B65" s="29"/>
      <c r="C65" s="29"/>
      <c r="D65" s="29"/>
      <c r="E65" s="29"/>
      <c r="F65" s="29"/>
      <c r="G65" s="1"/>
      <c r="H65" s="29"/>
      <c r="I65" s="29"/>
      <c r="J65" s="193" t="s">
        <v>9</v>
      </c>
      <c r="K65" s="194"/>
      <c r="L65" s="30">
        <v>1</v>
      </c>
      <c r="M65" s="191" t="s">
        <v>9</v>
      </c>
      <c r="N65" s="195"/>
      <c r="O65" s="30">
        <f>L65+1</f>
        <v>2</v>
      </c>
      <c r="P65" s="191" t="s">
        <v>9</v>
      </c>
      <c r="Q65" s="195"/>
      <c r="R65" s="30">
        <f>O65+1</f>
        <v>3</v>
      </c>
      <c r="S65" s="191" t="s">
        <v>9</v>
      </c>
      <c r="T65" s="195"/>
      <c r="U65" s="30">
        <f>R65+1</f>
        <v>4</v>
      </c>
      <c r="V65" s="191" t="s">
        <v>9</v>
      </c>
      <c r="W65" s="195"/>
      <c r="X65" s="30">
        <f>U65+1</f>
        <v>5</v>
      </c>
      <c r="Y65" s="191" t="s">
        <v>9</v>
      </c>
      <c r="Z65" s="191"/>
      <c r="AA65" s="30">
        <f>X65+1</f>
        <v>6</v>
      </c>
      <c r="AB65" s="191" t="s">
        <v>9</v>
      </c>
      <c r="AC65" s="191"/>
      <c r="AD65" s="30">
        <f>AA65+1</f>
        <v>7</v>
      </c>
      <c r="AE65" s="191" t="s">
        <v>9</v>
      </c>
      <c r="AF65" s="191"/>
      <c r="AG65" s="30">
        <f>AD65+1</f>
        <v>8</v>
      </c>
      <c r="AH65" s="191" t="s">
        <v>9</v>
      </c>
      <c r="AI65" s="191"/>
      <c r="AJ65" s="30">
        <f>AG65+1</f>
        <v>9</v>
      </c>
      <c r="AK65" s="191" t="s">
        <v>9</v>
      </c>
      <c r="AL65" s="191"/>
      <c r="AM65" s="30">
        <f>AJ65+1</f>
        <v>10</v>
      </c>
      <c r="AN65" s="191" t="s">
        <v>9</v>
      </c>
      <c r="AO65" s="191"/>
      <c r="AP65" s="30">
        <f>AM65+1</f>
        <v>11</v>
      </c>
      <c r="AQ65" s="191" t="s">
        <v>9</v>
      </c>
      <c r="AR65" s="191"/>
      <c r="AS65" s="30">
        <f>AP65+1</f>
        <v>12</v>
      </c>
      <c r="AT65" s="191" t="s">
        <v>9</v>
      </c>
      <c r="AU65" s="191"/>
      <c r="AV65" s="30">
        <f>AS65+1</f>
        <v>13</v>
      </c>
      <c r="AW65" s="191" t="s">
        <v>9</v>
      </c>
      <c r="AX65" s="191"/>
      <c r="AY65" s="30">
        <f>AV65+1</f>
        <v>14</v>
      </c>
      <c r="AZ65" s="191" t="s">
        <v>9</v>
      </c>
      <c r="BA65" s="195"/>
      <c r="BB65" s="30" t="e">
        <f>#REF!+1</f>
        <v>#REF!</v>
      </c>
      <c r="BC65" s="191" t="s">
        <v>9</v>
      </c>
      <c r="BD65" s="195"/>
      <c r="BE65" s="30" t="e">
        <f>BB65+1</f>
        <v>#REF!</v>
      </c>
      <c r="BF65" s="191" t="s">
        <v>9</v>
      </c>
      <c r="BG65" s="195"/>
      <c r="BH65" s="30" t="e">
        <f>BE65+1</f>
        <v>#REF!</v>
      </c>
      <c r="BI65" s="191" t="s">
        <v>9</v>
      </c>
      <c r="BJ65" s="195"/>
      <c r="BK65" s="30" t="e">
        <f>BH65+1</f>
        <v>#REF!</v>
      </c>
      <c r="BL65" s="191" t="s">
        <v>9</v>
      </c>
      <c r="BM65" s="195"/>
      <c r="BN65" s="30" t="e">
        <f>BK65+1</f>
        <v>#REF!</v>
      </c>
      <c r="BO65" s="191" t="s">
        <v>9</v>
      </c>
      <c r="BP65" s="195"/>
      <c r="BQ65" s="30" t="e">
        <f>BN65+1</f>
        <v>#REF!</v>
      </c>
      <c r="BR65" s="191" t="s">
        <v>9</v>
      </c>
      <c r="BS65" s="195"/>
      <c r="BT65" s="30" t="e">
        <f>BQ65+1</f>
        <v>#REF!</v>
      </c>
      <c r="BU65" s="191" t="s">
        <v>9</v>
      </c>
      <c r="BV65" s="195"/>
      <c r="BW65" s="30" t="e">
        <f>BT65+1</f>
        <v>#REF!</v>
      </c>
      <c r="BX65" s="191" t="s">
        <v>9</v>
      </c>
      <c r="BY65" s="195"/>
      <c r="BZ65" s="30" t="e">
        <f>BW65+1</f>
        <v>#REF!</v>
      </c>
      <c r="CA65" s="191" t="s">
        <v>9</v>
      </c>
      <c r="CB65" s="195"/>
      <c r="CC65" s="30" t="e">
        <f>BZ65+1</f>
        <v>#REF!</v>
      </c>
      <c r="CD65" s="30"/>
      <c r="CE65" s="31"/>
    </row>
    <row r="66" spans="1:83" hidden="1" x14ac:dyDescent="0.2">
      <c r="A66" s="32"/>
      <c r="B66" s="32"/>
      <c r="C66" s="32"/>
      <c r="D66" s="32"/>
      <c r="E66" s="32" t="s">
        <v>11</v>
      </c>
      <c r="F66" s="32"/>
      <c r="G66" s="32"/>
      <c r="H66" s="32"/>
      <c r="I66" s="32"/>
      <c r="J66" s="155">
        <v>1</v>
      </c>
      <c r="K66" s="155">
        <v>0</v>
      </c>
      <c r="L66" s="32">
        <v>0</v>
      </c>
      <c r="M66" s="32">
        <v>1</v>
      </c>
      <c r="N66" s="32">
        <v>0</v>
      </c>
      <c r="O66" s="32">
        <v>0</v>
      </c>
      <c r="P66" s="32">
        <v>1</v>
      </c>
      <c r="Q66" s="32">
        <v>0</v>
      </c>
      <c r="R66" s="32">
        <v>0</v>
      </c>
      <c r="S66" s="32">
        <v>1</v>
      </c>
      <c r="T66" s="32">
        <v>0</v>
      </c>
      <c r="U66" s="32">
        <v>0</v>
      </c>
      <c r="V66" s="32">
        <v>1</v>
      </c>
      <c r="W66" s="32">
        <v>0</v>
      </c>
      <c r="X66" s="32">
        <v>0</v>
      </c>
      <c r="Y66" s="32">
        <v>1</v>
      </c>
      <c r="Z66" s="32">
        <v>0</v>
      </c>
      <c r="AA66" s="32">
        <v>0</v>
      </c>
      <c r="AB66" s="32">
        <v>1</v>
      </c>
      <c r="AC66" s="32">
        <v>0</v>
      </c>
      <c r="AD66" s="32">
        <v>0</v>
      </c>
      <c r="AE66" s="32">
        <v>1</v>
      </c>
      <c r="AF66" s="32">
        <v>0</v>
      </c>
      <c r="AG66" s="32">
        <v>0</v>
      </c>
      <c r="AH66" s="32">
        <v>1</v>
      </c>
      <c r="AI66" s="32">
        <v>0</v>
      </c>
      <c r="AJ66" s="32">
        <v>0</v>
      </c>
      <c r="AK66" s="32">
        <v>1</v>
      </c>
      <c r="AL66" s="32">
        <v>0</v>
      </c>
      <c r="AM66" s="32">
        <v>0</v>
      </c>
      <c r="AN66" s="32">
        <v>1</v>
      </c>
      <c r="AO66" s="32">
        <v>0</v>
      </c>
      <c r="AP66" s="32">
        <v>0</v>
      </c>
      <c r="AQ66" s="32">
        <v>1</v>
      </c>
      <c r="AR66" s="32">
        <v>0</v>
      </c>
      <c r="AS66" s="32">
        <v>0</v>
      </c>
      <c r="AT66" s="32">
        <v>1</v>
      </c>
      <c r="AU66" s="32">
        <v>0</v>
      </c>
      <c r="AV66" s="32">
        <v>0</v>
      </c>
      <c r="AW66" s="32">
        <v>1</v>
      </c>
      <c r="AX66" s="32">
        <v>0</v>
      </c>
      <c r="AY66" s="32">
        <v>0</v>
      </c>
      <c r="AZ66" s="32">
        <v>1</v>
      </c>
      <c r="BA66" s="32">
        <v>0</v>
      </c>
      <c r="BB66" s="32">
        <v>0</v>
      </c>
      <c r="BC66" s="32">
        <v>1</v>
      </c>
      <c r="BD66" s="32">
        <v>0</v>
      </c>
      <c r="BE66" s="32">
        <v>0</v>
      </c>
      <c r="BF66" s="32">
        <v>1</v>
      </c>
      <c r="BG66" s="32">
        <v>0</v>
      </c>
      <c r="BH66" s="32">
        <v>0</v>
      </c>
      <c r="BI66" s="32">
        <v>1</v>
      </c>
      <c r="BJ66" s="32">
        <v>0</v>
      </c>
      <c r="BK66" s="32">
        <v>0</v>
      </c>
      <c r="BL66" s="32">
        <v>1</v>
      </c>
      <c r="BM66" s="32">
        <v>0</v>
      </c>
      <c r="BN66" s="32">
        <v>0</v>
      </c>
      <c r="BO66" s="32">
        <v>1</v>
      </c>
      <c r="BP66" s="32">
        <v>0</v>
      </c>
      <c r="BQ66" s="32">
        <v>0</v>
      </c>
      <c r="BR66" s="32">
        <v>1</v>
      </c>
      <c r="BS66" s="32">
        <v>0</v>
      </c>
      <c r="BT66" s="32">
        <v>0</v>
      </c>
      <c r="BU66" s="32">
        <v>1</v>
      </c>
      <c r="BV66" s="32">
        <v>0</v>
      </c>
      <c r="BW66" s="32">
        <v>0</v>
      </c>
      <c r="BX66" s="32">
        <v>1</v>
      </c>
      <c r="BY66" s="32">
        <v>0</v>
      </c>
      <c r="BZ66" s="32">
        <v>0</v>
      </c>
      <c r="CA66" s="32">
        <v>1</v>
      </c>
      <c r="CB66" s="32">
        <v>0</v>
      </c>
      <c r="CC66" s="32">
        <v>0</v>
      </c>
      <c r="CD66" s="32"/>
      <c r="CE66" s="33"/>
    </row>
    <row r="67" spans="1:83" hidden="1" x14ac:dyDescent="0.2">
      <c r="A67" s="34"/>
      <c r="B67" s="34"/>
      <c r="C67" s="34"/>
      <c r="D67" s="34"/>
      <c r="E67" s="32" t="s">
        <v>13</v>
      </c>
      <c r="F67" s="32"/>
      <c r="G67" s="32"/>
      <c r="H67" s="32"/>
      <c r="I67" s="32"/>
      <c r="J67" s="24">
        <v>0</v>
      </c>
      <c r="K67" s="155">
        <v>1</v>
      </c>
      <c r="L67" s="32">
        <v>0</v>
      </c>
      <c r="M67" s="35">
        <v>0</v>
      </c>
      <c r="N67" s="32">
        <v>1</v>
      </c>
      <c r="O67" s="32">
        <v>0</v>
      </c>
      <c r="P67" s="35">
        <v>0</v>
      </c>
      <c r="Q67" s="32">
        <v>1</v>
      </c>
      <c r="R67" s="32">
        <v>0</v>
      </c>
      <c r="S67" s="35">
        <v>0</v>
      </c>
      <c r="T67" s="32">
        <v>1</v>
      </c>
      <c r="U67" s="32">
        <v>0</v>
      </c>
      <c r="V67" s="35">
        <v>0</v>
      </c>
      <c r="W67" s="32">
        <v>1</v>
      </c>
      <c r="X67" s="32">
        <v>0</v>
      </c>
      <c r="Y67" s="35">
        <v>0</v>
      </c>
      <c r="Z67" s="32">
        <v>1</v>
      </c>
      <c r="AA67" s="32">
        <v>0</v>
      </c>
      <c r="AB67" s="35">
        <v>0</v>
      </c>
      <c r="AC67" s="32">
        <v>1</v>
      </c>
      <c r="AD67" s="32">
        <v>0</v>
      </c>
      <c r="AE67" s="35">
        <v>0</v>
      </c>
      <c r="AF67" s="32">
        <v>1</v>
      </c>
      <c r="AG67" s="32">
        <v>0</v>
      </c>
      <c r="AH67" s="35">
        <v>0</v>
      </c>
      <c r="AI67" s="32">
        <v>1</v>
      </c>
      <c r="AJ67" s="32">
        <v>0</v>
      </c>
      <c r="AK67" s="35">
        <v>0</v>
      </c>
      <c r="AL67" s="32">
        <v>1</v>
      </c>
      <c r="AM67" s="32">
        <v>0</v>
      </c>
      <c r="AN67" s="35">
        <v>0</v>
      </c>
      <c r="AO67" s="32">
        <v>1</v>
      </c>
      <c r="AP67" s="32">
        <v>0</v>
      </c>
      <c r="AQ67" s="35">
        <v>0</v>
      </c>
      <c r="AR67" s="32">
        <v>1</v>
      </c>
      <c r="AS67" s="32">
        <v>0</v>
      </c>
      <c r="AT67" s="35">
        <v>0</v>
      </c>
      <c r="AU67" s="32">
        <v>1</v>
      </c>
      <c r="AV67" s="32">
        <v>0</v>
      </c>
      <c r="AW67" s="35">
        <v>0</v>
      </c>
      <c r="AX67" s="32">
        <v>1</v>
      </c>
      <c r="AY67" s="32">
        <v>0</v>
      </c>
      <c r="AZ67" s="35">
        <v>0</v>
      </c>
      <c r="BA67" s="32">
        <v>1</v>
      </c>
      <c r="BB67" s="32">
        <v>0</v>
      </c>
      <c r="BC67" s="35">
        <v>0</v>
      </c>
      <c r="BD67" s="32">
        <v>1</v>
      </c>
      <c r="BE67" s="32">
        <v>0</v>
      </c>
      <c r="BF67" s="35">
        <v>0</v>
      </c>
      <c r="BG67" s="32">
        <v>1</v>
      </c>
      <c r="BH67" s="32">
        <v>0</v>
      </c>
      <c r="BI67" s="35">
        <v>0</v>
      </c>
      <c r="BJ67" s="32">
        <v>1</v>
      </c>
      <c r="BK67" s="32">
        <v>0</v>
      </c>
      <c r="BL67" s="35">
        <v>0</v>
      </c>
      <c r="BM67" s="32">
        <v>1</v>
      </c>
      <c r="BN67" s="32">
        <v>0</v>
      </c>
      <c r="BO67" s="35">
        <v>0</v>
      </c>
      <c r="BP67" s="32">
        <v>1</v>
      </c>
      <c r="BQ67" s="32">
        <v>0</v>
      </c>
      <c r="BR67" s="35">
        <v>0</v>
      </c>
      <c r="BS67" s="32">
        <v>1</v>
      </c>
      <c r="BT67" s="32">
        <v>0</v>
      </c>
      <c r="BU67" s="35">
        <v>0</v>
      </c>
      <c r="BV67" s="32">
        <v>1</v>
      </c>
      <c r="BW67" s="32">
        <v>0</v>
      </c>
      <c r="BX67" s="35">
        <v>0</v>
      </c>
      <c r="BY67" s="32">
        <v>1</v>
      </c>
      <c r="BZ67" s="32">
        <v>0</v>
      </c>
      <c r="CA67" s="35">
        <v>0</v>
      </c>
      <c r="CB67" s="32">
        <v>1</v>
      </c>
      <c r="CC67" s="32">
        <v>0</v>
      </c>
      <c r="CD67" s="32"/>
    </row>
    <row r="68" spans="1:83" hidden="1" x14ac:dyDescent="0.2">
      <c r="A68" s="32"/>
      <c r="B68" s="32"/>
      <c r="C68" s="32"/>
      <c r="D68" s="32"/>
      <c r="E68" s="36" t="s">
        <v>14</v>
      </c>
      <c r="F68" s="32"/>
      <c r="G68" s="32"/>
      <c r="H68" s="32"/>
      <c r="I68" s="32"/>
      <c r="J68" s="24">
        <v>0</v>
      </c>
      <c r="K68" s="155">
        <v>0</v>
      </c>
      <c r="L68" s="32">
        <v>1</v>
      </c>
      <c r="M68" s="35">
        <v>0</v>
      </c>
      <c r="N68" s="32">
        <v>0</v>
      </c>
      <c r="O68" s="32">
        <v>1</v>
      </c>
      <c r="P68" s="35">
        <v>0</v>
      </c>
      <c r="Q68" s="32">
        <v>0</v>
      </c>
      <c r="R68" s="32">
        <v>1</v>
      </c>
      <c r="S68" s="35">
        <v>0</v>
      </c>
      <c r="T68" s="32">
        <v>0</v>
      </c>
      <c r="U68" s="32">
        <v>1</v>
      </c>
      <c r="V68" s="35">
        <v>0</v>
      </c>
      <c r="W68" s="32">
        <v>0</v>
      </c>
      <c r="X68" s="32">
        <v>1</v>
      </c>
      <c r="Y68" s="35">
        <v>0</v>
      </c>
      <c r="Z68" s="32">
        <v>0</v>
      </c>
      <c r="AA68" s="32">
        <v>1</v>
      </c>
      <c r="AB68" s="35">
        <v>0</v>
      </c>
      <c r="AC68" s="32">
        <v>0</v>
      </c>
      <c r="AD68" s="32">
        <v>1</v>
      </c>
      <c r="AE68" s="35">
        <v>0</v>
      </c>
      <c r="AF68" s="32">
        <v>0</v>
      </c>
      <c r="AG68" s="32">
        <v>1</v>
      </c>
      <c r="AH68" s="35">
        <v>0</v>
      </c>
      <c r="AI68" s="32">
        <v>0</v>
      </c>
      <c r="AJ68" s="32">
        <v>1</v>
      </c>
      <c r="AK68" s="35">
        <v>0</v>
      </c>
      <c r="AL68" s="32">
        <v>0</v>
      </c>
      <c r="AM68" s="32">
        <v>1</v>
      </c>
      <c r="AN68" s="35">
        <v>0</v>
      </c>
      <c r="AO68" s="32">
        <v>0</v>
      </c>
      <c r="AP68" s="32">
        <v>1</v>
      </c>
      <c r="AQ68" s="35">
        <v>0</v>
      </c>
      <c r="AR68" s="32">
        <v>0</v>
      </c>
      <c r="AS68" s="32">
        <v>1</v>
      </c>
      <c r="AT68" s="35">
        <v>0</v>
      </c>
      <c r="AU68" s="32">
        <v>0</v>
      </c>
      <c r="AV68" s="32">
        <v>1</v>
      </c>
      <c r="AW68" s="35">
        <v>0</v>
      </c>
      <c r="AX68" s="32">
        <v>0</v>
      </c>
      <c r="AY68" s="32">
        <v>1</v>
      </c>
      <c r="AZ68" s="35">
        <v>0</v>
      </c>
      <c r="BA68" s="32">
        <v>0</v>
      </c>
      <c r="BB68" s="32">
        <v>1</v>
      </c>
      <c r="BC68" s="35">
        <v>0</v>
      </c>
      <c r="BD68" s="32">
        <v>0</v>
      </c>
      <c r="BE68" s="32">
        <v>1</v>
      </c>
      <c r="BF68" s="35">
        <v>0</v>
      </c>
      <c r="BG68" s="32">
        <v>0</v>
      </c>
      <c r="BH68" s="32">
        <v>1</v>
      </c>
      <c r="BI68" s="35">
        <v>0</v>
      </c>
      <c r="BJ68" s="32">
        <v>0</v>
      </c>
      <c r="BK68" s="32">
        <v>1</v>
      </c>
      <c r="BL68" s="35">
        <v>0</v>
      </c>
      <c r="BM68" s="32">
        <v>0</v>
      </c>
      <c r="BN68" s="32">
        <v>1</v>
      </c>
      <c r="BO68" s="35">
        <v>0</v>
      </c>
      <c r="BP68" s="32">
        <v>0</v>
      </c>
      <c r="BQ68" s="32">
        <v>1</v>
      </c>
      <c r="BR68" s="35">
        <v>0</v>
      </c>
      <c r="BS68" s="32">
        <v>0</v>
      </c>
      <c r="BT68" s="32">
        <v>1</v>
      </c>
      <c r="BU68" s="35">
        <v>0</v>
      </c>
      <c r="BV68" s="32">
        <v>0</v>
      </c>
      <c r="BW68" s="32">
        <v>1</v>
      </c>
      <c r="BX68" s="35">
        <v>0</v>
      </c>
      <c r="BY68" s="32">
        <v>0</v>
      </c>
      <c r="BZ68" s="32">
        <v>1</v>
      </c>
      <c r="CA68" s="35">
        <v>0</v>
      </c>
      <c r="CB68" s="32">
        <v>0</v>
      </c>
      <c r="CC68" s="32">
        <v>1</v>
      </c>
      <c r="CD68" s="32"/>
    </row>
    <row r="69" spans="1:83" x14ac:dyDescent="0.2">
      <c r="A69" s="37">
        <v>300</v>
      </c>
      <c r="B69" s="37">
        <v>300</v>
      </c>
      <c r="C69" s="37">
        <v>300</v>
      </c>
      <c r="D69" s="37" t="s">
        <v>90</v>
      </c>
      <c r="E69" s="38" t="s">
        <v>86</v>
      </c>
      <c r="F69" s="38"/>
      <c r="G69" s="38"/>
      <c r="H69" s="38"/>
      <c r="I69" s="39">
        <f>SUBTOTAL(109,I$4:I$64)</f>
        <v>149</v>
      </c>
      <c r="J69" s="156">
        <f>SUBTOTAL(109,J$4:J$64)</f>
        <v>2</v>
      </c>
      <c r="K69" s="156">
        <f>SUBTOTAL(109,K$4:K$63)</f>
        <v>147</v>
      </c>
      <c r="L69" s="39"/>
      <c r="M69" s="39">
        <f>SUBTOTAL(109,M$4:M$64)</f>
        <v>0</v>
      </c>
      <c r="N69" s="39">
        <f>SUBTOTAL(109,N$4:N$63)</f>
        <v>134</v>
      </c>
      <c r="O69" s="39"/>
      <c r="P69" s="39">
        <f>SUBTOTAL(109,P$4:P$64)</f>
        <v>0</v>
      </c>
      <c r="Q69" s="39">
        <f>SUBTOTAL(109,Q$4:Q$63)</f>
        <v>134</v>
      </c>
      <c r="R69" s="39"/>
      <c r="S69" s="39">
        <f>SUBTOTAL(109,S$4:S$64)</f>
        <v>0</v>
      </c>
      <c r="T69" s="39">
        <f>SUBTOTAL(109,T$4:T$63)</f>
        <v>134</v>
      </c>
      <c r="U69" s="39"/>
      <c r="V69" s="39">
        <f>SUBTOTAL(109,V$4:V$64)</f>
        <v>0</v>
      </c>
      <c r="W69" s="39">
        <f>SUBTOTAL(109,W$4:W$63)</f>
        <v>134</v>
      </c>
      <c r="X69" s="39"/>
      <c r="Y69" s="39">
        <f>SUBTOTAL(109,Y$4:Y$64)</f>
        <v>0</v>
      </c>
      <c r="Z69" s="39">
        <f>SUBTOTAL(109,Z$4:Z$63)</f>
        <v>134</v>
      </c>
      <c r="AA69" s="39"/>
      <c r="AB69" s="39">
        <f>SUBTOTAL(109,AB$4:AB$64)</f>
        <v>0</v>
      </c>
      <c r="AC69" s="39">
        <f>SUBTOTAL(109,AC$4:AC$63)</f>
        <v>134</v>
      </c>
      <c r="AD69" s="39"/>
      <c r="AE69" s="39">
        <f>SUBTOTAL(109,AE$4:AE$64)</f>
        <v>0</v>
      </c>
      <c r="AF69" s="39">
        <f>SUBTOTAL(109,AF$4:AF$63)</f>
        <v>134</v>
      </c>
      <c r="AG69" s="39"/>
      <c r="AH69" s="39">
        <f>SUBTOTAL(109,AH$4:AH$64)</f>
        <v>0</v>
      </c>
      <c r="AI69" s="39">
        <f>SUBTOTAL(109,AI$4:AI$63)</f>
        <v>134</v>
      </c>
      <c r="AJ69" s="39"/>
      <c r="AK69" s="39">
        <f>SUBTOTAL(109,AK$4:AK$64)</f>
        <v>0</v>
      </c>
      <c r="AL69" s="39">
        <f>SUBTOTAL(109,AL$4:AL$63)</f>
        <v>134</v>
      </c>
      <c r="AM69" s="39"/>
      <c r="AN69" s="39">
        <f>SUBTOTAL(109,AN$4:AN$64)</f>
        <v>0</v>
      </c>
      <c r="AO69" s="39">
        <f>SUBTOTAL(109,AO$4:AO$63)</f>
        <v>134</v>
      </c>
      <c r="AP69" s="39"/>
      <c r="AQ69" s="39">
        <f>SUBTOTAL(109,AQ$4:AQ$64)</f>
        <v>0</v>
      </c>
      <c r="AR69" s="39">
        <f>SUBTOTAL(109,AR$4:AR$63)</f>
        <v>134</v>
      </c>
      <c r="AS69" s="39"/>
      <c r="AT69" s="39">
        <f>SUBTOTAL(109,AT$4:AT$64)</f>
        <v>0</v>
      </c>
      <c r="AU69" s="39">
        <f>SUBTOTAL(109,AU$4:AU$63)</f>
        <v>134</v>
      </c>
      <c r="AV69" s="39"/>
      <c r="AW69" s="39">
        <f>SUBTOTAL(109,AW$4:AW$64)</f>
        <v>0</v>
      </c>
      <c r="AX69" s="39">
        <f>SUBTOTAL(109,AX$4:AX$63)</f>
        <v>134</v>
      </c>
      <c r="AY69" s="39"/>
      <c r="AZ69" s="39">
        <f t="shared" ref="AZ69:CC69" si="116">SUBTOTAL(109,AZ$4:AZ$63)</f>
        <v>0</v>
      </c>
      <c r="BA69" s="39" t="e">
        <f t="shared" si="116"/>
        <v>#REF!</v>
      </c>
      <c r="BB69" s="39" t="e">
        <f t="shared" si="116"/>
        <v>#REF!</v>
      </c>
      <c r="BC69" s="39">
        <f t="shared" si="116"/>
        <v>0</v>
      </c>
      <c r="BD69" s="39" t="e">
        <f t="shared" si="116"/>
        <v>#REF!</v>
      </c>
      <c r="BE69" s="39" t="e">
        <f t="shared" si="116"/>
        <v>#REF!</v>
      </c>
      <c r="BF69" s="39">
        <f t="shared" si="116"/>
        <v>0</v>
      </c>
      <c r="BG69" s="39" t="e">
        <f t="shared" si="116"/>
        <v>#REF!</v>
      </c>
      <c r="BH69" s="39" t="e">
        <f t="shared" si="116"/>
        <v>#REF!</v>
      </c>
      <c r="BI69" s="39">
        <f t="shared" si="116"/>
        <v>0</v>
      </c>
      <c r="BJ69" s="39" t="e">
        <f t="shared" si="116"/>
        <v>#REF!</v>
      </c>
      <c r="BK69" s="39" t="e">
        <f t="shared" si="116"/>
        <v>#REF!</v>
      </c>
      <c r="BL69" s="39">
        <f t="shared" si="116"/>
        <v>0</v>
      </c>
      <c r="BM69" s="39" t="e">
        <f t="shared" si="116"/>
        <v>#REF!</v>
      </c>
      <c r="BN69" s="39" t="e">
        <f t="shared" si="116"/>
        <v>#REF!</v>
      </c>
      <c r="BO69" s="39">
        <f t="shared" si="116"/>
        <v>0</v>
      </c>
      <c r="BP69" s="39" t="e">
        <f t="shared" si="116"/>
        <v>#REF!</v>
      </c>
      <c r="BQ69" s="39" t="e">
        <f t="shared" si="116"/>
        <v>#REF!</v>
      </c>
      <c r="BR69" s="39">
        <f t="shared" si="116"/>
        <v>0</v>
      </c>
      <c r="BS69" s="39" t="e">
        <f t="shared" si="116"/>
        <v>#REF!</v>
      </c>
      <c r="BT69" s="39" t="e">
        <f t="shared" si="116"/>
        <v>#REF!</v>
      </c>
      <c r="BU69" s="39">
        <f t="shared" si="116"/>
        <v>0</v>
      </c>
      <c r="BV69" s="39" t="e">
        <f t="shared" si="116"/>
        <v>#REF!</v>
      </c>
      <c r="BW69" s="39" t="e">
        <f t="shared" si="116"/>
        <v>#REF!</v>
      </c>
      <c r="BX69" s="39">
        <f t="shared" si="116"/>
        <v>0</v>
      </c>
      <c r="BY69" s="39" t="e">
        <f t="shared" si="116"/>
        <v>#REF!</v>
      </c>
      <c r="BZ69" s="39" t="e">
        <f t="shared" si="116"/>
        <v>#REF!</v>
      </c>
      <c r="CA69" s="39">
        <f t="shared" si="116"/>
        <v>0</v>
      </c>
      <c r="CB69" s="39" t="e">
        <f t="shared" si="116"/>
        <v>#REF!</v>
      </c>
      <c r="CC69" s="39" t="e">
        <f t="shared" si="116"/>
        <v>#REF!</v>
      </c>
      <c r="CD69" s="38"/>
      <c r="CE69" s="40"/>
    </row>
    <row r="70" spans="1:83" x14ac:dyDescent="0.2">
      <c r="A70" s="41"/>
      <c r="B70" s="41"/>
      <c r="C70" s="41"/>
      <c r="D70" s="41"/>
      <c r="E70" s="41"/>
      <c r="F70" s="41"/>
      <c r="G70" s="41"/>
      <c r="H70" s="41"/>
      <c r="I70" s="41"/>
      <c r="J70" s="157"/>
      <c r="K70" s="158"/>
      <c r="L70" s="41"/>
      <c r="M70" s="42"/>
      <c r="N70" s="41"/>
      <c r="O70" s="41"/>
      <c r="P70" s="42"/>
      <c r="Q70" s="41"/>
      <c r="R70" s="41"/>
      <c r="S70" s="42"/>
      <c r="T70" s="41"/>
      <c r="U70" s="41"/>
      <c r="V70" s="42"/>
      <c r="W70" s="41"/>
      <c r="X70" s="41"/>
      <c r="Y70" s="42"/>
      <c r="Z70" s="41"/>
      <c r="AA70" s="41"/>
      <c r="AB70" s="42"/>
      <c r="AC70" s="41"/>
      <c r="AD70" s="41"/>
      <c r="AE70" s="42"/>
      <c r="AF70" s="41"/>
      <c r="AG70" s="41"/>
      <c r="AH70" s="42"/>
      <c r="AI70" s="41"/>
      <c r="AJ70" s="41"/>
      <c r="AK70" s="42"/>
      <c r="AL70" s="41"/>
      <c r="AM70" s="41"/>
      <c r="AN70" s="42"/>
      <c r="AO70" s="41"/>
      <c r="AP70" s="41"/>
      <c r="AQ70" s="42"/>
      <c r="AR70" s="41"/>
      <c r="AS70" s="41"/>
      <c r="AT70" s="42"/>
      <c r="AU70" s="41"/>
      <c r="AV70" s="41"/>
      <c r="AW70" s="42"/>
      <c r="AX70" s="41"/>
      <c r="AY70" s="41"/>
      <c r="AZ70" s="42"/>
      <c r="BA70" s="41"/>
      <c r="BB70" s="41"/>
      <c r="BC70" s="42"/>
      <c r="BD70" s="41"/>
      <c r="BE70" s="41"/>
      <c r="BF70" s="42"/>
      <c r="BG70" s="41"/>
      <c r="BH70" s="41"/>
      <c r="BI70" s="42"/>
      <c r="BJ70" s="41"/>
      <c r="BK70" s="41"/>
      <c r="BL70" s="42"/>
      <c r="BM70" s="41"/>
      <c r="BN70" s="41"/>
      <c r="BO70" s="42"/>
      <c r="BP70" s="41"/>
      <c r="BQ70" s="41"/>
      <c r="BR70" s="42"/>
      <c r="BS70" s="41"/>
      <c r="BT70" s="41"/>
      <c r="BU70" s="42"/>
      <c r="BV70" s="41"/>
      <c r="BW70" s="41"/>
      <c r="BX70" s="42"/>
      <c r="BY70" s="41"/>
      <c r="BZ70" s="41"/>
      <c r="CA70" s="42"/>
      <c r="CB70" s="41"/>
      <c r="CC70" s="41"/>
      <c r="CD70" s="41"/>
    </row>
    <row r="71" spans="1:83" x14ac:dyDescent="0.2">
      <c r="A71" s="41"/>
      <c r="B71" s="41"/>
      <c r="C71" s="41"/>
      <c r="D71" s="41"/>
      <c r="E71" s="41"/>
      <c r="F71" s="41"/>
      <c r="G71" s="41"/>
      <c r="H71" s="41"/>
      <c r="I71" s="41"/>
      <c r="J71" s="157"/>
      <c r="K71" s="158"/>
      <c r="L71" s="41"/>
      <c r="M71" s="42"/>
      <c r="N71" s="41"/>
      <c r="O71" s="41"/>
      <c r="P71" s="42"/>
      <c r="Q71" s="41"/>
      <c r="R71" s="41"/>
      <c r="S71" s="42"/>
      <c r="T71" s="41"/>
      <c r="U71" s="41"/>
      <c r="V71" s="42"/>
      <c r="W71" s="41"/>
      <c r="X71" s="41"/>
      <c r="Y71" s="42"/>
      <c r="Z71" s="41"/>
      <c r="AA71" s="41"/>
      <c r="AB71" s="42"/>
      <c r="AC71" s="41"/>
      <c r="AD71" s="41"/>
      <c r="AE71" s="42"/>
      <c r="AF71" s="41"/>
      <c r="AG71" s="41"/>
      <c r="AH71" s="42"/>
      <c r="AI71" s="41"/>
      <c r="AJ71" s="41"/>
      <c r="AK71" s="42"/>
      <c r="AL71" s="41"/>
      <c r="AM71" s="41"/>
      <c r="AN71" s="42"/>
      <c r="AO71" s="41"/>
      <c r="AP71" s="41"/>
      <c r="AQ71" s="42"/>
      <c r="AR71" s="41"/>
      <c r="AS71" s="41"/>
      <c r="AT71" s="42"/>
      <c r="AU71" s="41"/>
      <c r="AV71" s="41"/>
      <c r="AW71" s="42"/>
      <c r="AX71" s="41"/>
      <c r="AY71" s="41"/>
      <c r="AZ71" s="42"/>
      <c r="BA71" s="41"/>
      <c r="BB71" s="41"/>
      <c r="BC71" s="42"/>
      <c r="BD71" s="41"/>
      <c r="BE71" s="41"/>
      <c r="BF71" s="42"/>
      <c r="BG71" s="41"/>
      <c r="BH71" s="41"/>
      <c r="BI71" s="42"/>
      <c r="BJ71" s="41"/>
      <c r="BK71" s="41"/>
      <c r="BL71" s="42"/>
      <c r="BM71" s="41"/>
      <c r="BN71" s="41"/>
      <c r="BO71" s="42"/>
      <c r="BP71" s="41"/>
      <c r="BQ71" s="41"/>
      <c r="BR71" s="42"/>
      <c r="BS71" s="41"/>
      <c r="BT71" s="41"/>
      <c r="BU71" s="42"/>
      <c r="BV71" s="41"/>
      <c r="BW71" s="41"/>
      <c r="BX71" s="42"/>
      <c r="BY71" s="41"/>
      <c r="BZ71" s="41"/>
      <c r="CA71" s="42"/>
      <c r="CB71" s="41"/>
      <c r="CC71" s="41"/>
      <c r="CD71" s="41"/>
    </row>
    <row r="72" spans="1:83" x14ac:dyDescent="0.2">
      <c r="A72" s="41"/>
      <c r="B72" s="41"/>
      <c r="C72" s="41"/>
      <c r="D72" s="41"/>
      <c r="E72" s="41"/>
      <c r="F72" s="41"/>
      <c r="G72" s="41"/>
    </row>
    <row r="73" spans="1:83" x14ac:dyDescent="0.2">
      <c r="A73" s="41"/>
      <c r="B73" s="41"/>
      <c r="C73" s="41"/>
      <c r="D73" s="41"/>
      <c r="E73" s="41"/>
      <c r="F73" s="41"/>
      <c r="G73" s="41"/>
    </row>
  </sheetData>
  <autoFilter ref="C3:CE63"/>
  <mergeCells count="48">
    <mergeCell ref="AE65:AF65"/>
    <mergeCell ref="AB65:AC65"/>
    <mergeCell ref="Y65:Z65"/>
    <mergeCell ref="AE1:AG1"/>
    <mergeCell ref="AB1:AD1"/>
    <mergeCell ref="Y1:AA1"/>
    <mergeCell ref="BX1:BZ1"/>
    <mergeCell ref="BX65:BY65"/>
    <mergeCell ref="CA1:CC1"/>
    <mergeCell ref="CA65:CB65"/>
    <mergeCell ref="BR1:BT1"/>
    <mergeCell ref="BR65:BS65"/>
    <mergeCell ref="BU1:BW1"/>
    <mergeCell ref="BU65:BV65"/>
    <mergeCell ref="BL1:BN1"/>
    <mergeCell ref="BL65:BM65"/>
    <mergeCell ref="BO1:BQ1"/>
    <mergeCell ref="BO65:BP65"/>
    <mergeCell ref="AZ1:BB1"/>
    <mergeCell ref="AZ65:BA65"/>
    <mergeCell ref="BC1:BE1"/>
    <mergeCell ref="BC65:BD65"/>
    <mergeCell ref="BF1:BH1"/>
    <mergeCell ref="BF65:BG65"/>
    <mergeCell ref="BI1:BK1"/>
    <mergeCell ref="BI65:BJ65"/>
    <mergeCell ref="V1:X1"/>
    <mergeCell ref="J65:K65"/>
    <mergeCell ref="M65:N65"/>
    <mergeCell ref="P65:Q65"/>
    <mergeCell ref="S65:T65"/>
    <mergeCell ref="V65:W65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5:AU65"/>
    <mergeCell ref="AW65:AX65"/>
    <mergeCell ref="AH65:AI65"/>
    <mergeCell ref="AK65:AL65"/>
    <mergeCell ref="AN65:AO65"/>
    <mergeCell ref="AQ65:AR65"/>
  </mergeCells>
  <phoneticPr fontId="2" type="noConversion"/>
  <conditionalFormatting sqref="I69">
    <cfRule type="cellIs" dxfId="74" priority="36" stopIfTrue="1" operator="lessThan">
      <formula>C69*0.75</formula>
    </cfRule>
    <cfRule type="cellIs" dxfId="73" priority="36" stopIfTrue="1" operator="between">
      <formula>C69*0.75</formula>
      <formula>#REF!</formula>
    </cfRule>
    <cfRule type="cellIs" dxfId="72" priority="36" stopIfTrue="1" operator="greaterThan">
      <formula>C69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71" priority="28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70" priority="29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69" priority="30" stopIfTrue="1">
      <formula>J$1=TODAY()+DailyScrumDateModifier</formula>
    </cfRule>
  </conditionalFormatting>
  <conditionalFormatting sqref="S4:S15 AW4:AW15 AT4:AT15 AQ4:AQ15 AN4:AN15 AK4:AK15 AH4:AH15 AE4:AE15 AB4:AB15 Y4:Y15 V4:V15 CA4:CA15 BX4:BX15 BU4:BU15 BR4:BR15 BO4:BO15 BL4:BL15 BI4:BI15 BF4:BF15 BC4:BC15 AZ4:AZ15 M4:M15 J4:J15 P4:P15 P17:P20 J17:J20 M17:M20 AZ17:AZ20 BC17:BC20 BF17:BF20 BI17:BI20 BL17:BL20 BO17:BO20 BR17:BR20 BU17:BU20 BX17:BX20 CA17:CA20 V17:V20 Y17:Y20 AB17:AB20 AE17:AE20 AH17:AH20 AK17:AK20 AN17:AN20 AQ17:AQ20 AT17:AT20 AW17:AW20 S17:S20 S22:S63 AW22:AW63 AT22:AT63 AQ22:AQ63 AN22:AN63 AK22:AK63 AH22:AH63 AE22:AE63 AB22:AB63 Y22:Y63 V22:V63 CA22:CA63 BX22:BX63 BU22:BU63 BR22:BR63 BO22:BO63 BL22:BL63 BI22:BI63 BF22:BF63 BC22:BC63 AZ22:AZ63 M22:M63 J22:J63 P22:P63">
    <cfRule type="expression" dxfId="68" priority="39" stopIfTrue="1">
      <formula>J$1=TODAY()+DailyScrumDateModifier</formula>
    </cfRule>
    <cfRule type="expression" dxfId="67" priority="39" stopIfTrue="1">
      <formula>MOD(ROW(),2)</formula>
    </cfRule>
  </conditionalFormatting>
  <conditionalFormatting sqref="N4:N15 AX4:AX15 AU4:AU15 AR4:AR15 AL4:AL15 AF4:AF15 AC4:AC15 Z4:Z15 W4:W15 Q4:Q15 CB4:CB15 BY4:BY15 BV4:BV15 BS4:BS15 BP4:BP15 BM4:BM15 BJ4:BJ15 BG4:BG15 BD4:BD15 BA4:BA15 K4:K15 T4:T15 AI4:AI15 AO4:AO15 AO17:AO20 AI17:AI20 T17:T20 K17:K20 BA17:BA20 BD17:BD20 BG17:BG20 BJ17:BJ20 BM17:BM20 BP17:BP20 BS17:BS20 BV17:BV20 BY17:BY20 CB17:CB20 Q17:Q20 W17:W20 Z17:Z20 AC17:AC20 AF17:AF20 AL17:AL20 AR17:AR20 AU17:AU20 AX17:AX20 N17:N20 N22:N63 AX22:AX63 AU22:AU63 AR22:AR63 AL22:AL63 AF22:AF63 AC22:AC63 Z22:Z63 W22:W63 Q22:Q63 CB22:CB63 BY22:BY63 BV22:BV63 BS22:BS63 BP22:BP63 BM22:BM63 BJ22:BJ63 BG22:BG63 BD22:BD63 BA22:BA63 K22:K63 T22:T63 AI22:AI63 AO22:AO63">
    <cfRule type="expression" dxfId="66" priority="41" stopIfTrue="1">
      <formula>J$1=TODAY()+DailyScrumDateModifier</formula>
    </cfRule>
    <cfRule type="expression" dxfId="65" priority="41" stopIfTrue="1">
      <formula>MOD(ROW(),2)</formula>
    </cfRule>
  </conditionalFormatting>
  <conditionalFormatting sqref="CE4:CE15 A24:E63 A4:E15 A19:D20 H4:I15 H17:I20 CE17:CE20 A17:C18 E17:E18 CE22:CE64 H22:I63 A22:C23 E23">
    <cfRule type="expression" dxfId="64" priority="43" stopIfTrue="1">
      <formula>MOD(ROW(),2)</formula>
    </cfRule>
  </conditionalFormatting>
  <conditionalFormatting sqref="CC4:CC15 BZ4:BZ15 BW4:BW15 BT4:BT15 BQ4:BQ15 BN4:BN15 BK4:BK15 BH4:BH15 BE4:BE15 BB4:BB15 X4:X15 U4:U15 R4:R15 O4:O15 AY4:AY15 AV4:AV15 AS4:AS15 AP4:AP15 AM4:AM15 AJ4:AJ15 AG4:AG15 AD4:AD15 AA4:AA15 L4:L15 L17:L20 AA17:AA20 AD17:AD20 AG17:AG20 AJ17:AJ20 AM17:AM20 AP17:AP20 AS17:AS20 AV17:AV20 AY17:AY20 O17:O20 R17:R20 U17:U20 X17:X20 BB17:BB20 BE17:BE20 BH17:BH20 BK17:BK20 BN17:BN20 BQ17:BQ20 BT17:BT20 BW17:BW20 BZ17:BZ20 CC17:CC20 CC22:CC63 BZ22:BZ63 BW22:BW63 BT22:BT63 BQ22:BQ63 BN22:BN63 BK22:BK63 BH22:BH63 BE22:BE63 BB22:BB63 X22:X63 U22:U63 R22:R63 O22:O63 AY22:AY63 AV22:AV63 AS22:AS63 AP22:AP63 AM22:AM63 AJ22:AJ63 AG22:AG63 AD22:AD63 AA22:AA63 L22:L63">
    <cfRule type="cellIs" dxfId="63" priority="44" stopIfTrue="1" operator="equal">
      <formula>"Pending"</formula>
    </cfRule>
    <cfRule type="cellIs" dxfId="62" priority="44" stopIfTrue="1" operator="equal">
      <formula>"In Progress"</formula>
    </cfRule>
    <cfRule type="cellIs" dxfId="61" priority="44" stopIfTrue="1" operator="equal">
      <formula>"Complete"</formula>
    </cfRule>
  </conditionalFormatting>
  <conditionalFormatting sqref="J1:CC1">
    <cfRule type="expression" dxfId="60" priority="31" stopIfTrue="1">
      <formula>J$1=TODAY()+DailyScrumDateModifier</formula>
    </cfRule>
    <cfRule type="expression" dxfId="59" priority="31" stopIfTrue="1">
      <formula>J$1=TODAY()</formula>
    </cfRule>
  </conditionalFormatting>
  <conditionalFormatting sqref="J70:K71 M70:N71">
    <cfRule type="expression" dxfId="58" priority="33" stopIfTrue="1">
      <formula>"I1=TODAY()"</formula>
    </cfRule>
  </conditionalFormatting>
  <conditionalFormatting sqref="G65">
    <cfRule type="cellIs" dxfId="57" priority="34" stopIfTrue="1" operator="equal">
      <formula>"Complete"</formula>
    </cfRule>
    <cfRule type="cellIs" dxfId="56" priority="34" stopIfTrue="1" operator="equal">
      <formula>"In Progress"</formula>
    </cfRule>
  </conditionalFormatting>
  <conditionalFormatting sqref="G4:G15 G17:G20 G22:G63">
    <cfRule type="cellIs" dxfId="55" priority="47" stopIfTrue="1" operator="equal">
      <formula>"Complete"</formula>
    </cfRule>
    <cfRule type="cellIs" dxfId="54" priority="47" stopIfTrue="1" operator="equal">
      <formula>"In Progress"</formula>
    </cfRule>
    <cfRule type="cellIs" dxfId="53" priority="47" stopIfTrue="1" operator="equal">
      <formula>"Pending"</formula>
    </cfRule>
  </conditionalFormatting>
  <conditionalFormatting sqref="E19:E20">
    <cfRule type="expression" dxfId="52" priority="25" stopIfTrue="1">
      <formula>MOD(ROW(),2)</formula>
    </cfRule>
  </conditionalFormatting>
  <conditionalFormatting sqref="P16 J16 M16 AZ16 BC16 BF16 BI16 BL16 BO16 BR16 BU16 BX16 CA16 V16 Y16 AB16 AE16 AH16 AK16 AN16 AQ16 AT16 AW16 S16">
    <cfRule type="expression" dxfId="51" priority="-1" stopIfTrue="1">
      <formula>MOD(ROW(),2)</formula>
    </cfRule>
    <cfRule type="expression" dxfId="50" priority="14" stopIfTrue="1">
      <formula>J$1=TODAY()+DailyScrumDateModifier</formula>
    </cfRule>
  </conditionalFormatting>
  <conditionalFormatting sqref="AO16 AI16 T16 K16 BA16 BD16 BG16 BJ16 BM16 BP16 BS16 BV16 BY16 CB16 Q16 W16 Z16 AC16 AF16 AL16 AR16 AU16 AX16 N16">
    <cfRule type="expression" dxfId="49" priority="-1" stopIfTrue="1">
      <formula>MOD(ROW(),2)</formula>
    </cfRule>
    <cfRule type="expression" dxfId="48" priority="15" stopIfTrue="1">
      <formula>J$1=TODAY()+DailyScrumDateModifier</formula>
    </cfRule>
  </conditionalFormatting>
  <conditionalFormatting sqref="H16:I16 A16:E16 CE16 D17:D18">
    <cfRule type="expression" dxfId="47" priority="16" stopIfTrue="1">
      <formula>MOD(ROW(),2)</formula>
    </cfRule>
  </conditionalFormatting>
  <conditionalFormatting sqref="L16 AA16 AD16 AG16 AJ16 AM16 AP16 AS16 AV16 AY16 O16 R16 U16 X16 BB16 BE16 BH16 BK16 BN16 BQ16 BT16 BW16 BZ16 CC16">
    <cfRule type="cellIs" dxfId="46" priority="-1" stopIfTrue="1" operator="equal">
      <formula>"In Progress"</formula>
    </cfRule>
    <cfRule type="cellIs" dxfId="45" priority="-1" stopIfTrue="1" operator="equal">
      <formula>"Complete"</formula>
    </cfRule>
    <cfRule type="cellIs" dxfId="44" priority="17" stopIfTrue="1" operator="equal">
      <formula>"Pending"</formula>
    </cfRule>
  </conditionalFormatting>
  <conditionalFormatting sqref="G16">
    <cfRule type="cellIs" dxfId="43" priority="-1" stopIfTrue="1" operator="equal">
      <formula>"In Progress"</formula>
    </cfRule>
    <cfRule type="cellIs" dxfId="42" priority="-1" stopIfTrue="1" operator="equal">
      <formula>"Pending"</formula>
    </cfRule>
    <cfRule type="cellIs" dxfId="41" priority="18" stopIfTrue="1" operator="equal">
      <formula>"Complete"</formula>
    </cfRule>
  </conditionalFormatting>
  <conditionalFormatting sqref="S21 AW21 AT21 AQ21 AN21 AK21 AH21 AE21 AB21 Y21 V21 CA21 BX21 BU21 BR21 BO21 BL21 BI21 BF21 BC21 AZ21 M21 J21 P21">
    <cfRule type="expression" dxfId="14" priority="3" stopIfTrue="1">
      <formula>J$1=TODAY()+DailyScrumDateModifier</formula>
    </cfRule>
    <cfRule type="expression" dxfId="13" priority="-1" stopIfTrue="1">
      <formula>MOD(ROW(),2)</formula>
    </cfRule>
  </conditionalFormatting>
  <conditionalFormatting sqref="N21 AX21 AU21 AR21 AL21 AF21 AC21 Z21 W21 Q21 CB21 BY21 BV21 BS21 BP21 BM21 BJ21 BG21 BD21 BA21 K21 T21 AI21 AO21">
    <cfRule type="expression" dxfId="12" priority="4" stopIfTrue="1">
      <formula>J$1=TODAY()+DailyScrumDateModifier</formula>
    </cfRule>
    <cfRule type="expression" dxfId="11" priority="-1" stopIfTrue="1">
      <formula>MOD(ROW(),2)</formula>
    </cfRule>
  </conditionalFormatting>
  <conditionalFormatting sqref="CE21 H21:I21 A21:D21 D22:D23">
    <cfRule type="expression" dxfId="10" priority="5" stopIfTrue="1">
      <formula>MOD(ROW(),2)</formula>
    </cfRule>
  </conditionalFormatting>
  <conditionalFormatting sqref="CC21 BZ21 BW21 BT21 BQ21 BN21 BK21 BH21 BE21 BB21 X21 U21 R21 O21 AY21 AV21 AS21 AP21 AM21 AJ21 AG21 AD21 AA21 L21">
    <cfRule type="cellIs" dxfId="9" priority="6" stopIfTrue="1" operator="equal">
      <formula>"Pending"</formula>
    </cfRule>
    <cfRule type="cellIs" dxfId="8" priority="-1" stopIfTrue="1" operator="equal">
      <formula>"In Progress"</formula>
    </cfRule>
    <cfRule type="cellIs" dxfId="7" priority="-1" stopIfTrue="1" operator="equal">
      <formula>"Complete"</formula>
    </cfRule>
  </conditionalFormatting>
  <conditionalFormatting sqref="G21">
    <cfRule type="cellIs" dxfId="6" priority="7" stopIfTrue="1" operator="equal">
      <formula>"Complete"</formula>
    </cfRule>
    <cfRule type="cellIs" dxfId="5" priority="-1" stopIfTrue="1" operator="equal">
      <formula>"In Progress"</formula>
    </cfRule>
    <cfRule type="cellIs" dxfId="4" priority="-1" stopIfTrue="1" operator="equal">
      <formula>"Pending"</formula>
    </cfRule>
  </conditionalFormatting>
  <conditionalFormatting sqref="E21">
    <cfRule type="expression" dxfId="3" priority="2" stopIfTrue="1">
      <formula>MOD(ROW(),2)</formula>
    </cfRule>
  </conditionalFormatting>
  <conditionalFormatting sqref="E22">
    <cfRule type="expression" dxfId="1" priority="1" stopIfTrue="1">
      <formula>MOD(ROW(),2)</formula>
    </cfRule>
  </conditionalFormatting>
  <dataValidations count="3">
    <dataValidation type="list" allowBlank="1" showInputMessage="1" showErrorMessage="1" sqref="F4:F63">
      <formula1>Members</formula1>
    </dataValidation>
    <dataValidation type="list" allowBlank="1" showInputMessage="1" showErrorMessage="1" sqref="A4:A63">
      <formula1>Worktype</formula1>
    </dataValidation>
    <dataValidation type="list" allowBlank="1" showInputMessage="1" showErrorMessage="1" sqref="B4:B63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23" workbookViewId="0">
      <selection activeCell="E41" sqref="E41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40868</v>
      </c>
      <c r="F20" s="164">
        <f t="shared" si="0"/>
        <v>40869</v>
      </c>
      <c r="G20" s="164">
        <f t="shared" si="0"/>
        <v>40870</v>
      </c>
      <c r="H20" s="164">
        <f t="shared" si="0"/>
        <v>40871</v>
      </c>
      <c r="I20" s="164">
        <f t="shared" si="0"/>
        <v>40872</v>
      </c>
      <c r="J20" s="164">
        <f t="shared" si="0"/>
        <v>40873</v>
      </c>
      <c r="K20" s="164">
        <f t="shared" si="0"/>
        <v>40874</v>
      </c>
      <c r="L20" s="164">
        <f t="shared" si="0"/>
        <v>40875</v>
      </c>
      <c r="M20" s="164">
        <f t="shared" si="0"/>
        <v>40876</v>
      </c>
      <c r="N20" s="164">
        <f t="shared" si="0"/>
        <v>40877</v>
      </c>
      <c r="O20" s="164">
        <f t="shared" si="0"/>
        <v>40878</v>
      </c>
      <c r="P20" s="164">
        <f t="shared" si="0"/>
        <v>40879</v>
      </c>
      <c r="Q20" s="164">
        <f t="shared" si="0"/>
        <v>40880</v>
      </c>
      <c r="R20" s="164">
        <f t="shared" si="0"/>
        <v>40881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147</v>
      </c>
      <c r="F22" s="162" t="e">
        <f t="shared" ca="1" si="1"/>
        <v>#N/A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2</v>
      </c>
      <c r="F23" s="163" t="e">
        <f t="shared" ca="1" si="2"/>
        <v>#N/A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2</v>
      </c>
      <c r="F24" s="163" t="e">
        <f ca="1">IF(F20&gt;TODAY(), #N/A, SUM($E23:F23))</f>
        <v>#N/A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149</v>
      </c>
      <c r="F25" s="163" t="e">
        <f t="shared" ca="1" si="3"/>
        <v>#N/A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2</v>
      </c>
      <c r="F27" s="168" t="e">
        <f t="shared" ca="1" si="4"/>
        <v>#N/A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40941.5</v>
      </c>
      <c r="F28" s="169" t="e">
        <f t="shared" ca="1" si="5"/>
        <v>#N/A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40941.5</v>
      </c>
      <c r="F29" s="169" t="e">
        <f t="shared" ca="1" si="6"/>
        <v>#N/A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147</v>
      </c>
      <c r="F31" s="165" t="e">
        <f t="shared" ca="1" si="7"/>
        <v>#N/A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 t="e">
        <f t="shared" ca="1" si="8"/>
        <v>#N/A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2</v>
      </c>
      <c r="F33" s="165" t="e">
        <f t="shared" ca="1" si="9"/>
        <v>#N/A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59</v>
      </c>
      <c r="F35" s="165" t="e">
        <f t="shared" ca="1" si="10"/>
        <v>#N/A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 t="e">
        <f t="shared" ca="1" si="11"/>
        <v>#N/A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1</v>
      </c>
      <c r="F37" s="165" t="e">
        <f t="shared" ca="1" si="12"/>
        <v>#N/A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40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7" sqref="F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4.7109375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seg</v>
      </c>
      <c r="E2" s="48">
        <f ca="1">TODAY()</f>
        <v>40868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40868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9" t="s">
        <v>47</v>
      </c>
      <c r="C5" s="200"/>
      <c r="D5" s="200"/>
      <c r="E5" s="200"/>
      <c r="F5" s="200"/>
      <c r="G5" s="201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2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02"/>
      <c r="X6" s="203"/>
      <c r="Y6" s="203"/>
      <c r="Z6" s="203"/>
      <c r="AA6" s="203"/>
      <c r="AB6" s="204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 ca="1">SUM(G8:G25)</f>
        <v>0</v>
      </c>
      <c r="D8" s="80"/>
      <c r="E8" s="81"/>
      <c r="F8" s="82">
        <v>1</v>
      </c>
      <c r="G8" s="83">
        <f ca="1">SUMIF(Sprint!$F$3:$F$1856,E8,Sprint!$AX$4:$AX$1856)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196">
        <f t="shared" ref="W8:W25" si="5">IF(E8="unassigned",0,(COUNTIF(I8:V8,1)*$C$6)*F8)</f>
        <v>0</v>
      </c>
      <c r="X8" s="197"/>
      <c r="Y8" s="197"/>
      <c r="Z8" s="197"/>
      <c r="AA8" s="197"/>
      <c r="AB8" s="198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 ca="1">SUMIF(Sprint!$F$3:$F$1856,E9,Sprint!$AX$4:$AX$1856)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196">
        <f t="shared" si="5"/>
        <v>0</v>
      </c>
      <c r="X9" s="197"/>
      <c r="Y9" s="197"/>
      <c r="Z9" s="197"/>
      <c r="AA9" s="197"/>
      <c r="AB9" s="198"/>
    </row>
    <row r="10" spans="2:28" ht="13.5" thickBot="1" x14ac:dyDescent="0.25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 ca="1">SUMIF(Sprint!$F$3:$F$1856,E10,Sprint!$AX$4:$AX$1856)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196">
        <f t="shared" si="5"/>
        <v>0</v>
      </c>
      <c r="X10" s="197"/>
      <c r="Y10" s="197"/>
      <c r="Z10" s="197"/>
      <c r="AA10" s="197"/>
      <c r="AB10" s="198"/>
    </row>
    <row r="11" spans="2:28" ht="13.5" thickBot="1" x14ac:dyDescent="0.25">
      <c r="B11" s="96"/>
      <c r="D11" s="97"/>
      <c r="E11" s="18"/>
      <c r="F11" s="89">
        <v>1</v>
      </c>
      <c r="G11" s="83">
        <f ca="1">SUMIF(Sprint!$F$3:$F$1856,E11,Sprint!$AX$4:$AX$1856)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196">
        <f t="shared" si="5"/>
        <v>0</v>
      </c>
      <c r="X11" s="197"/>
      <c r="Y11" s="197"/>
      <c r="Z11" s="197"/>
      <c r="AA11" s="197"/>
      <c r="AB11" s="198"/>
    </row>
    <row r="12" spans="2:28" ht="13.5" thickBot="1" x14ac:dyDescent="0.25">
      <c r="B12" s="96"/>
      <c r="D12" s="97"/>
      <c r="E12" s="18"/>
      <c r="F12" s="89"/>
      <c r="G12" s="83">
        <f ca="1">SUMIF(Sprint!$F$3:$F$1856,E12,Sprint!$AX$4:$AX$1856)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196">
        <f t="shared" si="5"/>
        <v>0</v>
      </c>
      <c r="X12" s="197"/>
      <c r="Y12" s="197"/>
      <c r="Z12" s="197"/>
      <c r="AA12" s="197"/>
      <c r="AB12" s="198"/>
    </row>
    <row r="13" spans="2:28" ht="13.5" thickBot="1" x14ac:dyDescent="0.25">
      <c r="B13" s="96"/>
      <c r="D13" s="98"/>
      <c r="E13" s="18"/>
      <c r="F13" s="89"/>
      <c r="G13" s="83">
        <f ca="1">SUMIF(Sprint!$F$3:$F$1856,E13,Sprint!$AX$4:$AX$1856)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196">
        <f t="shared" si="5"/>
        <v>0</v>
      </c>
      <c r="X13" s="197"/>
      <c r="Y13" s="197"/>
      <c r="Z13" s="197"/>
      <c r="AA13" s="197"/>
      <c r="AB13" s="198"/>
    </row>
    <row r="14" spans="2:28" ht="13.5" thickBot="1" x14ac:dyDescent="0.25">
      <c r="B14" s="96"/>
      <c r="D14" s="62"/>
      <c r="E14" s="18"/>
      <c r="F14" s="89"/>
      <c r="G14" s="83">
        <f ca="1">SUMIF(Sprint!$F$3:$F$1856,E14,Sprint!$AX$4:$AX$1856)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196">
        <f t="shared" si="5"/>
        <v>0</v>
      </c>
      <c r="X14" s="197"/>
      <c r="Y14" s="197"/>
      <c r="Z14" s="197"/>
      <c r="AA14" s="197"/>
      <c r="AB14" s="198"/>
    </row>
    <row r="15" spans="2:28" ht="13.5" thickBot="1" x14ac:dyDescent="0.25">
      <c r="B15" s="96"/>
      <c r="D15" s="62"/>
      <c r="E15" s="18"/>
      <c r="F15" s="89"/>
      <c r="G15" s="83">
        <f ca="1">SUMIF(Sprint!$F$3:$F$1856,E15,Sprint!$AX$4:$AX$1856)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196">
        <f t="shared" si="5"/>
        <v>0</v>
      </c>
      <c r="X15" s="197"/>
      <c r="Y15" s="197"/>
      <c r="Z15" s="197"/>
      <c r="AA15" s="197"/>
      <c r="AB15" s="198"/>
    </row>
    <row r="16" spans="2:28" ht="13.5" thickBot="1" x14ac:dyDescent="0.25">
      <c r="B16" s="96"/>
      <c r="D16" s="98"/>
      <c r="E16" s="18"/>
      <c r="F16" s="89"/>
      <c r="G16" s="83">
        <f ca="1">SUMIF(Sprint!$F$3:$F$1856,E16,Sprint!$AX$4:$AX$1856)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196">
        <f t="shared" si="5"/>
        <v>0</v>
      </c>
      <c r="X16" s="197"/>
      <c r="Y16" s="197"/>
      <c r="Z16" s="197"/>
      <c r="AA16" s="197"/>
      <c r="AB16" s="198"/>
    </row>
    <row r="17" spans="2:28" ht="13.5" thickBot="1" x14ac:dyDescent="0.25">
      <c r="B17" s="96"/>
      <c r="D17" s="98"/>
      <c r="E17" s="18"/>
      <c r="F17" s="89"/>
      <c r="G17" s="83">
        <f ca="1">SUMIF(Sprint!$F$3:$F$1856,E17,Sprint!$AX$4:$AX$1856)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196">
        <f t="shared" si="5"/>
        <v>0</v>
      </c>
      <c r="X17" s="197"/>
      <c r="Y17" s="197"/>
      <c r="Z17" s="197"/>
      <c r="AA17" s="197"/>
      <c r="AB17" s="198"/>
    </row>
    <row r="18" spans="2:28" ht="13.5" thickBot="1" x14ac:dyDescent="0.25">
      <c r="B18" s="96"/>
      <c r="D18" s="98"/>
      <c r="E18" s="18"/>
      <c r="F18" s="89"/>
      <c r="G18" s="83">
        <f ca="1">SUMIF(Sprint!$F$3:$F$1856,E18,Sprint!$AX$4:$AX$1856)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196">
        <f t="shared" si="5"/>
        <v>0</v>
      </c>
      <c r="X18" s="197"/>
      <c r="Y18" s="197"/>
      <c r="Z18" s="197"/>
      <c r="AA18" s="197"/>
      <c r="AB18" s="198"/>
    </row>
    <row r="19" spans="2:28" ht="13.5" thickBot="1" x14ac:dyDescent="0.25">
      <c r="B19" s="96"/>
      <c r="D19" s="98"/>
      <c r="E19" s="18"/>
      <c r="F19" s="89"/>
      <c r="G19" s="83">
        <f ca="1">SUMIF(Sprint!$F$3:$F$1856,E19,Sprint!$AX$4:$AX$1856)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196">
        <f t="shared" si="5"/>
        <v>0</v>
      </c>
      <c r="X19" s="197"/>
      <c r="Y19" s="197"/>
      <c r="Z19" s="197"/>
      <c r="AA19" s="197"/>
      <c r="AB19" s="198"/>
    </row>
    <row r="20" spans="2:28" ht="13.5" thickBot="1" x14ac:dyDescent="0.25">
      <c r="B20" s="96"/>
      <c r="D20" s="98"/>
      <c r="E20" s="18"/>
      <c r="F20" s="89"/>
      <c r="G20" s="83">
        <f ca="1">SUMIF(Sprint!$F$3:$F$1856,E20,Sprint!$AX$4:$AX$1856)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196">
        <f t="shared" si="5"/>
        <v>0</v>
      </c>
      <c r="X20" s="197"/>
      <c r="Y20" s="197"/>
      <c r="Z20" s="197"/>
      <c r="AA20" s="197"/>
      <c r="AB20" s="198"/>
    </row>
    <row r="21" spans="2:28" ht="13.5" thickBot="1" x14ac:dyDescent="0.25">
      <c r="B21" s="96"/>
      <c r="C21" s="100"/>
      <c r="D21" s="98"/>
      <c r="E21" s="18"/>
      <c r="F21" s="89"/>
      <c r="G21" s="83">
        <f ca="1">SUMIF(Sprint!$F$3:$F$1856,E21,Sprint!$AX$4:$AX$1856)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196">
        <f t="shared" si="5"/>
        <v>0</v>
      </c>
      <c r="X21" s="197"/>
      <c r="Y21" s="197"/>
      <c r="Z21" s="197"/>
      <c r="AA21" s="197"/>
      <c r="AB21" s="198"/>
    </row>
    <row r="22" spans="2:28" ht="13.5" thickBot="1" x14ac:dyDescent="0.25">
      <c r="B22" s="70"/>
      <c r="C22" s="101"/>
      <c r="D22" s="98"/>
      <c r="E22" s="18"/>
      <c r="F22" s="102"/>
      <c r="G22" s="83">
        <f ca="1">SUMIF(Sprint!$F$3:$F$1856,E22,Sprint!$AX$4:$AX$1856)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196">
        <f t="shared" si="5"/>
        <v>0</v>
      </c>
      <c r="X22" s="197"/>
      <c r="Y22" s="197"/>
      <c r="Z22" s="197"/>
      <c r="AA22" s="197"/>
      <c r="AB22" s="198"/>
    </row>
    <row r="23" spans="2:28" ht="13.5" thickBot="1" x14ac:dyDescent="0.25">
      <c r="B23" s="70"/>
      <c r="D23" s="98"/>
      <c r="E23" s="18"/>
      <c r="F23" s="102"/>
      <c r="G23" s="83">
        <f ca="1">SUMIF(Sprint!$F$3:$F$1856,E23,Sprint!$AX$4:$AX$1856)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196">
        <f t="shared" si="5"/>
        <v>0</v>
      </c>
      <c r="X23" s="197"/>
      <c r="Y23" s="197"/>
      <c r="Z23" s="197"/>
      <c r="AA23" s="197"/>
      <c r="AB23" s="198"/>
    </row>
    <row r="24" spans="2:28" ht="13.5" thickBot="1" x14ac:dyDescent="0.25">
      <c r="B24" s="96"/>
      <c r="D24" s="98"/>
      <c r="E24" s="18"/>
      <c r="F24" s="102"/>
      <c r="G24" s="83">
        <f ca="1">SUMIF(Sprint!$F$3:$F$1856,E24,Sprint!$AX$4:$AX$1856)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196">
        <f t="shared" si="5"/>
        <v>0</v>
      </c>
      <c r="X24" s="197"/>
      <c r="Y24" s="197"/>
      <c r="Z24" s="197"/>
      <c r="AA24" s="197"/>
      <c r="AB24" s="198"/>
    </row>
    <row r="25" spans="2:28" ht="13.5" thickBot="1" x14ac:dyDescent="0.25">
      <c r="B25" s="96"/>
      <c r="D25" s="98"/>
      <c r="E25" s="103"/>
      <c r="F25" s="104"/>
      <c r="G25" s="83">
        <f ca="1">SUMIF(Sprint!$F$3:$F$1856,E25,Sprint!$AX$4:$AX$1856)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196">
        <f t="shared" si="5"/>
        <v>0</v>
      </c>
      <c r="X25" s="197"/>
      <c r="Y25" s="197"/>
      <c r="Z25" s="197"/>
      <c r="AA25" s="197"/>
      <c r="AB25" s="198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39" priority="2" stopIfTrue="1">
      <formula>G8&gt;W8</formula>
    </cfRule>
  </conditionalFormatting>
  <conditionalFormatting sqref="I8:M25 P8:T25">
    <cfRule type="cellIs" dxfId="38" priority="5" stopIfTrue="1" operator="equal">
      <formula>"H"</formula>
    </cfRule>
    <cfRule type="cellIs" dxfId="37" priority="6" stopIfTrue="1" operator="equal">
      <formula>"V"</formula>
    </cfRule>
    <cfRule type="expression" dxfId="36" priority="7" stopIfTrue="1">
      <formula>IF(I$6&lt;$E$2,1,0)</formula>
    </cfRule>
  </conditionalFormatting>
  <conditionalFormatting sqref="X30:X34 X26:X28 J32:J34 J26:J30 I26:I34 Q29 T26:W34 N8:O25 K26:O34 U8:V25 P30:S34 P26:S28">
    <cfRule type="cellIs" dxfId="35" priority="13" stopIfTrue="1" operator="equal">
      <formula>"DIO"</formula>
    </cfRule>
    <cfRule type="cellIs" dxfId="34" priority="14" stopIfTrue="1" operator="equal">
      <formula>"H"</formula>
    </cfRule>
    <cfRule type="cellIs" dxfId="33" priority="15" stopIfTrue="1" operator="equal">
      <formula>"V"</formula>
    </cfRule>
  </conditionalFormatting>
  <conditionalFormatting sqref="P6">
    <cfRule type="expression" dxfId="32" priority="21" stopIfTrue="1">
      <formula>P$6=TODAY()</formula>
    </cfRule>
    <cfRule type="expression" dxfId="31" priority="22" stopIfTrue="1">
      <formula>IF((P$6+1-$E$3)=$F$6,1,0)</formula>
    </cfRule>
  </conditionalFormatting>
  <conditionalFormatting sqref="Q6:V6 J6:O6">
    <cfRule type="expression" dxfId="30" priority="23" stopIfTrue="1">
      <formula>J$6=TODAY()</formula>
    </cfRule>
    <cfRule type="expression" dxfId="29" priority="24" stopIfTrue="1">
      <formula>IF((J$6+1-$E$3)=$F$6,1,0)</formula>
    </cfRule>
  </conditionalFormatting>
  <conditionalFormatting sqref="I6">
    <cfRule type="expression" dxfId="28" priority="25" stopIfTrue="1">
      <formula>I$6=TODAY()</formula>
    </cfRule>
    <cfRule type="expression" dxfId="27" priority="26" stopIfTrue="1">
      <formula>IF((J$6+1-$E$3)=$F$6,1,0)</formula>
    </cfRule>
  </conditionalFormatting>
  <conditionalFormatting sqref="F26:F27 F8:F21">
    <cfRule type="expression" dxfId="26" priority="1" stopIfTrue="1">
      <formula>H8&gt;X8</formula>
    </cfRule>
  </conditionalFormatting>
  <conditionalFormatting sqref="F30:F33">
    <cfRule type="expression" dxfId="25" priority="4" stopIfTrue="1">
      <formula>H28&gt;X28</formula>
    </cfRule>
  </conditionalFormatting>
  <conditionalFormatting sqref="C10">
    <cfRule type="cellIs" dxfId="24" priority="8" stopIfTrue="1" operator="greaterThan">
      <formula>0</formula>
    </cfRule>
    <cfRule type="cellIs" dxfId="23" priority="9" stopIfTrue="1" operator="lessThanOrEqual">
      <formula>0</formula>
    </cfRule>
  </conditionalFormatting>
  <conditionalFormatting sqref="C22 D14:D15 D6:D12 C6:C9">
    <cfRule type="cellIs" dxfId="22" priority="10" stopIfTrue="1" operator="equal">
      <formula>"3A"</formula>
    </cfRule>
    <cfRule type="cellIs" dxfId="21" priority="11" stopIfTrue="1" operator="equal">
      <formula>"3B"</formula>
    </cfRule>
  </conditionalFormatting>
  <conditionalFormatting sqref="G32:G34 G6">
    <cfRule type="cellIs" dxfId="20" priority="12" stopIfTrue="1" operator="equal">
      <formula>"Done"</formula>
    </cfRule>
  </conditionalFormatting>
  <conditionalFormatting sqref="I7:K7 M7:W7">
    <cfRule type="cellIs" dxfId="19" priority="16" stopIfTrue="1" operator="equal">
      <formula>"DIO"</formula>
    </cfRule>
    <cfRule type="cellIs" dxfId="18" priority="17" stopIfTrue="1" operator="equal">
      <formula>"H"</formula>
    </cfRule>
    <cfRule type="cellIs" dxfId="17" priority="18" stopIfTrue="1" operator="equal">
      <formula>"V"</formula>
    </cfRule>
  </conditionalFormatting>
  <conditionalFormatting sqref="L7">
    <cfRule type="cellIs" dxfId="16" priority="19" stopIfTrue="1" operator="equal">
      <formula>"DIO"</formula>
    </cfRule>
    <cfRule type="cellIs" dxfId="15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A17" sqref="A17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  <c r="C4" s="43" t="s">
        <v>125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118</v>
      </c>
      <c r="D8" s="140" t="s">
        <v>118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119</v>
      </c>
      <c r="D9" s="140" t="s">
        <v>119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120</v>
      </c>
      <c r="D10" s="140" t="s">
        <v>120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121</v>
      </c>
      <c r="D11" s="140" t="s">
        <v>121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122</v>
      </c>
      <c r="D12" s="140" t="s">
        <v>122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176</v>
      </c>
      <c r="D13" s="140" t="s">
        <v>176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123</v>
      </c>
      <c r="D14" s="140" t="s">
        <v>123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124</v>
      </c>
      <c r="D15" s="140" t="s">
        <v>124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1" workbookViewId="0">
      <selection activeCell="C19" sqref="C19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COUNTIF(Sprint!$A$4:$A$94, "Feature")</f>
        <v>1</v>
      </c>
      <c r="C2" s="181">
        <f>B2/$B$6</f>
        <v>1</v>
      </c>
    </row>
    <row r="3" spans="1:3" ht="15" x14ac:dyDescent="0.25">
      <c r="A3" s="174" t="s">
        <v>106</v>
      </c>
      <c r="B3" s="175">
        <f>COUNTIF(Sprint!$A$4:$A$94,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COUNTIF(Sprint!$A$4:$A$94, "Precondition")</f>
        <v>0</v>
      </c>
      <c r="C4" s="181">
        <f t="shared" si="0"/>
        <v>0</v>
      </c>
    </row>
    <row r="5" spans="1:3" ht="15" x14ac:dyDescent="0.25">
      <c r="A5" s="174" t="s">
        <v>108</v>
      </c>
      <c r="B5" s="175">
        <f>COUNTIF(Sprint!$A$4:$A$94, "Spike")</f>
        <v>0</v>
      </c>
      <c r="C5" s="181">
        <f t="shared" si="0"/>
        <v>0</v>
      </c>
    </row>
    <row r="6" spans="1:3" ht="15" x14ac:dyDescent="0.25">
      <c r="A6" s="176" t="s">
        <v>112</v>
      </c>
      <c r="B6" s="182">
        <f>SUM(B2:B5)</f>
        <v>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126</v>
      </c>
      <c r="B9" s="175">
        <f>COUNTIF(Sprint!$B$4:$B$211, "Data Model")</f>
        <v>0</v>
      </c>
      <c r="C9" s="181" t="e">
        <f>B9/$B$25</f>
        <v>#DIV/0!</v>
      </c>
    </row>
    <row r="10" spans="1:3" ht="15" x14ac:dyDescent="0.25">
      <c r="A10" s="174" t="s">
        <v>127</v>
      </c>
      <c r="B10" s="175">
        <f>COUNTIF(Sprint!$B$4:$B$211, "Integration Model")</f>
        <v>0</v>
      </c>
      <c r="C10" s="181" t="e">
        <f>B10/$B$25</f>
        <v>#DIV/0!</v>
      </c>
    </row>
    <row r="11" spans="1:3" ht="15" x14ac:dyDescent="0.25">
      <c r="A11" s="174" t="s">
        <v>128</v>
      </c>
      <c r="B11" s="175">
        <f>COUNTIF(Sprint!$B$4:$B$211, "System Frameworks")</f>
        <v>0</v>
      </c>
      <c r="C11" s="181" t="e">
        <f>B11/$B$25</f>
        <v>#DIV/0!</v>
      </c>
    </row>
    <row r="12" spans="1:3" ht="15" x14ac:dyDescent="0.25">
      <c r="A12" s="174" t="s">
        <v>129</v>
      </c>
      <c r="B12" s="175">
        <f>COUNTIF(Sprint!$B$4:$B$211, "Data Conversions")</f>
        <v>0</v>
      </c>
      <c r="C12" s="181" t="e">
        <f>B12/$B$25</f>
        <v>#DIV/0!</v>
      </c>
    </row>
    <row r="13" spans="1:3" ht="15" x14ac:dyDescent="0.25">
      <c r="A13" s="174" t="s">
        <v>130</v>
      </c>
      <c r="B13" s="175">
        <f>COUNTIF(Sprint!$B$4:$B$211, "Security")</f>
        <v>0</v>
      </c>
      <c r="C13" s="181" t="e">
        <f t="shared" ref="C13:C24" si="1">B13/$B$25</f>
        <v>#DIV/0!</v>
      </c>
    </row>
    <row r="14" spans="1:3" ht="15" x14ac:dyDescent="0.25">
      <c r="A14" s="174" t="s">
        <v>130</v>
      </c>
      <c r="B14" s="175">
        <f>COUNTIF(Sprint!$B$4:$B$211, "Cash Payment Tracking")</f>
        <v>0</v>
      </c>
      <c r="C14" s="181" t="e">
        <f t="shared" si="1"/>
        <v>#DIV/0!</v>
      </c>
    </row>
    <row r="15" spans="1:3" ht="15" x14ac:dyDescent="0.25">
      <c r="A15" s="174" t="s">
        <v>130</v>
      </c>
      <c r="B15" s="175">
        <f>COUNTIF(Sprint!$B$4:$B$211, "Views")</f>
        <v>0</v>
      </c>
      <c r="C15" s="181" t="e">
        <f t="shared" si="1"/>
        <v>#DIV/0!</v>
      </c>
    </row>
    <row r="16" spans="1:3" ht="15" x14ac:dyDescent="0.25">
      <c r="A16" s="174" t="s">
        <v>130</v>
      </c>
      <c r="B16" s="175">
        <f>COUNTIF(Sprint!$B$4:$B$211, "Lookups")</f>
        <v>0</v>
      </c>
      <c r="C16" s="181" t="e">
        <f t="shared" si="1"/>
        <v>#DIV/0!</v>
      </c>
    </row>
    <row r="17" spans="1:3" ht="15" x14ac:dyDescent="0.25">
      <c r="A17" s="174" t="s">
        <v>130</v>
      </c>
      <c r="B17" s="175">
        <f>COUNTIF(Sprint!$B$4:$B$211, "Detail screens")</f>
        <v>0</v>
      </c>
      <c r="C17" s="181" t="e">
        <f t="shared" si="1"/>
        <v>#DIV/0!</v>
      </c>
    </row>
    <row r="18" spans="1:3" ht="15" x14ac:dyDescent="0.25">
      <c r="A18" s="174" t="s">
        <v>130</v>
      </c>
      <c r="B18" s="175">
        <f>COUNTIF(Sprint!$B$4:$B$211, "Notifications")</f>
        <v>0</v>
      </c>
      <c r="C18" s="181" t="e">
        <f t="shared" si="1"/>
        <v>#DIV/0!</v>
      </c>
    </row>
    <row r="19" spans="1:3" ht="15" x14ac:dyDescent="0.25">
      <c r="A19" s="174" t="s">
        <v>130</v>
      </c>
      <c r="B19" s="175">
        <f>COUNTIF(Sprint!$B$4:$B$211, "Reports")</f>
        <v>0</v>
      </c>
      <c r="C19" s="181" t="e">
        <f t="shared" si="1"/>
        <v>#DIV/0!</v>
      </c>
    </row>
    <row r="20" spans="1:3" ht="15" x14ac:dyDescent="0.25">
      <c r="A20" s="174" t="s">
        <v>130</v>
      </c>
      <c r="B20" s="175">
        <f>COUNTIF(Sprint!$B$4:$B$211, "Installation Package")</f>
        <v>0</v>
      </c>
      <c r="C20" s="181" t="e">
        <f t="shared" si="1"/>
        <v>#DIV/0!</v>
      </c>
    </row>
    <row r="21" spans="1:3" ht="15" x14ac:dyDescent="0.25">
      <c r="A21" s="174" t="s">
        <v>130</v>
      </c>
      <c r="B21" s="175">
        <f>COUNTIF(Sprint!$B$4:$B$211, "Deployment")</f>
        <v>0</v>
      </c>
      <c r="C21" s="181" t="e">
        <f t="shared" si="1"/>
        <v>#DIV/0!</v>
      </c>
    </row>
    <row r="22" spans="1:3" ht="15" x14ac:dyDescent="0.25">
      <c r="A22" s="174" t="s">
        <v>130</v>
      </c>
      <c r="B22" s="175">
        <f>COUNTIF(Sprint!$B$4:$B$211, "Documentation")</f>
        <v>0</v>
      </c>
      <c r="C22" s="181" t="e">
        <f t="shared" si="1"/>
        <v>#DIV/0!</v>
      </c>
    </row>
    <row r="23" spans="1:3" ht="15" x14ac:dyDescent="0.25">
      <c r="A23" s="174" t="s">
        <v>130</v>
      </c>
      <c r="B23" s="175">
        <f>COUNTIF(Sprint!$B$4:$B$211, "Testing")</f>
        <v>0</v>
      </c>
      <c r="C23" s="181" t="e">
        <f t="shared" si="1"/>
        <v>#DIV/0!</v>
      </c>
    </row>
    <row r="24" spans="1:3" ht="15" x14ac:dyDescent="0.25">
      <c r="A24" s="174" t="s">
        <v>130</v>
      </c>
      <c r="B24" s="175">
        <f>COUNTIF(Sprint!$B$4:$B$211, "Project Mgt")</f>
        <v>0</v>
      </c>
      <c r="C24" s="181" t="e">
        <f t="shared" si="1"/>
        <v>#DIV/0!</v>
      </c>
    </row>
    <row r="25" spans="1:3" ht="15" x14ac:dyDescent="0.25">
      <c r="A25" s="176" t="s">
        <v>112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111</v>
      </c>
    </row>
    <row r="28" spans="1:3" ht="15" x14ac:dyDescent="0.25">
      <c r="A28" s="174" t="s">
        <v>113</v>
      </c>
      <c r="B28" s="175">
        <f ca="1">COUNTIF(Sprint!$G$4:$G$94, "Complete")</f>
        <v>1</v>
      </c>
      <c r="C28" s="181">
        <f ca="1">B28/$B$33</f>
        <v>1.6666666666666666E-2</v>
      </c>
    </row>
    <row r="29" spans="1:3" ht="15" x14ac:dyDescent="0.25">
      <c r="A29" s="174" t="s">
        <v>114</v>
      </c>
      <c r="B29" s="175">
        <f ca="1">COUNTIF(Sprint!$G$4:$G$94,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115</v>
      </c>
      <c r="B30" s="175">
        <f ca="1">COUNTIF(Sprint!$G$4:$G$94, "Pending")</f>
        <v>59</v>
      </c>
      <c r="C30" s="181">
        <f t="shared" ca="1" si="2"/>
        <v>0.98333333333333328</v>
      </c>
    </row>
    <row r="31" spans="1:3" ht="15" x14ac:dyDescent="0.25">
      <c r="A31" s="174" t="s">
        <v>110</v>
      </c>
      <c r="B31" s="175">
        <f ca="1">COUNTIF(Sprint!$G$4:$G$94, "Postponed")</f>
        <v>0</v>
      </c>
      <c r="C31" s="181">
        <f t="shared" ca="1" si="2"/>
        <v>0</v>
      </c>
    </row>
    <row r="32" spans="1:3" ht="15" x14ac:dyDescent="0.25">
      <c r="A32" s="179" t="s">
        <v>116</v>
      </c>
      <c r="B32" s="175">
        <f ca="1">COUNTIF(Sprint!$G$4:$G$94, "Cancelled")</f>
        <v>0</v>
      </c>
      <c r="C32" s="181">
        <f t="shared" ca="1" si="2"/>
        <v>0</v>
      </c>
    </row>
    <row r="33" spans="1:3" ht="15" x14ac:dyDescent="0.25">
      <c r="A33" s="184" t="s">
        <v>112</v>
      </c>
      <c r="B33" s="185">
        <f ca="1">SUM(B28:B32)</f>
        <v>60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workbookViewId="0">
      <selection activeCell="B5" sqref="B5"/>
    </sheetView>
  </sheetViews>
  <sheetFormatPr defaultRowHeight="12.75" x14ac:dyDescent="0.2"/>
  <cols>
    <col min="1" max="1" width="4.5703125" bestFit="1" customWidth="1"/>
    <col min="2" max="2" width="88.28515625" customWidth="1"/>
  </cols>
  <sheetData>
    <row r="1" spans="1:2" x14ac:dyDescent="0.2">
      <c r="B1" s="188" t="s">
        <v>163</v>
      </c>
    </row>
    <row r="2" spans="1:2" x14ac:dyDescent="0.2">
      <c r="A2" s="187" t="s">
        <v>131</v>
      </c>
      <c r="B2" t="s">
        <v>132</v>
      </c>
    </row>
    <row r="3" spans="1:2" x14ac:dyDescent="0.2">
      <c r="A3">
        <v>1</v>
      </c>
      <c r="B3" t="s">
        <v>133</v>
      </c>
    </row>
    <row r="4" spans="1:2" x14ac:dyDescent="0.2">
      <c r="A4">
        <v>2</v>
      </c>
      <c r="B4" t="s">
        <v>134</v>
      </c>
    </row>
    <row r="5" spans="1:2" x14ac:dyDescent="0.2">
      <c r="A5">
        <v>3</v>
      </c>
      <c r="B5" t="s">
        <v>135</v>
      </c>
    </row>
    <row r="6" spans="1:2" x14ac:dyDescent="0.2">
      <c r="A6">
        <v>4</v>
      </c>
      <c r="B6" t="s">
        <v>136</v>
      </c>
    </row>
    <row r="7" spans="1:2" x14ac:dyDescent="0.2">
      <c r="A7">
        <v>5</v>
      </c>
      <c r="B7" t="s">
        <v>139</v>
      </c>
    </row>
    <row r="8" spans="1:2" x14ac:dyDescent="0.2">
      <c r="A8">
        <v>6</v>
      </c>
      <c r="B8" t="s">
        <v>137</v>
      </c>
    </row>
    <row r="9" spans="1:2" x14ac:dyDescent="0.2">
      <c r="A9">
        <v>7</v>
      </c>
      <c r="B9" t="s">
        <v>138</v>
      </c>
    </row>
    <row r="11" spans="1:2" x14ac:dyDescent="0.2">
      <c r="B11" s="188" t="s">
        <v>140</v>
      </c>
    </row>
    <row r="12" spans="1:2" x14ac:dyDescent="0.2">
      <c r="A12" t="s">
        <v>141</v>
      </c>
      <c r="B12" t="s">
        <v>142</v>
      </c>
    </row>
    <row r="13" spans="1:2" x14ac:dyDescent="0.2">
      <c r="A13" t="s">
        <v>143</v>
      </c>
      <c r="B13" t="s">
        <v>144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selection sqref="A1:A9"/>
    </sheetView>
  </sheetViews>
  <sheetFormatPr defaultRowHeight="12.75" x14ac:dyDescent="0.2"/>
  <cols>
    <col min="1" max="1" width="21.85546875" customWidth="1"/>
    <col min="2" max="2" width="11.7109375" customWidth="1"/>
  </cols>
  <sheetData>
    <row r="1" spans="1:7" ht="13.5" thickBot="1" x14ac:dyDescent="0.25">
      <c r="A1" t="s">
        <v>151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ht="15.75" thickBot="1" x14ac:dyDescent="0.25">
      <c r="A2" s="189" t="s">
        <v>145</v>
      </c>
    </row>
    <row r="3" spans="1:7" ht="15.75" thickBot="1" x14ac:dyDescent="0.25">
      <c r="A3" s="190" t="s">
        <v>119</v>
      </c>
    </row>
    <row r="4" spans="1:7" ht="15.75" thickBot="1" x14ac:dyDescent="0.25">
      <c r="A4" s="190" t="s">
        <v>120</v>
      </c>
    </row>
    <row r="5" spans="1:7" ht="15.75" thickBot="1" x14ac:dyDescent="0.25">
      <c r="A5" s="190" t="s">
        <v>146</v>
      </c>
    </row>
    <row r="6" spans="1:7" ht="15.75" thickBot="1" x14ac:dyDescent="0.25">
      <c r="A6" s="190" t="s">
        <v>147</v>
      </c>
    </row>
    <row r="7" spans="1:7" ht="15.75" thickBot="1" x14ac:dyDescent="0.25">
      <c r="A7" s="190" t="s">
        <v>148</v>
      </c>
    </row>
    <row r="8" spans="1:7" ht="15.75" thickBot="1" x14ac:dyDescent="0.25">
      <c r="A8" s="190" t="s">
        <v>149</v>
      </c>
    </row>
    <row r="9" spans="1:7" ht="15.75" thickBot="1" x14ac:dyDescent="0.25">
      <c r="A9" s="190" t="s">
        <v>150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29</vt:i4>
      </vt:variant>
    </vt:vector>
  </HeadingPairs>
  <TitlesOfParts>
    <vt:vector size="36" baseType="lpstr">
      <vt:lpstr>Sprint</vt:lpstr>
      <vt:lpstr>Analysis</vt:lpstr>
      <vt:lpstr>Capacity</vt:lpstr>
      <vt:lpstr>Team Roster</vt:lpstr>
      <vt:lpstr>Project Specific Reports</vt:lpstr>
      <vt:lpstr>Product Backlog</vt:lpstr>
      <vt:lpstr>planning poker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Vinicius</cp:lastModifiedBy>
  <cp:revision>1</cp:revision>
  <cp:lastPrinted>2005-08-15T09:18:22Z</cp:lastPrinted>
  <dcterms:created xsi:type="dcterms:W3CDTF">2005-01-26T21:50:47Z</dcterms:created>
  <dcterms:modified xsi:type="dcterms:W3CDTF">2011-11-22T01:53:33Z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