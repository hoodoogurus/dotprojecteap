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15" yWindow="45" windowWidth="14640" windowHeight="9495" tabRatio="620" activeTab="3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0" r:id="rId6"/>
    <sheet name="planning poker" sheetId="11" r:id="rId7"/>
  </sheets>
  <definedNames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44525"/>
</workbook>
</file>

<file path=xl/calcChain.xml><?xml version="1.0" encoding="utf-8"?>
<calcChain xmlns="http://schemas.openxmlformats.org/spreadsheetml/2006/main">
  <c r="BA22" i="7" l="1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L21" i="7"/>
  <c r="K21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K14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K13" i="7"/>
  <c r="N22" i="7" l="1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O22" i="7" l="1"/>
  <c r="G22" i="7" s="1"/>
  <c r="O21" i="7"/>
  <c r="G21" i="7" s="1"/>
  <c r="O14" i="7"/>
  <c r="G14" i="7" s="1"/>
  <c r="O15" i="7"/>
  <c r="G15" i="7" s="1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R22" i="7" l="1"/>
  <c r="U22" i="7"/>
  <c r="R21" i="7"/>
  <c r="U21" i="7"/>
  <c r="R14" i="7"/>
  <c r="U14" i="7"/>
  <c r="R15" i="7"/>
  <c r="G13" i="7"/>
  <c r="R13" i="7"/>
  <c r="O26" i="7"/>
  <c r="R26" i="7" s="1"/>
  <c r="U26" i="7" s="1"/>
  <c r="O19" i="7"/>
  <c r="G19" i="7" s="1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2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X22" i="7" l="1"/>
  <c r="X21" i="7"/>
  <c r="G26" i="7"/>
  <c r="X14" i="7"/>
  <c r="U15" i="7"/>
  <c r="X15" i="7" s="1"/>
  <c r="AA15" i="7" s="1"/>
  <c r="U13" i="7"/>
  <c r="X13" i="7"/>
  <c r="AA13" i="7" s="1"/>
  <c r="X26" i="7"/>
  <c r="AA26" i="7" s="1"/>
  <c r="R19" i="7"/>
  <c r="O32" i="7"/>
  <c r="O50" i="7"/>
  <c r="O67" i="7"/>
  <c r="R67" i="7" s="1"/>
  <c r="O51" i="7"/>
  <c r="R51" i="7" s="1"/>
  <c r="U51" i="7" s="1"/>
  <c r="G51" i="7"/>
  <c r="X51" i="7"/>
  <c r="G50" i="7"/>
  <c r="Q54" i="7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O54" i="7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2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6" i="7"/>
  <c r="R66" i="7" s="1"/>
  <c r="O64" i="7"/>
  <c r="O62" i="7"/>
  <c r="R62" i="7" s="1"/>
  <c r="U62" i="7" s="1"/>
  <c r="G62" i="7" s="1"/>
  <c r="O60" i="7"/>
  <c r="O58" i="7"/>
  <c r="R58" i="7" s="1"/>
  <c r="U58" i="7" s="1"/>
  <c r="G58" i="7" s="1"/>
  <c r="O65" i="7"/>
  <c r="R64" i="7"/>
  <c r="U64" i="7" s="1"/>
  <c r="G64" i="7" s="1"/>
  <c r="O63" i="7"/>
  <c r="O61" i="7"/>
  <c r="R61" i="7" s="1"/>
  <c r="R60" i="7"/>
  <c r="O59" i="7"/>
  <c r="R59" i="7" s="1"/>
  <c r="U59" i="7" s="1"/>
  <c r="G59" i="7" s="1"/>
  <c r="O57" i="7"/>
  <c r="R57" i="7" s="1"/>
  <c r="AA51" i="7"/>
  <c r="O55" i="7"/>
  <c r="O53" i="7"/>
  <c r="R53" i="7" s="1"/>
  <c r="U53" i="7" s="1"/>
  <c r="G53" i="7" s="1"/>
  <c r="O49" i="7"/>
  <c r="O47" i="7"/>
  <c r="O45" i="7"/>
  <c r="O43" i="7"/>
  <c r="O41" i="7"/>
  <c r="O39" i="7"/>
  <c r="R38" i="7"/>
  <c r="U38" i="7" s="1"/>
  <c r="O37" i="7"/>
  <c r="O35" i="7"/>
  <c r="O33" i="7"/>
  <c r="O31" i="7"/>
  <c r="R31" i="7" s="1"/>
  <c r="O7" i="7"/>
  <c r="O5" i="7"/>
  <c r="R5" i="7" s="1"/>
  <c r="O29" i="7"/>
  <c r="O24" i="7"/>
  <c r="R24" i="7" s="1"/>
  <c r="U24" i="7" s="1"/>
  <c r="G24" i="7" s="1"/>
  <c r="O17" i="7"/>
  <c r="R17" i="7" s="1"/>
  <c r="U17" i="7" s="1"/>
  <c r="G17" i="7" s="1"/>
  <c r="O12" i="7"/>
  <c r="R12" i="7" s="1"/>
  <c r="O10" i="7"/>
  <c r="R10" i="7" s="1"/>
  <c r="O9" i="7"/>
  <c r="R9" i="7" s="1"/>
  <c r="O8" i="7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3" i="7"/>
  <c r="U63" i="7" s="1"/>
  <c r="G63" i="7" s="1"/>
  <c r="R55" i="7"/>
  <c r="R32" i="7"/>
  <c r="R29" i="7"/>
  <c r="U29" i="7" s="1"/>
  <c r="G29" i="7" s="1"/>
  <c r="O6" i="7"/>
  <c r="O27" i="7"/>
  <c r="O20" i="7"/>
  <c r="O11" i="7"/>
  <c r="R8" i="7"/>
  <c r="U8" i="7" s="1"/>
  <c r="G8" i="7" s="1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AA22" i="7" l="1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/>
  <c r="AJ13" i="7" s="1"/>
  <c r="AD26" i="7"/>
  <c r="AG26" i="7" s="1"/>
  <c r="U19" i="7"/>
  <c r="X19" i="7"/>
  <c r="R46" i="7"/>
  <c r="R16" i="7"/>
  <c r="U16" i="7" s="1"/>
  <c r="R18" i="7"/>
  <c r="U18" i="7" s="1"/>
  <c r="R23" i="7"/>
  <c r="U23" i="7" s="1"/>
  <c r="R25" i="7"/>
  <c r="R28" i="7"/>
  <c r="R30" i="7"/>
  <c r="R34" i="7"/>
  <c r="U34" i="7" s="1"/>
  <c r="R36" i="7"/>
  <c r="R40" i="7"/>
  <c r="U40" i="7" s="1"/>
  <c r="R42" i="7"/>
  <c r="R44" i="7"/>
  <c r="U44" i="7" s="1"/>
  <c r="R48" i="7"/>
  <c r="R52" i="7"/>
  <c r="U52" i="7" s="1"/>
  <c r="R54" i="7"/>
  <c r="R7" i="7"/>
  <c r="U7" i="7" s="1"/>
  <c r="R35" i="7"/>
  <c r="U35" i="7" s="1"/>
  <c r="U60" i="7"/>
  <c r="X60" i="7" s="1"/>
  <c r="AA60" i="7" s="1"/>
  <c r="U67" i="7"/>
  <c r="G38" i="7"/>
  <c r="X38" i="7"/>
  <c r="G60" i="7"/>
  <c r="R50" i="7"/>
  <c r="U5" i="7"/>
  <c r="G5" i="7" s="1"/>
  <c r="X64" i="7"/>
  <c r="AA64" i="7" s="1"/>
  <c r="U66" i="7"/>
  <c r="G66" i="7" s="1"/>
  <c r="U42" i="7"/>
  <c r="AD51" i="7"/>
  <c r="AG51" i="7" s="1"/>
  <c r="G18" i="7"/>
  <c r="X18" i="7"/>
  <c r="G52" i="7"/>
  <c r="X52" i="7"/>
  <c r="AA52" i="7" s="1"/>
  <c r="G42" i="7"/>
  <c r="X42" i="7"/>
  <c r="AA42" i="7" s="1"/>
  <c r="AD42" i="7" s="1"/>
  <c r="U32" i="7"/>
  <c r="G32" i="7" s="1"/>
  <c r="X5" i="7"/>
  <c r="AA5" i="7" s="1"/>
  <c r="AD5" i="7" s="1"/>
  <c r="R11" i="7"/>
  <c r="U11" i="7" s="1"/>
  <c r="G11" i="7" s="1"/>
  <c r="U12" i="7"/>
  <c r="X8" i="7"/>
  <c r="U10" i="7"/>
  <c r="X10" i="7" s="1"/>
  <c r="AA10" i="7" s="1"/>
  <c r="AD10" i="7" s="1"/>
  <c r="X17" i="7"/>
  <c r="AA17" i="7" s="1"/>
  <c r="R27" i="7"/>
  <c r="U27" i="7" s="1"/>
  <c r="G27" i="7" s="1"/>
  <c r="X29" i="7"/>
  <c r="R33" i="7"/>
  <c r="U36" i="7"/>
  <c r="R41" i="7"/>
  <c r="R43" i="7"/>
  <c r="R49" i="7"/>
  <c r="R56" i="7"/>
  <c r="X53" i="7"/>
  <c r="AA53" i="7" s="1"/>
  <c r="AA18" i="7"/>
  <c r="AD18" i="7" s="1"/>
  <c r="AG18" i="7" s="1"/>
  <c r="U28" i="7"/>
  <c r="G28" i="7" s="1"/>
  <c r="U46" i="7"/>
  <c r="U48" i="7"/>
  <c r="U54" i="7"/>
  <c r="R65" i="7"/>
  <c r="G67" i="7"/>
  <c r="X67" i="7"/>
  <c r="AA67" i="7" s="1"/>
  <c r="U9" i="7"/>
  <c r="X9" i="7" s="1"/>
  <c r="AA9" i="7" s="1"/>
  <c r="R39" i="7"/>
  <c r="R45" i="7"/>
  <c r="U55" i="7"/>
  <c r="X55" i="7" s="1"/>
  <c r="U57" i="7"/>
  <c r="X58" i="7"/>
  <c r="U61" i="7"/>
  <c r="X62" i="7"/>
  <c r="AA8" i="7"/>
  <c r="AA29" i="7"/>
  <c r="R6" i="7"/>
  <c r="R20" i="7"/>
  <c r="X24" i="7"/>
  <c r="U31" i="7"/>
  <c r="X32" i="7"/>
  <c r="R37" i="7"/>
  <c r="AA38" i="7"/>
  <c r="R47" i="7"/>
  <c r="X59" i="7"/>
  <c r="X63" i="7"/>
  <c r="U25" i="7"/>
  <c r="U30" i="7"/>
  <c r="R68" i="7"/>
  <c r="U68" i="7" s="1"/>
  <c r="X68" i="7" s="1"/>
  <c r="AA68" i="7" s="1"/>
  <c r="CE22" i="7" l="1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G21" i="7" s="1"/>
  <c r="AJ21" i="7" s="1"/>
  <c r="AM21" i="7" s="1"/>
  <c r="AP21" i="7" s="1"/>
  <c r="AS21" i="7" s="1"/>
  <c r="AV21" i="7" s="1"/>
  <c r="AY21" i="7" s="1"/>
  <c r="AD14" i="7"/>
  <c r="AG14" i="7" s="1"/>
  <c r="AJ14" i="7" s="1"/>
  <c r="AM14" i="7" s="1"/>
  <c r="AP14" i="7" s="1"/>
  <c r="AS14" i="7" s="1"/>
  <c r="AV14" i="7" s="1"/>
  <c r="AY14" i="7" s="1"/>
  <c r="AJ15" i="7"/>
  <c r="AM15" i="7" s="1"/>
  <c r="AP15" i="7"/>
  <c r="AS15" i="7" s="1"/>
  <c r="AV15" i="7" s="1"/>
  <c r="AY15" i="7" s="1"/>
  <c r="AM13" i="7"/>
  <c r="AP13" i="7"/>
  <c r="AS13" i="7" s="1"/>
  <c r="AV13" i="7" s="1"/>
  <c r="AY13" i="7" s="1"/>
  <c r="CE13" i="7" s="1"/>
  <c r="X28" i="7"/>
  <c r="AA28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G16" i="7"/>
  <c r="X16" i="7"/>
  <c r="AA16" i="7" s="1"/>
  <c r="G35" i="7"/>
  <c r="X35" i="7"/>
  <c r="AA35" i="7" s="1"/>
  <c r="G7" i="7"/>
  <c r="X7" i="7"/>
  <c r="AA7" i="7" s="1"/>
  <c r="AD52" i="7"/>
  <c r="AG52" i="7" s="1"/>
  <c r="AJ52" i="7" s="1"/>
  <c r="X66" i="7"/>
  <c r="U50" i="7"/>
  <c r="AD67" i="7"/>
  <c r="AG67" i="7" s="1"/>
  <c r="G30" i="7"/>
  <c r="X30" i="7"/>
  <c r="G25" i="7"/>
  <c r="X25" i="7"/>
  <c r="U37" i="7"/>
  <c r="G37" i="7" s="1"/>
  <c r="G61" i="7"/>
  <c r="G55" i="7"/>
  <c r="U39" i="7"/>
  <c r="G9" i="7"/>
  <c r="AD9" i="7"/>
  <c r="G54" i="7"/>
  <c r="X54" i="7"/>
  <c r="G46" i="7"/>
  <c r="X46" i="7"/>
  <c r="AA46" i="7" s="1"/>
  <c r="G23" i="7"/>
  <c r="AD53" i="7"/>
  <c r="AG53" i="7" s="1"/>
  <c r="U49" i="7"/>
  <c r="U43" i="7"/>
  <c r="X43" i="7" s="1"/>
  <c r="G36" i="7"/>
  <c r="X36" i="7"/>
  <c r="U33" i="7"/>
  <c r="AD8" i="7"/>
  <c r="AG8" i="7" s="1"/>
  <c r="AA55" i="7"/>
  <c r="AD55" i="7" s="1"/>
  <c r="U6" i="7"/>
  <c r="G6" i="7" s="1"/>
  <c r="X27" i="7"/>
  <c r="AA27" i="7" s="1"/>
  <c r="AD16" i="7"/>
  <c r="AG16" i="7" s="1"/>
  <c r="AJ16" i="7" s="1"/>
  <c r="AG5" i="7"/>
  <c r="AA25" i="7"/>
  <c r="AA62" i="7"/>
  <c r="AD62" i="7" s="1"/>
  <c r="AA58" i="7"/>
  <c r="AD58" i="7" s="1"/>
  <c r="AA63" i="7"/>
  <c r="AA59" i="7"/>
  <c r="AG42" i="7"/>
  <c r="X39" i="7"/>
  <c r="X23" i="7"/>
  <c r="AG10" i="7"/>
  <c r="AJ10" i="7" s="1"/>
  <c r="AJ51" i="7"/>
  <c r="AM51" i="7" s="1"/>
  <c r="AP51" i="7" s="1"/>
  <c r="U47" i="7"/>
  <c r="G40" i="7"/>
  <c r="X40" i="7"/>
  <c r="AA40" i="7" s="1"/>
  <c r="G31" i="7"/>
  <c r="X31" i="7"/>
  <c r="G57" i="7"/>
  <c r="U45" i="7"/>
  <c r="X45" i="7" s="1"/>
  <c r="G34" i="7"/>
  <c r="X34" i="7"/>
  <c r="AA34" i="7" s="1"/>
  <c r="U65" i="7"/>
  <c r="X65" i="7" s="1"/>
  <c r="G48" i="7"/>
  <c r="X48" i="7"/>
  <c r="G44" i="7"/>
  <c r="X44" i="7"/>
  <c r="AA44" i="7" s="1"/>
  <c r="U56" i="7"/>
  <c r="U41" i="7"/>
  <c r="G10" i="7"/>
  <c r="G12" i="7"/>
  <c r="X12" i="7"/>
  <c r="AD38" i="7"/>
  <c r="AD29" i="7"/>
  <c r="AD17" i="7"/>
  <c r="AG17" i="7" s="1"/>
  <c r="AD28" i="7"/>
  <c r="AA30" i="7"/>
  <c r="X61" i="7"/>
  <c r="X57" i="7"/>
  <c r="AD64" i="7"/>
  <c r="AD60" i="7"/>
  <c r="AA24" i="7"/>
  <c r="AD24" i="7" s="1"/>
  <c r="U20" i="7"/>
  <c r="G20" i="7" s="1"/>
  <c r="AA32" i="7"/>
  <c r="AJ18" i="7"/>
  <c r="AD68" i="7"/>
  <c r="CE21" i="7" l="1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5" i="7"/>
  <c r="AG35" i="7" s="1"/>
  <c r="AA66" i="7"/>
  <c r="AD66" i="7" s="1"/>
  <c r="X50" i="7"/>
  <c r="X37" i="7"/>
  <c r="AA37" i="7" s="1"/>
  <c r="AA50" i="7"/>
  <c r="AS51" i="7"/>
  <c r="AV51" i="7" s="1"/>
  <c r="AY51" i="7" s="1"/>
  <c r="AJ17" i="7"/>
  <c r="AA12" i="7"/>
  <c r="G41" i="7"/>
  <c r="G56" i="7"/>
  <c r="G65" i="7"/>
  <c r="G47" i="7"/>
  <c r="AG58" i="7"/>
  <c r="AD27" i="7"/>
  <c r="AJ8" i="7"/>
  <c r="G33" i="7"/>
  <c r="G43" i="7"/>
  <c r="AA43" i="7"/>
  <c r="AD43" i="7" s="1"/>
  <c r="AG43" i="7" s="1"/>
  <c r="AJ53" i="7"/>
  <c r="AD46" i="7"/>
  <c r="AG46" i="7" s="1"/>
  <c r="AJ46" i="7" s="1"/>
  <c r="AA54" i="7"/>
  <c r="AD54" i="7" s="1"/>
  <c r="AD40" i="7"/>
  <c r="X41" i="7"/>
  <c r="AM7" i="7"/>
  <c r="AA31" i="7"/>
  <c r="AG28" i="7"/>
  <c r="AG29" i="7"/>
  <c r="AD31" i="7"/>
  <c r="AD32" i="7"/>
  <c r="AG32" i="7" s="1"/>
  <c r="AJ32" i="7" s="1"/>
  <c r="AG38" i="7"/>
  <c r="X47" i="7"/>
  <c r="X33" i="7"/>
  <c r="X49" i="7"/>
  <c r="AA49" i="7" s="1"/>
  <c r="AD49" i="7" s="1"/>
  <c r="AG9" i="7"/>
  <c r="AG55" i="7"/>
  <c r="AJ58" i="7"/>
  <c r="X6" i="7"/>
  <c r="AA6" i="7" s="1"/>
  <c r="AG24" i="7"/>
  <c r="AD59" i="7"/>
  <c r="AG59" i="7" s="1"/>
  <c r="AG60" i="7"/>
  <c r="AD25" i="7"/>
  <c r="AJ42" i="7"/>
  <c r="AJ67" i="7"/>
  <c r="AD44" i="7"/>
  <c r="AD34" i="7"/>
  <c r="G45" i="7"/>
  <c r="AA45" i="7"/>
  <c r="AD45" i="7" s="1"/>
  <c r="AA23" i="7"/>
  <c r="AG62" i="7"/>
  <c r="AJ62" i="7" s="1"/>
  <c r="AJ5" i="7"/>
  <c r="G49" i="7"/>
  <c r="G39" i="7"/>
  <c r="AA39" i="7"/>
  <c r="AD39" i="7" s="1"/>
  <c r="AG39" i="7" s="1"/>
  <c r="AD30" i="7"/>
  <c r="AG30" i="7" s="1"/>
  <c r="AM16" i="7"/>
  <c r="X56" i="7"/>
  <c r="AA65" i="7"/>
  <c r="AM10" i="7"/>
  <c r="AP10" i="7" s="1"/>
  <c r="AD11" i="7"/>
  <c r="AA57" i="7"/>
  <c r="AA61" i="7"/>
  <c r="AM18" i="7"/>
  <c r="AM52" i="7"/>
  <c r="AA47" i="7"/>
  <c r="AD47" i="7" s="1"/>
  <c r="AA36" i="7"/>
  <c r="AD23" i="7"/>
  <c r="X20" i="7"/>
  <c r="AJ60" i="7"/>
  <c r="AM60" i="7" s="1"/>
  <c r="AP60" i="7" s="1"/>
  <c r="AS60" i="7" s="1"/>
  <c r="AV60" i="7" s="1"/>
  <c r="AY60" i="7" s="1"/>
  <c r="AD63" i="7"/>
  <c r="AG64" i="7"/>
  <c r="AA48" i="7"/>
  <c r="AG68" i="7"/>
  <c r="AJ35" i="7" l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6" i="7"/>
  <c r="AJ66" i="7" s="1"/>
  <c r="AD50" i="7"/>
  <c r="AG50" i="7"/>
  <c r="AJ50" i="7" s="1"/>
  <c r="AS10" i="7"/>
  <c r="AV10" i="7" s="1"/>
  <c r="AY10" i="7" s="1"/>
  <c r="AJ39" i="7"/>
  <c r="AM46" i="7"/>
  <c r="AM62" i="7"/>
  <c r="AP62" i="7" s="1"/>
  <c r="AS62" i="7" s="1"/>
  <c r="AV62" i="7" s="1"/>
  <c r="AY62" i="7" s="1"/>
  <c r="BB60" i="7"/>
  <c r="BE60" i="7" s="1"/>
  <c r="BH60" i="7" s="1"/>
  <c r="CE60" i="7"/>
  <c r="AP46" i="7"/>
  <c r="AS46" i="7" s="1"/>
  <c r="AV46" i="7" s="1"/>
  <c r="AY46" i="7" s="1"/>
  <c r="CE51" i="7"/>
  <c r="BE51" i="7"/>
  <c r="BB51" i="7"/>
  <c r="BW51" i="7"/>
  <c r="BZ51" i="7" s="1"/>
  <c r="CC51" i="7"/>
  <c r="AP52" i="7"/>
  <c r="AS52" i="7" s="1"/>
  <c r="AV52" i="7" s="1"/>
  <c r="AY52" i="7" s="1"/>
  <c r="AG23" i="7"/>
  <c r="AJ23" i="7" s="1"/>
  <c r="AM42" i="7"/>
  <c r="AP42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8" i="7"/>
  <c r="AM38" i="7" s="1"/>
  <c r="AP38" i="7" s="1"/>
  <c r="AS38" i="7" s="1"/>
  <c r="AV38" i="7" s="1"/>
  <c r="AY38" i="7" s="1"/>
  <c r="AA20" i="7"/>
  <c r="AD20" i="7" s="1"/>
  <c r="AG20" i="7" s="1"/>
  <c r="AJ20" i="7" s="1"/>
  <c r="AM20" i="7" s="1"/>
  <c r="AP20" i="7" s="1"/>
  <c r="AS20" i="7" s="1"/>
  <c r="AP18" i="7"/>
  <c r="AS18" i="7" s="1"/>
  <c r="AV18" i="7" s="1"/>
  <c r="AY18" i="7" s="1"/>
  <c r="CE18" i="7" s="1"/>
  <c r="AD36" i="7"/>
  <c r="AG36" i="7" s="1"/>
  <c r="AJ36" i="7" s="1"/>
  <c r="AM36" i="7" s="1"/>
  <c r="AP36" i="7" s="1"/>
  <c r="AS36" i="7" s="1"/>
  <c r="AV36" i="7" s="1"/>
  <c r="AY36" i="7" s="1"/>
  <c r="AD57" i="7"/>
  <c r="AG57" i="7" s="1"/>
  <c r="AJ57" i="7" s="1"/>
  <c r="AM57" i="7" s="1"/>
  <c r="AP57" i="7" s="1"/>
  <c r="AS57" i="7" s="1"/>
  <c r="AV57" i="7" s="1"/>
  <c r="AY57" i="7" s="1"/>
  <c r="AJ30" i="7"/>
  <c r="AG63" i="7"/>
  <c r="AJ63" i="7" s="1"/>
  <c r="AM63" i="7" s="1"/>
  <c r="AP63" i="7" s="1"/>
  <c r="AS63" i="7" s="1"/>
  <c r="AV63" i="7" s="1"/>
  <c r="AY63" i="7" s="1"/>
  <c r="CC60" i="7"/>
  <c r="AG47" i="7"/>
  <c r="AJ47" i="7" s="1"/>
  <c r="AM47" i="7" s="1"/>
  <c r="AP47" i="7" s="1"/>
  <c r="AG45" i="7"/>
  <c r="AJ24" i="7"/>
  <c r="AD61" i="7"/>
  <c r="AP7" i="7"/>
  <c r="AS7" i="7" s="1"/>
  <c r="AV7" i="7" s="1"/>
  <c r="AY7" i="7" s="1"/>
  <c r="CE7" i="7" s="1"/>
  <c r="AD37" i="7"/>
  <c r="AM67" i="7"/>
  <c r="AG25" i="7"/>
  <c r="AJ59" i="7"/>
  <c r="AM59" i="7" s="1"/>
  <c r="AP59" i="7" s="1"/>
  <c r="AS59" i="7" s="1"/>
  <c r="AV59" i="7" s="1"/>
  <c r="AY59" i="7" s="1"/>
  <c r="AD6" i="7"/>
  <c r="AG6" i="7" s="1"/>
  <c r="AJ6" i="7" s="1"/>
  <c r="AM6" i="7" s="1"/>
  <c r="AP6" i="7" s="1"/>
  <c r="AS6" i="7" s="1"/>
  <c r="AV6" i="7" s="1"/>
  <c r="AY6" i="7" s="1"/>
  <c r="AM35" i="7"/>
  <c r="AP35" i="7" s="1"/>
  <c r="AG40" i="7"/>
  <c r="AG54" i="7"/>
  <c r="AM53" i="7"/>
  <c r="AM8" i="7"/>
  <c r="AP8" i="7" s="1"/>
  <c r="AS8" i="7" s="1"/>
  <c r="AV8" i="7" s="1"/>
  <c r="AY8" i="7" s="1"/>
  <c r="AG27" i="7"/>
  <c r="AJ27" i="7" s="1"/>
  <c r="AM27" i="7" s="1"/>
  <c r="AP27" i="7" s="1"/>
  <c r="AS27" i="7" s="1"/>
  <c r="AV27" i="7" s="1"/>
  <c r="AY27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48" i="7"/>
  <c r="AG48" i="7" s="1"/>
  <c r="AJ48" i="7" s="1"/>
  <c r="AM48" i="7" s="1"/>
  <c r="AP48" i="7" s="1"/>
  <c r="AS48" i="7" s="1"/>
  <c r="AG44" i="7"/>
  <c r="AJ44" i="7" s="1"/>
  <c r="AM44" i="7" s="1"/>
  <c r="AP44" i="7" s="1"/>
  <c r="AJ64" i="7"/>
  <c r="AM64" i="7" s="1"/>
  <c r="AP64" i="7" s="1"/>
  <c r="AS64" i="7" s="1"/>
  <c r="AV64" i="7" s="1"/>
  <c r="AY64" i="7" s="1"/>
  <c r="CE64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9" i="7"/>
  <c r="AJ28" i="7"/>
  <c r="AM32" i="7"/>
  <c r="AP32" i="7" s="1"/>
  <c r="AS32" i="7" s="1"/>
  <c r="AG34" i="7"/>
  <c r="AJ43" i="7"/>
  <c r="AA33" i="7"/>
  <c r="AM58" i="7"/>
  <c r="BH51" i="7"/>
  <c r="BK51" i="7" s="1"/>
  <c r="BN51" i="7" s="1"/>
  <c r="BQ51" i="7" s="1"/>
  <c r="BT51" i="7" s="1"/>
  <c r="AG31" i="7"/>
  <c r="AJ31" i="7" s="1"/>
  <c r="AM31" i="7" s="1"/>
  <c r="AP31" i="7" s="1"/>
  <c r="AS31" i="7" s="1"/>
  <c r="AD65" i="7"/>
  <c r="AA56" i="7"/>
  <c r="AA41" i="7"/>
  <c r="AD41" i="7" s="1"/>
  <c r="AD12" i="7"/>
  <c r="AJ29" i="7"/>
  <c r="AM29" i="7" s="1"/>
  <c r="AP29" i="7" s="1"/>
  <c r="AS29" i="7" s="1"/>
  <c r="AV29" i="7" s="1"/>
  <c r="AY29" i="7" s="1"/>
  <c r="AP16" i="7"/>
  <c r="AS16" i="7" s="1"/>
  <c r="AV16" i="7" s="1"/>
  <c r="AY16" i="7" s="1"/>
  <c r="AJ68" i="7"/>
  <c r="AV32" i="7" l="1"/>
  <c r="AM66" i="7"/>
  <c r="AP66" i="7" s="1"/>
  <c r="AS66" i="7" s="1"/>
  <c r="AV66" i="7" s="1"/>
  <c r="AY66" i="7" s="1"/>
  <c r="CE66" i="7" s="1"/>
  <c r="BT18" i="7"/>
  <c r="BW18" i="7" s="1"/>
  <c r="BZ18" i="7" s="1"/>
  <c r="CC18" i="7" s="1"/>
  <c r="BN18" i="7"/>
  <c r="BQ18" i="7" s="1"/>
  <c r="AM50" i="7"/>
  <c r="AP50" i="7" s="1"/>
  <c r="AM39" i="7"/>
  <c r="BB18" i="7"/>
  <c r="BE18" i="7" s="1"/>
  <c r="BH18" i="7" s="1"/>
  <c r="BK18" i="7" s="1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2" i="7"/>
  <c r="AV42" i="7" s="1"/>
  <c r="AY42" i="7" s="1"/>
  <c r="AS35" i="7"/>
  <c r="AV35" i="7" s="1"/>
  <c r="AY3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7" i="7"/>
  <c r="BB27" i="7"/>
  <c r="BE27" i="7" s="1"/>
  <c r="BH27" i="7" s="1"/>
  <c r="BK27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6" i="7"/>
  <c r="BE36" i="7" s="1"/>
  <c r="BH36" i="7" s="1"/>
  <c r="BK36" i="7" s="1"/>
  <c r="BN36" i="7" s="1"/>
  <c r="BQ36" i="7" s="1"/>
  <c r="CE3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C9" i="7"/>
  <c r="AP67" i="7"/>
  <c r="AS67" i="7" s="1"/>
  <c r="AG37" i="7"/>
  <c r="AJ37" i="7" s="1"/>
  <c r="AM37" i="7" s="1"/>
  <c r="AP37" i="7" s="1"/>
  <c r="AM24" i="7"/>
  <c r="AP24" i="7" s="1"/>
  <c r="AS24" i="7" s="1"/>
  <c r="AV24" i="7" s="1"/>
  <c r="AY24" i="7" s="1"/>
  <c r="CE24" i="7" s="1"/>
  <c r="AM30" i="7"/>
  <c r="AP30" i="7" s="1"/>
  <c r="AS30" i="7" s="1"/>
  <c r="AV30" i="7" s="1"/>
  <c r="AY30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7" i="7"/>
  <c r="BW17" i="7" s="1"/>
  <c r="BZ17" i="7" s="1"/>
  <c r="CC17" i="7" s="1"/>
  <c r="AV31" i="7"/>
  <c r="AY31" i="7" s="1"/>
  <c r="AY32" i="7"/>
  <c r="BN32" i="7" s="1"/>
  <c r="BQ32" i="7" s="1"/>
  <c r="BT32" i="7" s="1"/>
  <c r="BW32" i="7" s="1"/>
  <c r="BZ32" i="7" s="1"/>
  <c r="CC32" i="7" s="1"/>
  <c r="AV48" i="7"/>
  <c r="AY48" i="7" s="1"/>
  <c r="AJ45" i="7"/>
  <c r="AM45" i="7" s="1"/>
  <c r="AP45" i="7" s="1"/>
  <c r="AS45" i="7" s="1"/>
  <c r="AV45" i="7" s="1"/>
  <c r="AY45" i="7" s="1"/>
  <c r="CE45" i="7" s="1"/>
  <c r="BB9" i="7"/>
  <c r="BE9" i="7" s="1"/>
  <c r="BH9" i="7" s="1"/>
  <c r="BK9" i="7" s="1"/>
  <c r="BN9" i="7" s="1"/>
  <c r="BQ9" i="7" s="1"/>
  <c r="BT9" i="7" s="1"/>
  <c r="BW9" i="7" s="1"/>
  <c r="BZ9" i="7" s="1"/>
  <c r="BT36" i="7"/>
  <c r="BW36" i="7" s="1"/>
  <c r="BZ36" i="7" s="1"/>
  <c r="CC36" i="7" s="1"/>
  <c r="AG12" i="7"/>
  <c r="AJ12" i="7" s="1"/>
  <c r="AM12" i="7" s="1"/>
  <c r="AP12" i="7" s="1"/>
  <c r="AS12" i="7" s="1"/>
  <c r="AG41" i="7"/>
  <c r="AJ41" i="7" s="1"/>
  <c r="AM41" i="7" s="1"/>
  <c r="AP41" i="7" s="1"/>
  <c r="AG65" i="7"/>
  <c r="AJ34" i="7"/>
  <c r="AM34" i="7" s="1"/>
  <c r="AP34" i="7" s="1"/>
  <c r="AS34" i="7" s="1"/>
  <c r="AV34" i="7" s="1"/>
  <c r="AY34" i="7" s="1"/>
  <c r="AJ49" i="7"/>
  <c r="AM49" i="7" s="1"/>
  <c r="AP49" i="7" s="1"/>
  <c r="AS49" i="7" s="1"/>
  <c r="AS44" i="7"/>
  <c r="AV44" i="7" s="1"/>
  <c r="AY44" i="7" s="1"/>
  <c r="BZ8" i="7"/>
  <c r="CC8" i="7" s="1"/>
  <c r="BT8" i="7"/>
  <c r="BW8" i="7" s="1"/>
  <c r="AJ40" i="7"/>
  <c r="AM40" i="7" s="1"/>
  <c r="AP40" i="7" s="1"/>
  <c r="AS40" i="7" s="1"/>
  <c r="AV40" i="7" s="1"/>
  <c r="AY40" i="7" s="1"/>
  <c r="AJ25" i="7"/>
  <c r="AM25" i="7" s="1"/>
  <c r="AP25" i="7" s="1"/>
  <c r="AS25" i="7" s="1"/>
  <c r="AV25" i="7" s="1"/>
  <c r="AY25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33" i="7"/>
  <c r="AG33" i="7" s="1"/>
  <c r="AJ33" i="7" s="1"/>
  <c r="AM33" i="7" s="1"/>
  <c r="AP33" i="7" s="1"/>
  <c r="AS33" i="7" s="1"/>
  <c r="AV33" i="7" s="1"/>
  <c r="AY33" i="7" s="1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N27" i="7"/>
  <c r="BQ27" i="7" s="1"/>
  <c r="BT27" i="7" s="1"/>
  <c r="BW27" i="7" s="1"/>
  <c r="BZ27" i="7" s="1"/>
  <c r="CC27" i="7" s="1"/>
  <c r="AM43" i="7"/>
  <c r="AP43" i="7" s="1"/>
  <c r="AS43" i="7" s="1"/>
  <c r="AV43" i="7" s="1"/>
  <c r="AY43" i="7" s="1"/>
  <c r="AP53" i="7"/>
  <c r="AS53" i="7" s="1"/>
  <c r="AV53" i="7" s="1"/>
  <c r="AY53" i="7" s="1"/>
  <c r="CE53" i="7" s="1"/>
  <c r="AJ54" i="7"/>
  <c r="AS47" i="7"/>
  <c r="AV47" i="7" s="1"/>
  <c r="AY47" i="7" s="1"/>
  <c r="CE47" i="7" s="1"/>
  <c r="BH48" i="7"/>
  <c r="BK48" i="7" s="1"/>
  <c r="BN48" i="7" s="1"/>
  <c r="BQ48" i="7" s="1"/>
  <c r="BT48" i="7" s="1"/>
  <c r="BW48" i="7"/>
  <c r="BZ48" i="7" s="1"/>
  <c r="CC48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6" i="7"/>
  <c r="BN66" i="7" s="1"/>
  <c r="BQ66" i="7" s="1"/>
  <c r="BT66" i="7" s="1"/>
  <c r="BW66" i="7" s="1"/>
  <c r="BZ66" i="7" s="1"/>
  <c r="CC66" i="7" s="1"/>
  <c r="AM28" i="7"/>
  <c r="AP28" i="7" s="1"/>
  <c r="AS28" i="7" s="1"/>
  <c r="AV2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8" i="7"/>
  <c r="CE35" i="7" l="1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39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S50" i="7"/>
  <c r="CE42" i="7"/>
  <c r="BB53" i="7"/>
  <c r="BE53" i="7" s="1"/>
  <c r="BH53" i="7" s="1"/>
  <c r="BK53" i="7" s="1"/>
  <c r="BN53" i="7" s="1"/>
  <c r="BQ53" i="7" s="1"/>
  <c r="BZ53" i="7"/>
  <c r="CC53" i="7" s="1"/>
  <c r="BT53" i="7"/>
  <c r="BW53" i="7" s="1"/>
  <c r="AV12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V67" i="7"/>
  <c r="CE20" i="7"/>
  <c r="BN44" i="7"/>
  <c r="BQ44" i="7" s="1"/>
  <c r="BT44" i="7" s="1"/>
  <c r="BW44" i="7" s="1"/>
  <c r="BZ44" i="7" s="1"/>
  <c r="CC44" i="7" s="1"/>
  <c r="BE44" i="7"/>
  <c r="BH44" i="7" s="1"/>
  <c r="BK44" i="7" s="1"/>
  <c r="AV49" i="7"/>
  <c r="AY49" i="7" s="1"/>
  <c r="AS41" i="7"/>
  <c r="AV41" i="7" s="1"/>
  <c r="BN47" i="7"/>
  <c r="BQ47" i="7" s="1"/>
  <c r="BT47" i="7" s="1"/>
  <c r="BW47" i="7" s="1"/>
  <c r="BZ47" i="7" s="1"/>
  <c r="CC47" i="7" s="1"/>
  <c r="BQ30" i="7"/>
  <c r="BT30" i="7" s="1"/>
  <c r="BW30" i="7" s="1"/>
  <c r="BZ30" i="7" s="1"/>
  <c r="CC30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37" i="7"/>
  <c r="AV37" i="7" s="1"/>
  <c r="AY37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4" i="7"/>
  <c r="BB44" i="7"/>
  <c r="CE32" i="7"/>
  <c r="BB32" i="7"/>
  <c r="BE32" i="7" s="1"/>
  <c r="BH32" i="7" s="1"/>
  <c r="BK32" i="7" s="1"/>
  <c r="CE30" i="7"/>
  <c r="BB30" i="7"/>
  <c r="BE30" i="7" s="1"/>
  <c r="BH30" i="7" s="1"/>
  <c r="BK30" i="7" s="1"/>
  <c r="BN30" i="7" s="1"/>
  <c r="AY2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47" i="7"/>
  <c r="BE47" i="7" s="1"/>
  <c r="BH47" i="7" s="1"/>
  <c r="BK47" i="7" s="1"/>
  <c r="AJ65" i="7"/>
  <c r="AM65" i="7" s="1"/>
  <c r="AP65" i="7" s="1"/>
  <c r="AS65" i="7" s="1"/>
  <c r="AV65" i="7" s="1"/>
  <c r="AY65" i="7" s="1"/>
  <c r="CE48" i="7"/>
  <c r="BB48" i="7"/>
  <c r="BE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AM54" i="7"/>
  <c r="AP54" i="7" s="1"/>
  <c r="AS54" i="7" s="1"/>
  <c r="AV54" i="7" s="1"/>
  <c r="AY5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8" i="7"/>
  <c r="AS68" i="7" s="1"/>
  <c r="AV68" i="7" s="1"/>
  <c r="CE37" i="7" l="1"/>
  <c r="AY41" i="7"/>
  <c r="CE41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AV50" i="7"/>
  <c r="AY50" i="7" s="1"/>
  <c r="AS39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G68" i="7"/>
  <c r="AY68" i="7"/>
  <c r="BT68" i="7" s="1"/>
  <c r="BW68" i="7" s="1"/>
  <c r="BZ68" i="7" s="1"/>
  <c r="CC68" i="7" s="1"/>
  <c r="CE50" i="7" l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V39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12" i="9"/>
  <c r="B11" i="9"/>
  <c r="B10" i="9"/>
  <c r="B9" i="9"/>
  <c r="B2" i="9"/>
  <c r="B5" i="9"/>
  <c r="B4" i="9"/>
  <c r="B3" i="9"/>
  <c r="AY39" i="7" l="1"/>
  <c r="CE39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C14" i="9" l="1"/>
  <c r="C18" i="9"/>
  <c r="C20" i="9"/>
  <c r="C22" i="9"/>
  <c r="C24" i="9"/>
  <c r="C16" i="9"/>
  <c r="C23" i="9"/>
  <c r="C19" i="9"/>
  <c r="C21" i="9"/>
  <c r="C15" i="9"/>
  <c r="C17" i="9"/>
  <c r="C13" i="9"/>
  <c r="C9" i="9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12" i="9"/>
  <c r="C11" i="9"/>
  <c r="C10" i="9"/>
  <c r="BA74" i="7"/>
  <c r="BD74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74" i="7"/>
  <c r="O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" i="7" l="1"/>
  <c r="G4" i="7"/>
  <c r="F36" i="8"/>
  <c r="Q74" i="7"/>
  <c r="F31" i="8"/>
  <c r="W74" i="7"/>
  <c r="T74" i="7"/>
  <c r="F37" i="8"/>
  <c r="F35" i="8"/>
  <c r="U4" i="7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I32" i="8" l="1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27" i="8"/>
  <c r="R28" i="8" s="1"/>
  <c r="R32" i="8"/>
  <c r="Q27" i="8" l="1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<sst xmlns="http://schemas.openxmlformats.org/spreadsheetml/2006/main" count="442" uniqueCount="212">
  <si>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</si>
  <si>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</si>
  <si>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</si>
  <si>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</si>
  <si>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</si>
  <si>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</si>
  <si>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</si>
  <si>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</si>
  <si>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</si>
  <si>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</si>
  <si>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</si>
  <si>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</si>
  <si>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</si>
  <si>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</si>
  <si>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</si>
  <si>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</si>
  <si>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</si>
  <si>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</si>
  <si>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</si>
  <si>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</si>
  <si>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</si>
  <si>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</si>
  <si>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</si>
  <si>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</si>
  <si>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</si>
  <si>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</si>
  <si>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</si>
  <si>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</si>
  <si>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</si>
  <si>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</si>
  <si>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</si>
  <si>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</si>
  <si>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</si>
  <si>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</si>
  <si>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</si>
  <si>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</si>
  <si>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</si>
  <si>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</si>
  <si>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</si>
  <si>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</si>
  <si>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</si>
  <si>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</si>
  <si>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</si>
  <si>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</si>
  <si>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</si>
  <si>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</si>
  <si>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</si>
  <si>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</si>
  <si>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</si>
  <si>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</si>
  <si>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</si>
  <si>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</si>
  <si>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</si>
  <si>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</si>
  <si>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</si>
  <si>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</si>
  <si>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</si>
  <si>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</si>
  <si>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</si>
  <si>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</si>
  <si>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</si>
  <si>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</si>
  <si>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</si>
  <si>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</si>
  <si>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</si>
  <si>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</si>
  <si>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</si>
  <si>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</si>
  <si>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</si>
  <si>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</si>
  <si>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</si>
  <si>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</si>
  <si>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</si>
  <si>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</si>
  <si>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</si>
  <si>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</si>
  <si>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</si>
  <si>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</si>
  <si>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</si>
  <si>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</si>
  <si>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</si>
  <si>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</si>
  <si>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</si>
  <si>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</si>
  <si>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</si>
  <si>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</si>
  <si>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</si>
  <si>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</si>
  <si>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</si>
  <si>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</si>
  <si>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</si>
  <si>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</si>
  <si>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</si>
  <si>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</si>
  <si>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</si>
  <si>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</si>
  <si>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</si>
  <si>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</si>
  <si>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</si>
  <si>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</si>
  <si>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</si>
  <si>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</si>
  <si>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</si>
  <si>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</si>
  <si>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</si>
  <si>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</si>
  <si>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</si>
  <si>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</si>
  <si>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</si>
  <si>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</si>
  <si>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</si>
  <si>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</si>
  <si>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</si>
  <si>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</si>
  <si>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</si>
  <si>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</si>
  <si>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</si>
  <si>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</si>
  <si>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</si>
  <si>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</si>
  <si>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</si>
  <si>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</si>
  <si>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</si>
  <si>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</si>
  <si>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</si>
  <si>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</si>
  <si>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</si>
  <si>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</si>
  <si>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</si>
  <si>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Nome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</si>
  <si>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</si>
  <si>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</si>
  <si>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</si>
  <si>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</si>
  <si>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</si>
  <si>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>criar ultimo nível que será de esforço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</si>
  <si>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</si>
  <si>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</si>
  <si>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</si>
  <si>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</si>
  <si>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</si>
  <si>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</si>
  <si>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</si>
  <si>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</si>
  <si>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</si>
  <si>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</si>
  <si>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</si>
  <si>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</si>
  <si>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</si>
  <si>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</si>
  <si>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</si>
  <si>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</si>
  <si>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</si>
  <si>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</si>
  <si>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</si>
  <si>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</si>
  <si>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</si>
  <si>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</si>
  <si>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</si>
  <si>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</si>
  <si>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 xml:space="preserve">Product Backlog 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</si>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</sst>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7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9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1" borderId="0" xfId="0" applyFill="1"/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1" fillId="30" borderId="53" xfId="36" applyFill="1" applyBorder="1" applyAlignment="1" applyProtection="1">
      <alignment horizontal="left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97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64</c:v>
                </c:pt>
                <c:pt idx="1">
                  <c:v>64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76992"/>
        <c:axId val="68597376"/>
      </c:areaChart>
      <c:catAx>
        <c:axId val="109076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6859737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85973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907699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78528"/>
        <c:axId val="11254169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78528"/>
        <c:axId val="112541696"/>
      </c:lineChart>
      <c:catAx>
        <c:axId val="109078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125416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25416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10907852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4056704"/>
        <c:axId val="112545152"/>
      </c:barChart>
      <c:catAx>
        <c:axId val="11405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45152"/>
        <c:crosses val="autoZero"/>
        <c:auto val="1"/>
        <c:lblAlgn val="ctr"/>
        <c:lblOffset val="100"/>
        <c:noMultiLvlLbl val="0"/>
      </c:catAx>
      <c:valAx>
        <c:axId val="1125451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405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061760"/>
        <c:axId val="112547456"/>
      </c:barChart>
      <c:catAx>
        <c:axId val="115061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47456"/>
        <c:crosses val="autoZero"/>
        <c:auto val="1"/>
        <c:lblAlgn val="ctr"/>
        <c:lblOffset val="100"/>
        <c:noMultiLvlLbl val="0"/>
      </c:catAx>
      <c:valAx>
        <c:axId val="1125474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061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062272"/>
        <c:axId val="116654080"/>
      </c:barChart>
      <c:catAx>
        <c:axId val="115062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6654080"/>
        <c:crosses val="autoZero"/>
        <c:auto val="1"/>
        <c:lblAlgn val="ctr"/>
        <c:lblOffset val="100"/>
        <c:noMultiLvlLbl val="0"/>
      </c:catAx>
      <c:valAx>
        <c:axId val="1166540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06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A8" sqref="A8:XFD8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193">
        <f>SprintStart</f>
        <v>40868</v>
      </c>
      <c r="K1" s="193"/>
      <c r="L1" s="193"/>
      <c r="M1" s="193">
        <f>IF(AND(SkipWeekends, WEEKDAY(J1)=6),J1+3, J1+1)</f>
        <v>40869</v>
      </c>
      <c r="N1" s="193"/>
      <c r="O1" s="193"/>
      <c r="P1" s="193">
        <f>IF(AND(SkipWeekends, WEEKDAY(M1)=6),M1+3, M1+1)</f>
        <v>40870</v>
      </c>
      <c r="Q1" s="193"/>
      <c r="R1" s="193"/>
      <c r="S1" s="193">
        <f>IF(AND(SkipWeekends, WEEKDAY(P1)=6),P1+3, P1+1)</f>
        <v>40871</v>
      </c>
      <c r="T1" s="193"/>
      <c r="U1" s="193"/>
      <c r="V1" s="193">
        <f>IF(AND(SkipWeekends, WEEKDAY(S1)=6),S1+3, S1+1)</f>
        <v>40872</v>
      </c>
      <c r="W1" s="193"/>
      <c r="X1" s="193"/>
      <c r="Y1" s="193">
        <f>IF(AND(SkipWeekends, WEEKDAY(V1)=6),V1+3, V1+1)</f>
        <v>40873</v>
      </c>
      <c r="Z1" s="193"/>
      <c r="AA1" s="193"/>
      <c r="AB1" s="193">
        <f>IF(AND(SkipWeekends, WEEKDAY(Y1)=6),Y1+3, Y1+1)</f>
        <v>40874</v>
      </c>
      <c r="AC1" s="193"/>
      <c r="AD1" s="193"/>
      <c r="AE1" s="193">
        <f>IF(AND(SkipWeekends, WEEKDAY(AB1)=6),AB1+3, AB1+1)</f>
        <v>40875</v>
      </c>
      <c r="AF1" s="193"/>
      <c r="AG1" s="193"/>
      <c r="AH1" s="193">
        <f>IF(AND(SkipWeekends, WEEKDAY(AE1)=6),AE1+3, AE1+1)</f>
        <v>40876</v>
      </c>
      <c r="AI1" s="193"/>
      <c r="AJ1" s="193"/>
      <c r="AK1" s="193">
        <f>IF(AND(SkipWeekends, WEEKDAY(AH1)=6),AH1+3, AH1+1)</f>
        <v>40877</v>
      </c>
      <c r="AL1" s="193"/>
      <c r="AM1" s="193"/>
      <c r="AN1" s="193">
        <f>IF(AND(SkipWeekends, WEEKDAY(AK1)=6),AK1+3, AK1+1)</f>
        <v>40878</v>
      </c>
      <c r="AO1" s="193"/>
      <c r="AP1" s="193"/>
      <c r="AQ1" s="193">
        <f>IF(AND(SkipWeekends, WEEKDAY(AN1)=6),AN1+3, AN1+1)</f>
        <v>40879</v>
      </c>
      <c r="AR1" s="193"/>
      <c r="AS1" s="193"/>
      <c r="AT1" s="193">
        <f>IF(AND(SkipWeekends, WEEKDAY(AQ1)=6),AQ1+3, AQ1+1)</f>
        <v>40880</v>
      </c>
      <c r="AU1" s="193"/>
      <c r="AV1" s="193"/>
      <c r="AW1" s="193">
        <f>IF(AND(SkipWeekends, WEEKDAY(AT1)=6),AT1+3, AT1+1)</f>
        <v>40881</v>
      </c>
      <c r="AX1" s="193"/>
      <c r="AY1" s="193"/>
      <c r="AZ1" s="193" t="e">
        <f>IF(AND(SkipWeekends, WEEKDAY(#REF!)=6),#REF!+3,#REF!+ 1)</f>
        <v>#REF!</v>
      </c>
      <c r="BA1" s="193"/>
      <c r="BB1" s="193"/>
      <c r="BC1" s="193" t="e">
        <f>IF(AND(SkipWeekends, WEEKDAY(AZ1)=6),AZ1+3, AZ1+1)</f>
        <v>#REF!</v>
      </c>
      <c r="BD1" s="193"/>
      <c r="BE1" s="193"/>
      <c r="BF1" s="193" t="e">
        <f>IF(AND(SkipWeekends, WEEKDAY(BC1)=6),BC1+3, BC1+1)</f>
        <v>#REF!</v>
      </c>
      <c r="BG1" s="193"/>
      <c r="BH1" s="193"/>
      <c r="BI1" s="193" t="e">
        <f>IF(AND(SkipWeekends, WEEKDAY(BF1)=6),BF1+3, BF1+1)</f>
        <v>#REF!</v>
      </c>
      <c r="BJ1" s="193"/>
      <c r="BK1" s="193"/>
      <c r="BL1" s="193" t="e">
        <f>IF(AND(SkipWeekends, WEEKDAY(BI1)=6),BI1+3, BI1+1)</f>
        <v>#REF!</v>
      </c>
      <c r="BM1" s="193"/>
      <c r="BN1" s="193"/>
      <c r="BO1" s="193" t="e">
        <f>IF(AND(SkipWeekends, WEEKDAY(BL1)=6),BL1+3, BL1+1)</f>
        <v>#REF!</v>
      </c>
      <c r="BP1" s="193"/>
      <c r="BQ1" s="193"/>
      <c r="BR1" s="193" t="e">
        <f>IF(AND(SkipWeekends, WEEKDAY(BO1)=6),BO1+3, BO1+1)</f>
        <v>#REF!</v>
      </c>
      <c r="BS1" s="193"/>
      <c r="BT1" s="193"/>
      <c r="BU1" s="193" t="e">
        <f>IF(AND(SkipWeekends, WEEKDAY(BR1)=6),BR1+3, BR1+1)</f>
        <v>#REF!</v>
      </c>
      <c r="BV1" s="193"/>
      <c r="BW1" s="193"/>
      <c r="BX1" s="193" t="e">
        <f>IF(AND(SkipWeekends, WEEKDAY(BU1)=6),BU1+3, BU1+1)</f>
        <v>#REF!</v>
      </c>
      <c r="BY1" s="193"/>
      <c r="BZ1" s="193"/>
      <c r="CA1" s="193" t="e">
        <f>IF(AND(SkipWeekends, WEEKDAY(BX1)=6),BX1+3, BX1+1)</f>
        <v>#REF!</v>
      </c>
      <c r="CB1" s="193"/>
      <c r="CC1" s="193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102</v>
      </c>
      <c r="B4" s="16" t="s">
        <v>123</v>
      </c>
      <c r="C4" s="16" t="s">
        <v>159</v>
      </c>
      <c r="D4" s="17" t="s">
        <v>149</v>
      </c>
      <c r="E4" s="178" t="s">
        <v>150</v>
      </c>
      <c r="F4" s="18" t="s">
        <v>114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2</v>
      </c>
      <c r="J4" s="22">
        <v>2</v>
      </c>
      <c r="K4" s="22">
        <f t="shared" ref="K4" si="1">MAX(I4-J4, 0)</f>
        <v>0</v>
      </c>
      <c r="L4" s="23" t="str">
        <f>IF(SUMPRODUCT($J$71:K$71,$J4:K4)&lt;0.5,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2</v>
      </c>
    </row>
    <row r="5" spans="1:83" x14ac:dyDescent="0.2">
      <c r="A5" s="16"/>
      <c r="B5" s="16" t="s">
        <v>123</v>
      </c>
      <c r="C5" s="16" t="s">
        <v>159</v>
      </c>
      <c r="D5" s="17" t="s">
        <v>155</v>
      </c>
      <c r="E5" s="178" t="s">
        <v>151</v>
      </c>
      <c r="F5" s="18" t="s">
        <v>114</v>
      </c>
      <c r="G5" s="19" t="str">
        <f t="shared" ca="1" si="0"/>
        <v>Pending</v>
      </c>
      <c r="H5" s="20">
        <v>1</v>
      </c>
      <c r="I5" s="21">
        <v>5</v>
      </c>
      <c r="J5" s="22">
        <v>0</v>
      </c>
      <c r="K5" s="22">
        <f t="shared" ref="K5:K67" si="24">MAX(I5-J5, 0)</f>
        <v>5</v>
      </c>
      <c r="L5" s="23" t="str">
        <f>IF(SUMPRODUCT($J$71:K$71,$J5:K5)&lt;0.5, "Pending", IF(K5&lt;0.5, "Complete", "In Progress"))</f>
        <v>Pending</v>
      </c>
      <c r="M5" s="22">
        <v>0</v>
      </c>
      <c r="N5" s="22">
        <f t="shared" ref="N5:N67" si="25">MAX(K5-M5,0)</f>
        <v>5</v>
      </c>
      <c r="O5" s="23" t="str">
        <f>IF(SUMPRODUCT($J$71:N$71,$J5:N5)&lt;0.5, "Pending", IF(N5&lt;0.5, "Complete", "In Progress"))</f>
        <v>Pending</v>
      </c>
      <c r="P5" s="22">
        <v>0</v>
      </c>
      <c r="Q5" s="22">
        <f t="shared" ref="Q5:Q67" si="26">MAX(N5-P5,0)</f>
        <v>5</v>
      </c>
      <c r="R5" s="23" t="str">
        <f>IF(SUMPRODUCT($J$71:Q$71,$J5:Q5)&lt;0.5, "Pending", IF(Q5&lt;0.5, "Complete", "In Progress"))</f>
        <v>Pending</v>
      </c>
      <c r="S5" s="22">
        <v>0</v>
      </c>
      <c r="T5" s="22">
        <f t="shared" ref="T5:T67" si="27">MAX(Q5-S5,0)</f>
        <v>5</v>
      </c>
      <c r="U5" s="23" t="str">
        <f>IF(SUMPRODUCT($J$71:T$71,$J5:T5)&lt;0.5, "Pending", IF(T5&lt;0.5, "Complete", "In Progress"))</f>
        <v>Pending</v>
      </c>
      <c r="V5" s="22">
        <v>0</v>
      </c>
      <c r="W5" s="22">
        <f t="shared" ref="W5:W67" si="28">MAX(T5-V5,0)</f>
        <v>5</v>
      </c>
      <c r="X5" s="23" t="str">
        <f>IF(SUMPRODUCT($J$71:W$71,$J5:W5)&lt;0.5, "Pending", IF(W5&lt;0.5, "Complete", "In Progress"))</f>
        <v>Pending</v>
      </c>
      <c r="Y5" s="22">
        <v>0</v>
      </c>
      <c r="Z5" s="22">
        <f t="shared" ref="Z5:Z67" si="29">MAX(W5-Y5,0)</f>
        <v>5</v>
      </c>
      <c r="AA5" s="23" t="str">
        <f>IF(SUMPRODUCT($J$71:Z$71,$J5:Z5)&lt;0.5, "Pending", IF(Z5&lt;0.5, "Complete", "In Progress"))</f>
        <v>Pending</v>
      </c>
      <c r="AB5" s="22">
        <v>0</v>
      </c>
      <c r="AC5" s="22">
        <f t="shared" ref="AC5:AC67" si="30">MAX(Z5-AB5,0)</f>
        <v>5</v>
      </c>
      <c r="AD5" s="23" t="str">
        <f>IF(SUMPRODUCT($J$71:AC$71,$J5:AC5)&lt;0.5, "Pending", IF(AC5&lt;0.5, "Complete", "In Progress"))</f>
        <v>Pending</v>
      </c>
      <c r="AE5" s="22">
        <v>0</v>
      </c>
      <c r="AF5" s="22">
        <f t="shared" ref="AF5:AF67" si="31">MAX(AC5-AE5,0)</f>
        <v>5</v>
      </c>
      <c r="AG5" s="23" t="str">
        <f>IF(SUMPRODUCT($J$71:AF$71,$J5:AF5)&lt;0.5, "Pending", IF(AF5&lt;0.5, "Complete", "In Progress"))</f>
        <v>Pending</v>
      </c>
      <c r="AH5" s="22">
        <v>0</v>
      </c>
      <c r="AI5" s="22">
        <f t="shared" ref="AI5:AI67" si="32">MAX(AF5-AH5,0)</f>
        <v>5</v>
      </c>
      <c r="AJ5" s="23" t="str">
        <f>IF(SUMPRODUCT($J$71:AI$71,$J5:AI5)&lt;0.5, "Pending", IF(AI5&lt;0.5, "Complete", "In Progress"))</f>
        <v>Pending</v>
      </c>
      <c r="AK5" s="22">
        <v>0</v>
      </c>
      <c r="AL5" s="22">
        <f t="shared" ref="AL5:AL67" si="33">MAX(AI5-AK5,0)</f>
        <v>5</v>
      </c>
      <c r="AM5" s="23" t="str">
        <f>IF(SUMPRODUCT($J$71:AL$71,$J5:AL5)&lt;0.5, "Pending", IF(AL5&lt;0.5, "Complete", "In Progress"))</f>
        <v>Pending</v>
      </c>
      <c r="AN5" s="22">
        <v>0</v>
      </c>
      <c r="AO5" s="22">
        <f t="shared" ref="AO5:AO67" si="34">MAX(AL5-AN5,0)</f>
        <v>5</v>
      </c>
      <c r="AP5" s="23" t="str">
        <f>IF(SUMPRODUCT($J$71:AO$71,$J5:AO5)&lt;0.5, "Pending", IF(AO5&lt;0.5, "Complete", "In Progress"))</f>
        <v>Pending</v>
      </c>
      <c r="AQ5" s="22">
        <v>0</v>
      </c>
      <c r="AR5" s="22">
        <f t="shared" ref="AR5:AR67" si="35">MAX(AO5-AQ5,0)</f>
        <v>5</v>
      </c>
      <c r="AS5" s="23" t="str">
        <f>IF(SUMPRODUCT($J$71:AR$71,$J5:AR5)&lt;0.5, "Pending", IF(AR5&lt;0.5, "Complete", "In Progress"))</f>
        <v>Pending</v>
      </c>
      <c r="AT5" s="22">
        <v>0</v>
      </c>
      <c r="AU5" s="22">
        <f t="shared" ref="AU5:AU67" si="36">MAX(AR5-AT5,0)</f>
        <v>5</v>
      </c>
      <c r="AV5" s="23" t="str">
        <f>IF(SUMPRODUCT($J$71:AU$71,$J5:AU5)&lt;0.5, "Pending", IF(AU5&lt;0.5, "Complete", "In Progress"))</f>
        <v>Pending</v>
      </c>
      <c r="AW5" s="22">
        <v>0</v>
      </c>
      <c r="AX5" s="22">
        <f t="shared" ref="AX5:AX67" si="37">MAX(AU5-AW5,0)</f>
        <v>5</v>
      </c>
      <c r="AY5" s="23" t="str">
        <f>IF(SUMPRODUCT($J$71:AX$71,$J5:AX5)&lt;0.5,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ref="BD5:BD67" si="38">MAX(BA5-BC5,0)</f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ref="BG5:BG67" si="39">MAX(BD5-BF5,0)</f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ref="BJ5:BJ67" si="40">MAX(BG5-BI5,0)</f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ref="BM5:BM67" si="41">MAX(BJ5-BL5,0)</f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ref="BP5:BP67" si="42">MAX(BM5-BO5,0)</f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ref="BS5:BS67" si="43">MAX(BP5-BR5,0)</f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ref="BV5:BV67" si="44">MAX(BS5-BU5,0)</f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ref="BY5:BY67" si="45">MAX(BV5-BX5,0)</f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ref="CB5:CB67" si="46">MAX(BY5-CA5,0)</f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0</v>
      </c>
    </row>
    <row r="6" spans="1:83" x14ac:dyDescent="0.2">
      <c r="A6" s="16"/>
      <c r="B6" s="16" t="s">
        <v>123</v>
      </c>
      <c r="C6" s="16" t="s">
        <v>159</v>
      </c>
      <c r="D6" s="17" t="s">
        <v>156</v>
      </c>
      <c r="E6" s="178" t="s">
        <v>152</v>
      </c>
      <c r="F6" s="18" t="s">
        <v>114</v>
      </c>
      <c r="G6" s="19" t="str">
        <f t="shared" ca="1" si="0"/>
        <v>Pending</v>
      </c>
      <c r="H6" s="20">
        <v>1</v>
      </c>
      <c r="I6" s="21">
        <v>13</v>
      </c>
      <c r="J6" s="22">
        <v>0</v>
      </c>
      <c r="K6" s="22">
        <f t="shared" si="24"/>
        <v>13</v>
      </c>
      <c r="L6" s="23" t="str">
        <f>IF(SUMPRODUCT($J$71:K$71,$J6:K6)&lt;0.5, "Pending", IF(K6&lt;0.5, "Complete", "In Progress"))</f>
        <v>Pending</v>
      </c>
      <c r="M6" s="22">
        <v>0</v>
      </c>
      <c r="N6" s="22"/>
      <c r="O6" s="23" t="str">
        <f>IF(SUMPRODUCT($J$71:N$71,$J6:N6)&lt;0.5,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 x14ac:dyDescent="0.2">
      <c r="A7" s="16"/>
      <c r="B7" s="16" t="s">
        <v>126</v>
      </c>
      <c r="C7" s="16" t="s">
        <v>159</v>
      </c>
      <c r="D7" s="17" t="s">
        <v>157</v>
      </c>
      <c r="E7" s="178" t="s">
        <v>153</v>
      </c>
      <c r="F7" s="18" t="s">
        <v>114</v>
      </c>
      <c r="G7" s="19" t="str">
        <f t="shared" ca="1" si="0"/>
        <v>Pending</v>
      </c>
      <c r="H7" s="20">
        <v>1</v>
      </c>
      <c r="I7" s="21">
        <v>2</v>
      </c>
      <c r="J7" s="22">
        <v>0</v>
      </c>
      <c r="K7" s="22">
        <f t="shared" si="24"/>
        <v>2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si="25"/>
        <v>2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si="26"/>
        <v>2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si="27"/>
        <v>2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si="28"/>
        <v>2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si="29"/>
        <v>2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si="30"/>
        <v>2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si="31"/>
        <v>2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si="32"/>
        <v>2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si="33"/>
        <v>2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si="34"/>
        <v>2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si="35"/>
        <v>2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si="36"/>
        <v>2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si="37"/>
        <v>2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/>
      <c r="B8" s="16" t="s">
        <v>124</v>
      </c>
      <c r="C8" s="16" t="s">
        <v>159</v>
      </c>
      <c r="D8" s="17" t="s">
        <v>158</v>
      </c>
      <c r="E8" s="178" t="s">
        <v>154</v>
      </c>
      <c r="F8" s="18" t="s">
        <v>114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/>
      <c r="B9" s="16" t="s">
        <v>125</v>
      </c>
      <c r="C9" s="16" t="s">
        <v>159</v>
      </c>
      <c r="D9" s="17" t="s">
        <v>163</v>
      </c>
      <c r="E9" s="178" t="s">
        <v>161</v>
      </c>
      <c r="F9" s="18" t="s">
        <v>114</v>
      </c>
      <c r="G9" s="19" t="str">
        <f t="shared" ca="1" si="0"/>
        <v>Pending</v>
      </c>
      <c r="H9" s="20">
        <v>1</v>
      </c>
      <c r="I9" s="21">
        <v>5</v>
      </c>
      <c r="J9" s="22">
        <v>0</v>
      </c>
      <c r="K9" s="22">
        <f t="shared" si="24"/>
        <v>5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5"/>
        <v>5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6"/>
        <v>5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27"/>
        <v>5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28"/>
        <v>5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29"/>
        <v>5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30"/>
        <v>5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31"/>
        <v>5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32"/>
        <v>5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33"/>
        <v>5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34"/>
        <v>5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35"/>
        <v>5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36"/>
        <v>5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37"/>
        <v>5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/>
      <c r="B10" s="16" t="s">
        <v>125</v>
      </c>
      <c r="C10" s="16" t="s">
        <v>159</v>
      </c>
      <c r="D10" s="17" t="s">
        <v>164</v>
      </c>
      <c r="E10" s="178" t="s">
        <v>162</v>
      </c>
      <c r="F10" s="18" t="s">
        <v>114</v>
      </c>
      <c r="G10" s="19" t="str">
        <f t="shared" ca="1" si="0"/>
        <v>Pending</v>
      </c>
      <c r="H10" s="20">
        <v>1</v>
      </c>
      <c r="I10" s="21">
        <v>8</v>
      </c>
      <c r="J10" s="22">
        <v>0</v>
      </c>
      <c r="K10" s="22">
        <f t="shared" si="24"/>
        <v>8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5"/>
        <v>8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6"/>
        <v>8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27"/>
        <v>8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28"/>
        <v>8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29"/>
        <v>8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30"/>
        <v>8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31"/>
        <v>8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32"/>
        <v>8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33"/>
        <v>8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34"/>
        <v>8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35"/>
        <v>8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36"/>
        <v>8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37"/>
        <v>8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/>
      <c r="B11" s="16" t="s">
        <v>125</v>
      </c>
      <c r="C11" s="16" t="s">
        <v>159</v>
      </c>
      <c r="D11" s="17" t="s">
        <v>165</v>
      </c>
      <c r="E11" s="178" t="s">
        <v>167</v>
      </c>
      <c r="F11" s="18" t="s">
        <v>114</v>
      </c>
      <c r="G11" s="19" t="str">
        <f t="shared" ca="1" si="0"/>
        <v>Pending</v>
      </c>
      <c r="H11" s="20">
        <v>1</v>
      </c>
      <c r="I11" s="21">
        <v>13</v>
      </c>
      <c r="J11" s="22">
        <v>0</v>
      </c>
      <c r="K11" s="22">
        <f t="shared" si="24"/>
        <v>13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5"/>
        <v>13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6"/>
        <v>13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27"/>
        <v>13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28"/>
        <v>13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29"/>
        <v>13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30"/>
        <v>13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31"/>
        <v>13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32"/>
        <v>13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33"/>
        <v>13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34"/>
        <v>13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35"/>
        <v>13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36"/>
        <v>13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37"/>
        <v>13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/>
      <c r="B12" s="16" t="s">
        <v>125</v>
      </c>
      <c r="C12" s="16" t="s">
        <v>159</v>
      </c>
      <c r="D12" s="17" t="s">
        <v>169</v>
      </c>
      <c r="E12" s="178" t="s">
        <v>166</v>
      </c>
      <c r="F12" s="18" t="s">
        <v>114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/>
      <c r="B13" s="16" t="s">
        <v>125</v>
      </c>
      <c r="C13" s="16" t="s">
        <v>159</v>
      </c>
      <c r="D13" s="17" t="s">
        <v>170</v>
      </c>
      <c r="E13" s="178" t="s">
        <v>168</v>
      </c>
      <c r="F13" s="18" t="s">
        <v>114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ref="K13:K15" si="47">MAX(I13-J13, 0)</f>
        <v>0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ref="N13:N15" si="48">MAX(K13-M13,0)</f>
        <v>0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ref="Q13:Q15" si="49">MAX(N13-P13,0)</f>
        <v>0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ref="T13:T15" si="50">MAX(Q13-S13,0)</f>
        <v>0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ref="W13:W15" si="51">MAX(T13-V13,0)</f>
        <v>0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ref="Z13:Z15" si="52">MAX(W13-Y13,0)</f>
        <v>0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ref="AC13:AC15" si="53">MAX(Z13-AB13,0)</f>
        <v>0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ref="AF13:AF15" si="54">MAX(AC13-AE13,0)</f>
        <v>0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ref="AI13:AI15" si="55">MAX(AF13-AH13,0)</f>
        <v>0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ref="AL13:AL15" si="56">MAX(AI13-AK13,0)</f>
        <v>0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ref="AO13:AO15" si="57">MAX(AL13-AN13,0)</f>
        <v>0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ref="AR13:AR15" si="58">MAX(AO13-AQ13,0)</f>
        <v>0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ref="AU13:AU15" si="59">MAX(AR13-AT13,0)</f>
        <v>0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ref="AX13:AX15" si="60">MAX(AU13-AW13,0)</f>
        <v>0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/>
      <c r="B14" s="16" t="s">
        <v>187</v>
      </c>
      <c r="C14" s="16" t="s">
        <v>171</v>
      </c>
      <c r="D14" s="17" t="s">
        <v>172</v>
      </c>
      <c r="E14" s="178" t="s">
        <v>188</v>
      </c>
      <c r="F14" s="18" t="s">
        <v>114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ref="K14" si="70">MAX(I14-J14, 0)</f>
        <v>0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ref="N14" si="71">MAX(K14-M14,0)</f>
        <v>0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ref="Q14" si="72">MAX(N14-P14,0)</f>
        <v>0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ref="T14" si="73">MAX(Q14-S14,0)</f>
        <v>0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ref="W14" si="74">MAX(T14-V14,0)</f>
        <v>0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ref="Z14" si="75">MAX(W14-Y14,0)</f>
        <v>0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ref="AC14" si="76">MAX(Z14-AB14,0)</f>
        <v>0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ref="AF14" si="77">MAX(AC14-AE14,0)</f>
        <v>0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ref="AI14" si="78">MAX(AF14-AH14,0)</f>
        <v>0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ref="AL14" si="79">MAX(AI14-AK14,0)</f>
        <v>0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ref="AO14" si="80">MAX(AL14-AN14,0)</f>
        <v>0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ref="AR14" si="81">MAX(AO14-AQ14,0)</f>
        <v>0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ref="AU14" si="82">MAX(AR14-AT14,0)</f>
        <v>0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ref="AX14" si="83">MAX(AU14-AW14,0)</f>
        <v>0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/>
      <c r="B15" s="16" t="s">
        <v>187</v>
      </c>
      <c r="C15" s="16" t="s">
        <v>171</v>
      </c>
      <c r="D15" s="17" t="s">
        <v>175</v>
      </c>
      <c r="E15" s="178" t="s">
        <v>186</v>
      </c>
      <c r="F15" s="18" t="s">
        <v>114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47"/>
        <v>0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8"/>
        <v>0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49"/>
        <v>0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50"/>
        <v>0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51"/>
        <v>0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2"/>
        <v>0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53"/>
        <v>0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54"/>
        <v>0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55"/>
        <v>0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56"/>
        <v>0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57"/>
        <v>0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58"/>
        <v>0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59"/>
        <v>0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60"/>
        <v>0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/>
      <c r="B16" s="16" t="s">
        <v>123</v>
      </c>
      <c r="C16" s="16" t="s">
        <v>171</v>
      </c>
      <c r="D16" s="17" t="s">
        <v>176</v>
      </c>
      <c r="E16" s="178" t="s">
        <v>150</v>
      </c>
      <c r="F16" s="18" t="s">
        <v>114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/>
      <c r="B17" s="16" t="s">
        <v>123</v>
      </c>
      <c r="C17" s="16" t="s">
        <v>171</v>
      </c>
      <c r="D17" s="17" t="s">
        <v>177</v>
      </c>
      <c r="E17" s="178" t="s">
        <v>151</v>
      </c>
      <c r="F17" s="18" t="s">
        <v>114</v>
      </c>
      <c r="G17" s="19" t="str">
        <f t="shared" ca="1" si="0"/>
        <v>Pending</v>
      </c>
      <c r="H17" s="20">
        <v>1</v>
      </c>
      <c r="I17" s="21">
        <v>2</v>
      </c>
      <c r="J17" s="22">
        <v>0</v>
      </c>
      <c r="K17" s="22">
        <f t="shared" si="24"/>
        <v>2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5"/>
        <v>2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6"/>
        <v>2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27"/>
        <v>2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28"/>
        <v>2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29"/>
        <v>2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30"/>
        <v>2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31"/>
        <v>2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32"/>
        <v>2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33"/>
        <v>2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34"/>
        <v>2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35"/>
        <v>2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36"/>
        <v>2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37"/>
        <v>2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/>
      <c r="B18" s="16" t="s">
        <v>123</v>
      </c>
      <c r="C18" s="16" t="s">
        <v>171</v>
      </c>
      <c r="D18" s="17" t="s">
        <v>184</v>
      </c>
      <c r="E18" s="178" t="s">
        <v>152</v>
      </c>
      <c r="F18" s="18" t="s">
        <v>114</v>
      </c>
      <c r="G18" s="19" t="str">
        <f t="shared" ca="1" si="0"/>
        <v>Pending</v>
      </c>
      <c r="H18" s="20">
        <v>1</v>
      </c>
      <c r="I18" s="21">
        <v>5</v>
      </c>
      <c r="J18" s="22">
        <v>0</v>
      </c>
      <c r="K18" s="22">
        <f t="shared" si="24"/>
        <v>5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5"/>
        <v>5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6"/>
        <v>5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27"/>
        <v>5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28"/>
        <v>5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29"/>
        <v>5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30"/>
        <v>5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31"/>
        <v>5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32"/>
        <v>5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33"/>
        <v>5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34"/>
        <v>5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35"/>
        <v>5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36"/>
        <v>5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37"/>
        <v>5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/>
      <c r="B19" s="16" t="s">
        <v>126</v>
      </c>
      <c r="C19" s="16" t="s">
        <v>171</v>
      </c>
      <c r="D19" s="17" t="s">
        <v>189</v>
      </c>
      <c r="E19" s="178" t="s">
        <v>153</v>
      </c>
      <c r="F19" s="18" t="s">
        <v>114</v>
      </c>
      <c r="G19" s="19" t="str">
        <f t="shared" ca="1" si="0"/>
        <v>Pending</v>
      </c>
      <c r="H19" s="20">
        <v>1</v>
      </c>
      <c r="I19" s="21">
        <v>13</v>
      </c>
      <c r="J19" s="22">
        <v>0</v>
      </c>
      <c r="K19" s="22">
        <f t="shared" ref="K19" si="93">MAX(I19-J19, 0)</f>
        <v>13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ref="N19" si="94">MAX(K19-M19,0)</f>
        <v>13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ref="Q19" si="95">MAX(N19-P19,0)</f>
        <v>13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ref="T19" si="96">MAX(Q19-S19,0)</f>
        <v>13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ref="W19" si="97">MAX(T19-V19,0)</f>
        <v>13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ref="Z19" si="98">MAX(W19-Y19,0)</f>
        <v>13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ref="AC19" si="99">MAX(Z19-AB19,0)</f>
        <v>13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ref="AF19" si="100">MAX(AC19-AE19,0)</f>
        <v>13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ref="AI19" si="101">MAX(AF19-AH19,0)</f>
        <v>13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ref="AL19" si="102">MAX(AI19-AK19,0)</f>
        <v>13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ref="AO19" si="103">MAX(AL19-AN19,0)</f>
        <v>13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ref="AR19" si="104">MAX(AO19-AQ19,0)</f>
        <v>13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ref="AU19" si="105">MAX(AR19-AT19,0)</f>
        <v>13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ref="AX19" si="106">MAX(AU19-AW19,0)</f>
        <v>13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/>
      <c r="B20" s="16" t="s">
        <v>124</v>
      </c>
      <c r="C20" s="16" t="s">
        <v>171</v>
      </c>
      <c r="D20" s="17" t="s">
        <v>190</v>
      </c>
      <c r="E20" s="178" t="s">
        <v>174</v>
      </c>
      <c r="F20" s="18" t="s">
        <v>114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/>
      <c r="B21" s="16" t="s">
        <v>123</v>
      </c>
      <c r="C21" s="16" t="s">
        <v>171</v>
      </c>
      <c r="D21" s="17" t="s">
        <v>179</v>
      </c>
      <c r="E21" s="178" t="s">
        <v>150</v>
      </c>
      <c r="F21" s="18" t="s">
        <v>114</v>
      </c>
      <c r="G21" s="19" t="str">
        <f t="shared" ca="1" si="0"/>
        <v>Pending</v>
      </c>
      <c r="H21" s="20">
        <v>1</v>
      </c>
      <c r="I21" s="21">
        <v>20</v>
      </c>
      <c r="J21" s="22">
        <v>0</v>
      </c>
      <c r="K21" s="22">
        <f t="shared" ref="K21:K22" si="116">MAX(I21-J21, 0)</f>
        <v>20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ref="N21:N22" si="117">MAX(K21-M21,0)</f>
        <v>20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ref="Q21:Q22" si="118">MAX(N21-P21,0)</f>
        <v>20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ref="T21:T22" si="119">MAX(Q21-S21,0)</f>
        <v>20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ref="W21:W22" si="120">MAX(T21-V21,0)</f>
        <v>20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ref="Z21:Z22" si="121">MAX(W21-Y21,0)</f>
        <v>20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ref="AC21:AC22" si="122">MAX(Z21-AB21,0)</f>
        <v>20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ref="AF21:AF22" si="123">MAX(AC21-AE21,0)</f>
        <v>20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ref="AI21:AI22" si="124">MAX(AF21-AH21,0)</f>
        <v>20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ref="AL21:AL22" si="125">MAX(AI21-AK21,0)</f>
        <v>20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ref="AO21:AO22" si="126">MAX(AL21-AN21,0)</f>
        <v>20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ref="AR21:AR22" si="127">MAX(AO21-AQ21,0)</f>
        <v>20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ref="AU21:AU22" si="128">MAX(AR21-AT21,0)</f>
        <v>20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ref="AX21:AX22" si="129">MAX(AU21-AW21,0)</f>
        <v>20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/>
      <c r="B22" s="16" t="s">
        <v>124</v>
      </c>
      <c r="C22" s="16" t="s">
        <v>178</v>
      </c>
      <c r="D22" s="17" t="s">
        <v>180</v>
      </c>
      <c r="E22" s="178" t="s">
        <v>191</v>
      </c>
      <c r="F22" s="18" t="s">
        <v>114</v>
      </c>
      <c r="G22" s="19" t="str">
        <f t="shared" ca="1" si="0"/>
        <v>Pending</v>
      </c>
      <c r="H22" s="20">
        <v>1</v>
      </c>
      <c r="I22" s="21">
        <v>20</v>
      </c>
      <c r="J22" s="22">
        <v>0</v>
      </c>
      <c r="K22" s="22">
        <f t="shared" si="116"/>
        <v>20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117"/>
        <v>20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118"/>
        <v>20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119"/>
        <v>20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120"/>
        <v>20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121"/>
        <v>20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122"/>
        <v>20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123"/>
        <v>20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124"/>
        <v>20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125"/>
        <v>20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26"/>
        <v>20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27"/>
        <v>20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8"/>
        <v>20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29"/>
        <v>20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/>
      <c r="B23" s="16" t="s">
        <v>124</v>
      </c>
      <c r="C23" s="16" t="s">
        <v>178</v>
      </c>
      <c r="D23" s="17" t="s">
        <v>181</v>
      </c>
      <c r="E23" s="178" t="s">
        <v>192</v>
      </c>
      <c r="F23" s="18" t="s">
        <v>114</v>
      </c>
      <c r="G23" s="19" t="str">
        <f t="shared" ca="1" si="0"/>
        <v>Pending</v>
      </c>
      <c r="H23" s="20">
        <v>1</v>
      </c>
      <c r="I23" s="21">
        <v>20</v>
      </c>
      <c r="J23" s="22">
        <v>0</v>
      </c>
      <c r="K23" s="22">
        <f t="shared" si="24"/>
        <v>20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5"/>
        <v>20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6"/>
        <v>20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27"/>
        <v>20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28"/>
        <v>20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29"/>
        <v>20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30"/>
        <v>20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31"/>
        <v>20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32"/>
        <v>20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33"/>
        <v>20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34"/>
        <v>20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35"/>
        <v>20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36"/>
        <v>20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37"/>
        <v>20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/>
      <c r="B24" s="16" t="s">
        <v>123</v>
      </c>
      <c r="C24" s="16" t="s">
        <v>178</v>
      </c>
      <c r="D24" s="17" t="s">
        <v>183</v>
      </c>
      <c r="E24" s="178" t="s">
        <v>151</v>
      </c>
      <c r="F24" s="18" t="s">
        <v>114</v>
      </c>
      <c r="G24" s="19" t="str">
        <f t="shared" ca="1" si="0"/>
        <v>Pending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25"/>
        <v>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6"/>
        <v>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27"/>
        <v>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28"/>
        <v>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29"/>
        <v>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30"/>
        <v>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31"/>
        <v>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32"/>
        <v>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33"/>
        <v>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34"/>
        <v>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35"/>
        <v>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36"/>
        <v>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37"/>
        <v>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/>
      <c r="B25" s="16" t="s">
        <v>123</v>
      </c>
      <c r="C25" s="16" t="s">
        <v>178</v>
      </c>
      <c r="D25" s="17" t="s">
        <v>185</v>
      </c>
      <c r="E25" s="178" t="s">
        <v>152</v>
      </c>
      <c r="F25" s="18" t="s">
        <v>114</v>
      </c>
      <c r="G25" s="19" t="str">
        <f t="shared" ca="1" si="0"/>
        <v>Pending</v>
      </c>
      <c r="H25" s="20">
        <v>1</v>
      </c>
      <c r="I25" s="21">
        <v>2</v>
      </c>
      <c r="J25" s="22">
        <v>0</v>
      </c>
      <c r="K25" s="22">
        <f t="shared" si="24"/>
        <v>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5"/>
        <v>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6"/>
        <v>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27"/>
        <v>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28"/>
        <v>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29"/>
        <v>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30"/>
        <v>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31"/>
        <v>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32"/>
        <v>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33"/>
        <v>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34"/>
        <v>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35"/>
        <v>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36"/>
        <v>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37"/>
        <v>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/>
      <c r="B26" s="16" t="s">
        <v>126</v>
      </c>
      <c r="C26" s="16" t="s">
        <v>178</v>
      </c>
      <c r="D26" s="17" t="s">
        <v>193</v>
      </c>
      <c r="E26" s="178" t="s">
        <v>153</v>
      </c>
      <c r="F26" s="18" t="s">
        <v>114</v>
      </c>
      <c r="G26" s="19" t="str">
        <f t="shared" ca="1" si="0"/>
        <v>Pending</v>
      </c>
      <c r="H26" s="20">
        <v>1</v>
      </c>
      <c r="I26" s="21">
        <v>5</v>
      </c>
      <c r="J26" s="22">
        <v>0</v>
      </c>
      <c r="K26" s="22">
        <f t="shared" ref="K26" si="139">MAX(I26-J26, 0)</f>
        <v>5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ref="N26" si="140">MAX(K26-M26,0)</f>
        <v>5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ref="Q26" si="141">MAX(N26-P26,0)</f>
        <v>5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ref="T26" si="142">MAX(Q26-S26,0)</f>
        <v>5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ref="W26" si="143">MAX(T26-V26,0)</f>
        <v>5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ref="Z26" si="144">MAX(W26-Y26,0)</f>
        <v>5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ref="AC26" si="145">MAX(Z26-AB26,0)</f>
        <v>5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ref="AF26" si="146">MAX(AC26-AE26,0)</f>
        <v>5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ref="AI26" si="147">MAX(AF26-AH26,0)</f>
        <v>5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ref="AL26" si="148">MAX(AI26-AK26,0)</f>
        <v>5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ref="AO26" si="149">MAX(AL26-AN26,0)</f>
        <v>5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ref="AR26" si="150">MAX(AO26-AQ26,0)</f>
        <v>5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ref="AU26" si="151">MAX(AR26-AT26,0)</f>
        <v>5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ref="AX26" si="152">MAX(AU26-AW26,0)</f>
        <v>5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ref="BD26" si="153">MAX(BA26-BC26,0)</f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ref="BG26" si="154">MAX(BD26-BF26,0)</f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ref="BJ26" si="155">MAX(BG26-BI26,0)</f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ref="BM26" si="156">MAX(BJ26-BL26,0)</f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ref="BP26" si="157">MAX(BM26-BO26,0)</f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ref="BS26" si="158">MAX(BP26-BR26,0)</f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ref="BV26" si="159">MAX(BS26-BU26,0)</f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ref="BY26" si="160">MAX(BV26-BX26,0)</f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ref="CB26" si="161">MAX(BY26-CA26,0)</f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/>
      <c r="B27" s="16" t="s">
        <v>124</v>
      </c>
      <c r="C27" s="16" t="s">
        <v>178</v>
      </c>
      <c r="D27" s="17" t="s">
        <v>194</v>
      </c>
      <c r="E27" s="178" t="s">
        <v>182</v>
      </c>
      <c r="F27" s="18" t="s">
        <v>114</v>
      </c>
      <c r="G27" s="19" t="str">
        <f t="shared" ca="1" si="0"/>
        <v>Pending</v>
      </c>
      <c r="H27" s="20">
        <v>1</v>
      </c>
      <c r="I27" s="21">
        <v>2</v>
      </c>
      <c r="J27" s="22">
        <v>0</v>
      </c>
      <c r="K27" s="22">
        <f t="shared" si="24"/>
        <v>2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5"/>
        <v>2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6"/>
        <v>2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27"/>
        <v>2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28"/>
        <v>2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29"/>
        <v>2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30"/>
        <v>2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31"/>
        <v>2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32"/>
        <v>2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33"/>
        <v>2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34"/>
        <v>2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35"/>
        <v>2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36"/>
        <v>2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37"/>
        <v>2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/>
      <c r="C28" s="16"/>
      <c r="D28" s="17"/>
      <c r="F28" s="18" t="s">
        <v>114</v>
      </c>
      <c r="G28" s="19" t="str">
        <f t="shared" ca="1" si="0"/>
        <v>Pending</v>
      </c>
      <c r="H28" s="20">
        <v>1</v>
      </c>
      <c r="I28" s="21">
        <v>40</v>
      </c>
      <c r="J28" s="22">
        <v>0</v>
      </c>
      <c r="K28" s="22">
        <f t="shared" si="24"/>
        <v>40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5"/>
        <v>40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6"/>
        <v>40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27"/>
        <v>40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28"/>
        <v>40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29"/>
        <v>40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30"/>
        <v>40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31"/>
        <v>40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32"/>
        <v>40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33"/>
        <v>40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34"/>
        <v>40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35"/>
        <v>40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36"/>
        <v>40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37"/>
        <v>40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114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114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/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62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63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64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65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66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67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68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69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70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71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72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73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74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75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76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77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78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79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80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81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82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83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84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4" t="s">
        <v>9</v>
      </c>
      <c r="K70" s="195"/>
      <c r="L70" s="30">
        <v>1</v>
      </c>
      <c r="M70" s="192" t="s">
        <v>9</v>
      </c>
      <c r="N70" s="196"/>
      <c r="O70" s="30">
        <f>L70+1</f>
        <v>2</v>
      </c>
      <c r="P70" s="192" t="s">
        <v>9</v>
      </c>
      <c r="Q70" s="196"/>
      <c r="R70" s="30">
        <f>O70+1</f>
        <v>3</v>
      </c>
      <c r="S70" s="192" t="s">
        <v>9</v>
      </c>
      <c r="T70" s="196"/>
      <c r="U70" s="30">
        <f>R70+1</f>
        <v>4</v>
      </c>
      <c r="V70" s="192" t="s">
        <v>9</v>
      </c>
      <c r="W70" s="196"/>
      <c r="X70" s="30">
        <f>U70+1</f>
        <v>5</v>
      </c>
      <c r="Y70" s="192" t="s">
        <v>9</v>
      </c>
      <c r="Z70" s="192"/>
      <c r="AA70" s="30">
        <f>X70+1</f>
        <v>6</v>
      </c>
      <c r="AB70" s="192" t="s">
        <v>9</v>
      </c>
      <c r="AC70" s="192"/>
      <c r="AD70" s="30">
        <f>AA70+1</f>
        <v>7</v>
      </c>
      <c r="AE70" s="192" t="s">
        <v>9</v>
      </c>
      <c r="AF70" s="192"/>
      <c r="AG70" s="30">
        <f>AD70+1</f>
        <v>8</v>
      </c>
      <c r="AH70" s="192" t="s">
        <v>9</v>
      </c>
      <c r="AI70" s="192"/>
      <c r="AJ70" s="30">
        <f>AG70+1</f>
        <v>9</v>
      </c>
      <c r="AK70" s="192" t="s">
        <v>9</v>
      </c>
      <c r="AL70" s="192"/>
      <c r="AM70" s="30">
        <f>AJ70+1</f>
        <v>10</v>
      </c>
      <c r="AN70" s="192" t="s">
        <v>9</v>
      </c>
      <c r="AO70" s="192"/>
      <c r="AP70" s="30">
        <f>AM70+1</f>
        <v>11</v>
      </c>
      <c r="AQ70" s="192" t="s">
        <v>9</v>
      </c>
      <c r="AR70" s="192"/>
      <c r="AS70" s="30">
        <f>AP70+1</f>
        <v>12</v>
      </c>
      <c r="AT70" s="192" t="s">
        <v>9</v>
      </c>
      <c r="AU70" s="192"/>
      <c r="AV70" s="30">
        <f>AS70+1</f>
        <v>13</v>
      </c>
      <c r="AW70" s="192" t="s">
        <v>9</v>
      </c>
      <c r="AX70" s="192"/>
      <c r="AY70" s="30">
        <f>AV70+1</f>
        <v>14</v>
      </c>
      <c r="AZ70" s="192" t="s">
        <v>9</v>
      </c>
      <c r="BA70" s="196"/>
      <c r="BB70" s="30" t="e">
        <f>#REF!+1</f>
        <v>#REF!</v>
      </c>
      <c r="BC70" s="192" t="s">
        <v>9</v>
      </c>
      <c r="BD70" s="196"/>
      <c r="BE70" s="30" t="e">
        <f>BB70+1</f>
        <v>#REF!</v>
      </c>
      <c r="BF70" s="192" t="s">
        <v>9</v>
      </c>
      <c r="BG70" s="196"/>
      <c r="BH70" s="30" t="e">
        <f>BE70+1</f>
        <v>#REF!</v>
      </c>
      <c r="BI70" s="192" t="s">
        <v>9</v>
      </c>
      <c r="BJ70" s="196"/>
      <c r="BK70" s="30" t="e">
        <f>BH70+1</f>
        <v>#REF!</v>
      </c>
      <c r="BL70" s="192" t="s">
        <v>9</v>
      </c>
      <c r="BM70" s="196"/>
      <c r="BN70" s="30" t="e">
        <f>BK70+1</f>
        <v>#REF!</v>
      </c>
      <c r="BO70" s="192" t="s">
        <v>9</v>
      </c>
      <c r="BP70" s="196"/>
      <c r="BQ70" s="30" t="e">
        <f>BN70+1</f>
        <v>#REF!</v>
      </c>
      <c r="BR70" s="192" t="s">
        <v>9</v>
      </c>
      <c r="BS70" s="196"/>
      <c r="BT70" s="30" t="e">
        <f>BQ70+1</f>
        <v>#REF!</v>
      </c>
      <c r="BU70" s="192" t="s">
        <v>9</v>
      </c>
      <c r="BV70" s="196"/>
      <c r="BW70" s="30" t="e">
        <f>BT70+1</f>
        <v>#REF!</v>
      </c>
      <c r="BX70" s="192" t="s">
        <v>9</v>
      </c>
      <c r="BY70" s="196"/>
      <c r="BZ70" s="30" t="e">
        <f>BW70+1</f>
        <v>#REF!</v>
      </c>
      <c r="CA70" s="192" t="s">
        <v>9</v>
      </c>
      <c r="CB70" s="196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189</v>
      </c>
      <c r="J74" s="156">
        <f>SUBTOTAL(109,J$4:J$69)</f>
        <v>2</v>
      </c>
      <c r="K74" s="156">
        <f>SUBTOTAL(109,K$4:K$68)</f>
        <v>187</v>
      </c>
      <c r="L74" s="39"/>
      <c r="M74" s="39">
        <f>SUBTOTAL(109,M$4:M$69)</f>
        <v>0</v>
      </c>
      <c r="N74" s="39">
        <f>SUBTOTAL(109,N$4:N$68)</f>
        <v>174</v>
      </c>
      <c r="O74" s="39"/>
      <c r="P74" s="39">
        <f>SUBTOTAL(109,P$4:P$69)</f>
        <v>0</v>
      </c>
      <c r="Q74" s="39">
        <f>SUBTOTAL(109,Q$4:Q$68)</f>
        <v>174</v>
      </c>
      <c r="R74" s="39"/>
      <c r="S74" s="39">
        <f>SUBTOTAL(109,S$4:S$69)</f>
        <v>0</v>
      </c>
      <c r="T74" s="39">
        <f>SUBTOTAL(109,T$4:T$68)</f>
        <v>174</v>
      </c>
      <c r="U74" s="39"/>
      <c r="V74" s="39">
        <f>SUBTOTAL(109,V$4:V$69)</f>
        <v>0</v>
      </c>
      <c r="W74" s="39">
        <f>SUBTOTAL(109,W$4:W$68)</f>
        <v>174</v>
      </c>
      <c r="X74" s="39"/>
      <c r="Y74" s="39">
        <f>SUBTOTAL(109,Y$4:Y$69)</f>
        <v>0</v>
      </c>
      <c r="Z74" s="39">
        <f>SUBTOTAL(109,Z$4:Z$68)</f>
        <v>174</v>
      </c>
      <c r="AA74" s="39"/>
      <c r="AB74" s="39">
        <f>SUBTOTAL(109,AB$4:AB$69)</f>
        <v>0</v>
      </c>
      <c r="AC74" s="39">
        <f>SUBTOTAL(109,AC$4:AC$68)</f>
        <v>174</v>
      </c>
      <c r="AD74" s="39"/>
      <c r="AE74" s="39">
        <f>SUBTOTAL(109,AE$4:AE$69)</f>
        <v>0</v>
      </c>
      <c r="AF74" s="39">
        <f>SUBTOTAL(109,AF$4:AF$68)</f>
        <v>174</v>
      </c>
      <c r="AG74" s="39"/>
      <c r="AH74" s="39">
        <f>SUBTOTAL(109,AH$4:AH$69)</f>
        <v>0</v>
      </c>
      <c r="AI74" s="39">
        <f>SUBTOTAL(109,AI$4:AI$68)</f>
        <v>174</v>
      </c>
      <c r="AJ74" s="39"/>
      <c r="AK74" s="39">
        <f>SUBTOTAL(109,AK$4:AK$69)</f>
        <v>0</v>
      </c>
      <c r="AL74" s="39">
        <f>SUBTOTAL(109,AL$4:AL$68)</f>
        <v>174</v>
      </c>
      <c r="AM74" s="39"/>
      <c r="AN74" s="39">
        <f>SUBTOTAL(109,AN$4:AN$69)</f>
        <v>0</v>
      </c>
      <c r="AO74" s="39">
        <f>SUBTOTAL(109,AO$4:AO$68)</f>
        <v>174</v>
      </c>
      <c r="AP74" s="39"/>
      <c r="AQ74" s="39">
        <f>SUBTOTAL(109,AQ$4:AQ$69)</f>
        <v>0</v>
      </c>
      <c r="AR74" s="39">
        <f>SUBTOTAL(109,AR$4:AR$68)</f>
        <v>174</v>
      </c>
      <c r="AS74" s="39"/>
      <c r="AT74" s="39">
        <f>SUBTOTAL(109,AT$4:AT$69)</f>
        <v>0</v>
      </c>
      <c r="AU74" s="39">
        <f>SUBTOTAL(109,AU$4:AU$68)</f>
        <v>174</v>
      </c>
      <c r="AV74" s="39"/>
      <c r="AW74" s="39">
        <f>SUBTOTAL(109,AW$4:AW$69)</f>
        <v>0</v>
      </c>
      <c r="AX74" s="39">
        <f>SUBTOTAL(109,AX$4:AX$68)</f>
        <v>174</v>
      </c>
      <c r="AY74" s="39"/>
      <c r="AZ74" s="39">
        <f t="shared" ref="AZ74:CC74" si="185">SUBTOTAL(109,AZ$4:AZ$68)</f>
        <v>0</v>
      </c>
      <c r="BA74" s="39" t="e">
        <f t="shared" si="185"/>
        <v>#REF!</v>
      </c>
      <c r="BB74" s="39" t="e">
        <f t="shared" si="185"/>
        <v>#REF!</v>
      </c>
      <c r="BC74" s="39">
        <f t="shared" si="185"/>
        <v>0</v>
      </c>
      <c r="BD74" s="39" t="e">
        <f t="shared" si="185"/>
        <v>#REF!</v>
      </c>
      <c r="BE74" s="39" t="e">
        <f t="shared" si="185"/>
        <v>#REF!</v>
      </c>
      <c r="BF74" s="39">
        <f t="shared" si="185"/>
        <v>0</v>
      </c>
      <c r="BG74" s="39" t="e">
        <f t="shared" si="185"/>
        <v>#REF!</v>
      </c>
      <c r="BH74" s="39" t="e">
        <f t="shared" si="185"/>
        <v>#REF!</v>
      </c>
      <c r="BI74" s="39">
        <f t="shared" si="185"/>
        <v>0</v>
      </c>
      <c r="BJ74" s="39" t="e">
        <f t="shared" si="185"/>
        <v>#REF!</v>
      </c>
      <c r="BK74" s="39" t="e">
        <f t="shared" si="185"/>
        <v>#REF!</v>
      </c>
      <c r="BL74" s="39">
        <f t="shared" si="185"/>
        <v>0</v>
      </c>
      <c r="BM74" s="39" t="e">
        <f t="shared" si="185"/>
        <v>#REF!</v>
      </c>
      <c r="BN74" s="39" t="e">
        <f t="shared" si="185"/>
        <v>#REF!</v>
      </c>
      <c r="BO74" s="39">
        <f t="shared" si="185"/>
        <v>0</v>
      </c>
      <c r="BP74" s="39" t="e">
        <f t="shared" si="185"/>
        <v>#REF!</v>
      </c>
      <c r="BQ74" s="39" t="e">
        <f t="shared" si="185"/>
        <v>#REF!</v>
      </c>
      <c r="BR74" s="39">
        <f t="shared" si="185"/>
        <v>0</v>
      </c>
      <c r="BS74" s="39" t="e">
        <f t="shared" si="185"/>
        <v>#REF!</v>
      </c>
      <c r="BT74" s="39" t="e">
        <f t="shared" si="185"/>
        <v>#REF!</v>
      </c>
      <c r="BU74" s="39">
        <f t="shared" si="185"/>
        <v>0</v>
      </c>
      <c r="BV74" s="39" t="e">
        <f t="shared" si="185"/>
        <v>#REF!</v>
      </c>
      <c r="BW74" s="39" t="e">
        <f t="shared" si="185"/>
        <v>#REF!</v>
      </c>
      <c r="BX74" s="39">
        <f t="shared" si="185"/>
        <v>0</v>
      </c>
      <c r="BY74" s="39" t="e">
        <f t="shared" si="185"/>
        <v>#REF!</v>
      </c>
      <c r="BZ74" s="39" t="e">
        <f t="shared" si="185"/>
        <v>#REF!</v>
      </c>
      <c r="CA74" s="39">
        <f t="shared" si="185"/>
        <v>0</v>
      </c>
      <c r="CB74" s="39" t="e">
        <f t="shared" si="185"/>
        <v>#REF!</v>
      </c>
      <c r="CC74" s="39" t="e">
        <f t="shared" si="185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E70:AF70"/>
    <mergeCell ref="AB70:AC70"/>
    <mergeCell ref="Y70:Z70"/>
    <mergeCell ref="AE1:AG1"/>
    <mergeCell ref="AB1:AD1"/>
    <mergeCell ref="Y1:AA1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0:AU70"/>
    <mergeCell ref="AW70:AX70"/>
    <mergeCell ref="AH70:AI70"/>
    <mergeCell ref="AK70:AL70"/>
    <mergeCell ref="AN70:AO70"/>
    <mergeCell ref="AQ70:AR70"/>
  </mergeCells>
  <phoneticPr fontId="2" type="noConversion"/>
  <conditionalFormatting sqref="I74">
    <cfRule type="cellIs" dxfId="96" priority="97" stopIfTrue="1" operator="lessThan">
      <formula>C74*0.75</formula>
    </cfRule>
    <cfRule type="cellIs" dxfId="95" priority="97" stopIfTrue="1" operator="between">
      <formula>C74*0.75</formula>
      <formula>#REF!</formula>
    </cfRule>
    <cfRule type="cellIs" dxfId="94" priority="97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3" priority="8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2" priority="9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1" priority="91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7:S68 AW27:AW68 AT27:AT68 AQ27:AQ68 AN27:AN68 AK27:AK68 AH27:AH68 AE27:AE68 AB27:AB68 Y27:Y68 V27:V68 CA27:CA68 BX27:BX68 BU27:BU68 BR27:BR68 BO27:BO68 BL27:BL68 BI27:BI68 BF27:BF68 BC27:BC68 AZ27:AZ68 M27:M68 J27:J68 P27:P68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90" priority="100" stopIfTrue="1">
      <formula>J$1=TODAY()+DailyScrumDateModifier</formula>
    </cfRule>
    <cfRule type="expression" dxfId="89" priority="100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7:N68 AX27:AX68 AU27:AU68 AR27:AR68 AL27:AL68 AF27:AF68 AC27:AC68 Z27:Z68 W27:W68 Q27:Q68 CB27:CB68 BY27:BY68 BV27:BV68 BS27:BS68 BP27:BP68 BM27:BM68 BJ27:BJ68 BG27:BG68 BD27:BD68 BA27:BA68 K27:K68 T27:T68 AI27:AI68 AO27:AO68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88" priority="102" stopIfTrue="1">
      <formula>J$1=TODAY()+DailyScrumDateModifier</formula>
    </cfRule>
    <cfRule type="expression" dxfId="87" priority="102" stopIfTrue="1">
      <formula>MOD(ROW(),2)</formula>
    </cfRule>
  </conditionalFormatting>
  <conditionalFormatting sqref="CE4:CE12 A29:E68 A4:E12 H4:I12 H20:I20 CE20 A20:C20 CE27:CE69 H27:I68 E27 H16:I18 CE16:CE18 A16:C18 A23:A28 C23:C28 B23:B27 E16:E20 CE23:CE25 H23:I25">
    <cfRule type="expression" dxfId="86" priority="104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7:CC68 BZ27:BZ68 BW27:BW68 BT27:BT68 BQ27:BQ68 BN27:BN68 BK27:BK68 BH27:BH68 BE27:BE68 BB27:BB68 X27:X68 U27:U68 R27:R68 O27:O68 AY27:AY68 AV27:AV68 AS27:AS68 AP27:AP68 AM27:AM68 AJ27:AJ68 AG27:AG68 AD27:AD68 AA27:AA68 L27:L68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85" priority="105" stopIfTrue="1" operator="equal">
      <formula>"Pending"</formula>
    </cfRule>
    <cfRule type="cellIs" dxfId="84" priority="105" stopIfTrue="1" operator="equal">
      <formula>"In Progress"</formula>
    </cfRule>
    <cfRule type="cellIs" dxfId="83" priority="105" stopIfTrue="1" operator="equal">
      <formula>"Complete"</formula>
    </cfRule>
  </conditionalFormatting>
  <conditionalFormatting sqref="J1:CC1">
    <cfRule type="expression" dxfId="82" priority="92" stopIfTrue="1">
      <formula>J$1=TODAY()+DailyScrumDateModifier</formula>
    </cfRule>
    <cfRule type="expression" dxfId="81" priority="92" stopIfTrue="1">
      <formula>J$1=TODAY()</formula>
    </cfRule>
  </conditionalFormatting>
  <conditionalFormatting sqref="J75:K76 M75:N76">
    <cfRule type="expression" dxfId="80" priority="94" stopIfTrue="1">
      <formula>"I1=TODAY()"</formula>
    </cfRule>
  </conditionalFormatting>
  <conditionalFormatting sqref="G70">
    <cfRule type="cellIs" dxfId="79" priority="95" stopIfTrue="1" operator="equal">
      <formula>"Complete"</formula>
    </cfRule>
    <cfRule type="cellIs" dxfId="78" priority="95" stopIfTrue="1" operator="equal">
      <formula>"In Progress"</formula>
    </cfRule>
  </conditionalFormatting>
  <conditionalFormatting sqref="G4:G12 G20 G27:G68 G16:G18 G23:G25">
    <cfRule type="cellIs" dxfId="77" priority="108" stopIfTrue="1" operator="equal">
      <formula>"Complete"</formula>
    </cfRule>
    <cfRule type="cellIs" dxfId="76" priority="108" stopIfTrue="1" operator="equal">
      <formula>"In Progress"</formula>
    </cfRule>
    <cfRule type="cellIs" dxfId="75" priority="108" stopIfTrue="1" operator="equal">
      <formula>"Pending"</formula>
    </cfRule>
  </conditionalFormatting>
  <conditionalFormatting sqref="E23:E24">
    <cfRule type="expression" dxfId="74" priority="86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73" priority="75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72" priority="76" stopIfTrue="1">
      <formula>J$1=TODAY()+DailyScrumDateModifier</formula>
    </cfRule>
  </conditionalFormatting>
  <conditionalFormatting sqref="H19:I19 A19:C19 CE19">
    <cfRule type="expression" dxfId="71" priority="77" stopIfTrue="1">
      <formula>MOD(ROW(),2)</formula>
    </cfRule>
  </conditionalFormatting>
  <conditionalFormatting sqref="L19 AA19 AD19 AG19 AJ19 AM19 AP19 AS19 AV19 AY19 O19 R19 U19 X19 BB19 BE19 BH19 BK19 BN19 BQ19 BT19 BW19 BZ19 CC19">
    <cfRule type="cellIs" dxfId="70" priority="78" stopIfTrue="1" operator="equal">
      <formula>"Pending"</formula>
    </cfRule>
  </conditionalFormatting>
  <conditionalFormatting sqref="G19">
    <cfRule type="cellIs" dxfId="69" priority="79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68" priority="64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67" priority="65" stopIfTrue="1">
      <formula>J$1=TODAY()+DailyScrumDateModifier</formula>
    </cfRule>
  </conditionalFormatting>
  <conditionalFormatting sqref="CE26 H26:I26 D28">
    <cfRule type="expression" dxfId="66" priority="66" stopIfTrue="1">
      <formula>MOD(ROW(),2)</formula>
    </cfRule>
  </conditionalFormatting>
  <conditionalFormatting sqref="CC26 BZ26 BW26 BT26 BQ26 BN26 BK26 BH26 BE26 BB26 X26 U26 R26 O26 AY26 AV26 AS26 AP26 AM26 AJ26 AG26 AD26 AA26 L26">
    <cfRule type="cellIs" dxfId="65" priority="67" stopIfTrue="1" operator="equal">
      <formula>"Pending"</formula>
    </cfRule>
  </conditionalFormatting>
  <conditionalFormatting sqref="G26">
    <cfRule type="cellIs" dxfId="64" priority="68" stopIfTrue="1" operator="equal">
      <formula>"Complete"</formula>
    </cfRule>
  </conditionalFormatting>
  <conditionalFormatting sqref="E25">
    <cfRule type="expression" dxfId="63" priority="63" stopIfTrue="1">
      <formula>MOD(ROW(),2)</formula>
    </cfRule>
  </conditionalFormatting>
  <conditionalFormatting sqref="E26">
    <cfRule type="expression" dxfId="62" priority="62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61" priority="51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60" priority="52" stopIfTrue="1">
      <formula>J$1=TODAY()+DailyScrumDateModifier</formula>
    </cfRule>
  </conditionalFormatting>
  <conditionalFormatting sqref="H13:I13 A13:E13 CE13">
    <cfRule type="expression" dxfId="59" priority="53" stopIfTrue="1">
      <formula>MOD(ROW(),2)</formula>
    </cfRule>
  </conditionalFormatting>
  <conditionalFormatting sqref="L13 AA13 AD13 AG13 AJ13 AM13 AP13 AS13 AV13 AY13 O13 R13 U13 X13 BB13 BE13 BH13 BK13 BN13 BQ13 BT13 BW13 BZ13 CC13">
    <cfRule type="cellIs" dxfId="58" priority="54" stopIfTrue="1" operator="equal">
      <formula>"Pending"</formula>
    </cfRule>
  </conditionalFormatting>
  <conditionalFormatting sqref="G13">
    <cfRule type="cellIs" dxfId="57" priority="55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56" priority="40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55" priority="41" stopIfTrue="1">
      <formula>J$1=TODAY()+DailyScrumDateModifier</formula>
    </cfRule>
  </conditionalFormatting>
  <conditionalFormatting sqref="H15:I15 A15:D15 CE15 D16:D20">
    <cfRule type="expression" dxfId="54" priority="42" stopIfTrue="1">
      <formula>MOD(ROW(),2)</formula>
    </cfRule>
  </conditionalFormatting>
  <conditionalFormatting sqref="L15 AA15 AD15 AG15 AJ15 AM15 AP15 AS15 AV15 AY15 O15 R15 U15 X15 BB15 BE15 BH15 BK15 BN15 BQ15 BT15 BW15 BZ15 CC15">
    <cfRule type="cellIs" dxfId="53" priority="43" stopIfTrue="1" operator="equal">
      <formula>"Pending"</formula>
    </cfRule>
  </conditionalFormatting>
  <conditionalFormatting sqref="G15">
    <cfRule type="cellIs" dxfId="52" priority="44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51" priority="29" stopIfTrue="1">
      <formula>J$1=TODAY()+DailyScrumDateModifier</formula>
    </cfRule>
    <cfRule type="expression" dxfId="50" priority="38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49" priority="30" stopIfTrue="1">
      <formula>J$1=TODAY()+DailyScrumDateModifier</formula>
    </cfRule>
    <cfRule type="expression" dxfId="48" priority="36" stopIfTrue="1">
      <formula>MOD(ROW(),2)</formula>
    </cfRule>
  </conditionalFormatting>
  <conditionalFormatting sqref="H14:I14 A14:E14 CE14">
    <cfRule type="expression" dxfId="47" priority="31" stopIfTrue="1">
      <formula>MOD(ROW(),2)</formula>
    </cfRule>
  </conditionalFormatting>
  <conditionalFormatting sqref="L14 AA14 AD14 AG14 AJ14 AM14 AP14 AS14 AV14 AY14 O14 R14 U14 X14 BB14 BE14 BH14 BK14 BN14 BQ14 BT14 BW14 BZ14 CC14">
    <cfRule type="cellIs" dxfId="46" priority="32" stopIfTrue="1" operator="equal">
      <formula>"In Progress"</formula>
    </cfRule>
    <cfRule type="cellIs" dxfId="45" priority="32" stopIfTrue="1" operator="equal">
      <formula>"Pending"</formula>
    </cfRule>
    <cfRule type="cellIs" dxfId="44" priority="33" stopIfTrue="1" operator="equal">
      <formula>"Complete"</formula>
    </cfRule>
  </conditionalFormatting>
  <conditionalFormatting sqref="G14">
    <cfRule type="cellIs" dxfId="43" priority="109" stopIfTrue="1" operator="equal">
      <formula>"In Progress"</formula>
    </cfRule>
    <cfRule type="cellIs" dxfId="42" priority="109" stopIfTrue="1" operator="equal">
      <formula>"Pending"</formula>
    </cfRule>
    <cfRule type="cellIs" dxfId="41" priority="109" stopIfTrue="1" operator="equal">
      <formula>"Complete"</formula>
    </cfRule>
  </conditionalFormatting>
  <conditionalFormatting sqref="E15">
    <cfRule type="expression" dxfId="40" priority="28" stopIfTrue="1">
      <formula>MOD(ROW(),2)</formula>
    </cfRule>
  </conditionalFormatting>
  <conditionalFormatting sqref="E18">
    <cfRule type="expression" dxfId="39" priority="27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38" priority="16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37" priority="17" stopIfTrue="1">
      <formula>J$1=TODAY()+DailyScrumDateModifier</formula>
    </cfRule>
  </conditionalFormatting>
  <conditionalFormatting sqref="A21:C21 CE21 H21:I21">
    <cfRule type="expression" dxfId="36" priority="18" stopIfTrue="1">
      <formula>MOD(ROW(),2)</formula>
    </cfRule>
  </conditionalFormatting>
  <conditionalFormatting sqref="CC21 BZ21 BW21 BT21 BQ21 BN21 BK21 BH21 BE21 BB21 X21 U21 R21 O21 AY21 AV21 AS21 AP21 AM21 AJ21 AG21 AD21 AA21 L21">
    <cfRule type="cellIs" dxfId="35" priority="19" stopIfTrue="1" operator="equal">
      <formula>"Pending"</formula>
    </cfRule>
  </conditionalFormatting>
  <conditionalFormatting sqref="G21">
    <cfRule type="cellIs" dxfId="34" priority="20" stopIfTrue="1" operator="equal">
      <formula>"Complete"</formula>
    </cfRule>
  </conditionalFormatting>
  <conditionalFormatting sqref="E21">
    <cfRule type="expression" dxfId="33" priority="15" stopIfTrue="1">
      <formula>MOD(ROW(),2)</formula>
    </cfRule>
  </conditionalFormatting>
  <conditionalFormatting sqref="D21:D27">
    <cfRule type="expression" dxfId="32" priority="14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31" priority="3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30" priority="4" stopIfTrue="1">
      <formula>J$1=TODAY()+DailyScrumDateModifier</formula>
    </cfRule>
  </conditionalFormatting>
  <conditionalFormatting sqref="A22:C22 CE22 H22:I22">
    <cfRule type="expression" dxfId="29" priority="5" stopIfTrue="1">
      <formula>MOD(ROW(),2)</formula>
    </cfRule>
  </conditionalFormatting>
  <conditionalFormatting sqref="CC22 BZ22 BW22 BT22 BQ22 BN22 BK22 BH22 BE22 BB22 X22 U22 R22 O22 AY22 AV22 AS22 AP22 AM22 AJ22 AG22 AD22 AA22 L22">
    <cfRule type="cellIs" dxfId="28" priority="6" stopIfTrue="1" operator="equal">
      <formula>"Pending"</formula>
    </cfRule>
  </conditionalFormatting>
  <conditionalFormatting sqref="G22">
    <cfRule type="cellIs" dxfId="27" priority="7" stopIfTrue="1" operator="equal">
      <formula>"Complete"</formula>
    </cfRule>
  </conditionalFormatting>
  <conditionalFormatting sqref="E22">
    <cfRule type="expression" dxfId="26" priority="2" stopIfTrue="1">
      <formula>MOD(ROW(),2)</formula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29:B68 B4:B2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187</v>
      </c>
      <c r="F22" s="162">
        <f t="shared" ca="1" si="1"/>
        <v>174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0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2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189</v>
      </c>
      <c r="F25" s="163">
        <f t="shared" ca="1" si="3"/>
        <v>176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40961.5</v>
      </c>
      <c r="F28" s="169">
        <f t="shared" ca="1" si="5"/>
        <v>41043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40961.5</v>
      </c>
      <c r="F29" s="169">
        <f t="shared" ca="1" si="6"/>
        <v>41043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187</v>
      </c>
      <c r="F31" s="165">
        <f t="shared" ca="1" si="7"/>
        <v>174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>
        <f t="shared" ca="1" si="9"/>
        <v>2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64</v>
      </c>
      <c r="F35" s="165">
        <f t="shared" ca="1" si="10"/>
        <v>64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1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ter</v>
      </c>
      <c r="E2" s="48">
        <f ca="1">TODAY()</f>
        <v>40869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200" t="s">
        <v>47</v>
      </c>
      <c r="C5" s="201"/>
      <c r="D5" s="201"/>
      <c r="E5" s="201"/>
      <c r="F5" s="201"/>
      <c r="G5" s="202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3"/>
      <c r="X6" s="204"/>
      <c r="Y6" s="204"/>
      <c r="Z6" s="204"/>
      <c r="AA6" s="204"/>
      <c r="AB6" s="205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6" t="s">
        <v>42</v>
      </c>
      <c r="X7" s="207"/>
      <c r="Y7" s="207"/>
      <c r="Z7" s="207"/>
      <c r="AA7" s="207"/>
      <c r="AB7" s="208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SUMIF(Sprint!$F$3:$F$1861,E8,Sprint!$AX$4:$AX$1861)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7">
        <f t="shared" ref="W8:W25" si="5">IF(E8="unassigned",0,(COUNTIF(I8:V8,1)*$C$6)*F8)</f>
        <v>0</v>
      </c>
      <c r="X8" s="198"/>
      <c r="Y8" s="198"/>
      <c r="Z8" s="198"/>
      <c r="AA8" s="198"/>
      <c r="AB8" s="199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SUMIF(Sprint!$F$3:$F$1861,E9,Sprint!$AX$4:$AX$1861)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7">
        <f t="shared" si="5"/>
        <v>0</v>
      </c>
      <c r="X9" s="198"/>
      <c r="Y9" s="198"/>
      <c r="Z9" s="198"/>
      <c r="AA9" s="198"/>
      <c r="AB9" s="199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SUMIF(Sprint!$F$3:$F$1861,E10,Sprint!$AX$4:$AX$1861)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7">
        <f t="shared" si="5"/>
        <v>0</v>
      </c>
      <c r="X10" s="198"/>
      <c r="Y10" s="198"/>
      <c r="Z10" s="198"/>
      <c r="AA10" s="198"/>
      <c r="AB10" s="199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SUMIF(Sprint!$F$3:$F$1861,E11,Sprint!$AX$4:$AX$1861)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7">
        <f t="shared" si="5"/>
        <v>0</v>
      </c>
      <c r="X11" s="198"/>
      <c r="Y11" s="198"/>
      <c r="Z11" s="198"/>
      <c r="AA11" s="198"/>
      <c r="AB11" s="199"/>
    </row>
    <row r="12" spans="2:28" ht="13.5" thickBot="1" x14ac:dyDescent="0.25">
      <c r="B12" s="96"/>
      <c r="D12" s="97"/>
      <c r="E12" s="18"/>
      <c r="F12" s="89"/>
      <c r="G12" s="83">
        <f ca="1">SUMIF(Sprint!$F$3:$F$1861,E12,Sprint!$AX$4:$AX$1861)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7">
        <f t="shared" si="5"/>
        <v>0</v>
      </c>
      <c r="X12" s="198"/>
      <c r="Y12" s="198"/>
      <c r="Z12" s="198"/>
      <c r="AA12" s="198"/>
      <c r="AB12" s="199"/>
    </row>
    <row r="13" spans="2:28" ht="13.5" thickBot="1" x14ac:dyDescent="0.25">
      <c r="B13" s="96"/>
      <c r="D13" s="98"/>
      <c r="E13" s="18"/>
      <c r="F13" s="89"/>
      <c r="G13" s="83">
        <f ca="1">SUMIF(Sprint!$F$3:$F$1861,E13,Sprint!$AX$4:$AX$1861)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7">
        <f t="shared" si="5"/>
        <v>0</v>
      </c>
      <c r="X13" s="198"/>
      <c r="Y13" s="198"/>
      <c r="Z13" s="198"/>
      <c r="AA13" s="198"/>
      <c r="AB13" s="199"/>
    </row>
    <row r="14" spans="2:28" ht="13.5" thickBot="1" x14ac:dyDescent="0.25">
      <c r="B14" s="96"/>
      <c r="D14" s="62"/>
      <c r="E14" s="18"/>
      <c r="F14" s="89"/>
      <c r="G14" s="83">
        <f ca="1">SUMIF(Sprint!$F$3:$F$1861,E14,Sprint!$AX$4:$AX$1861)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7">
        <f t="shared" si="5"/>
        <v>0</v>
      </c>
      <c r="X14" s="198"/>
      <c r="Y14" s="198"/>
      <c r="Z14" s="198"/>
      <c r="AA14" s="198"/>
      <c r="AB14" s="199"/>
    </row>
    <row r="15" spans="2:28" ht="13.5" thickBot="1" x14ac:dyDescent="0.25">
      <c r="B15" s="96"/>
      <c r="D15" s="62"/>
      <c r="E15" s="18"/>
      <c r="F15" s="89"/>
      <c r="G15" s="83">
        <f ca="1">SUMIF(Sprint!$F$3:$F$1861,E15,Sprint!$AX$4:$AX$1861)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7">
        <f t="shared" si="5"/>
        <v>0</v>
      </c>
      <c r="X15" s="198"/>
      <c r="Y15" s="198"/>
      <c r="Z15" s="198"/>
      <c r="AA15" s="198"/>
      <c r="AB15" s="199"/>
    </row>
    <row r="16" spans="2:28" ht="13.5" thickBot="1" x14ac:dyDescent="0.25">
      <c r="B16" s="96"/>
      <c r="D16" s="98"/>
      <c r="E16" s="18"/>
      <c r="F16" s="89"/>
      <c r="G16" s="83">
        <f ca="1">SUMIF(Sprint!$F$3:$F$1861,E16,Sprint!$AX$4:$AX$1861)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7">
        <f t="shared" si="5"/>
        <v>0</v>
      </c>
      <c r="X16" s="198"/>
      <c r="Y16" s="198"/>
      <c r="Z16" s="198"/>
      <c r="AA16" s="198"/>
      <c r="AB16" s="199"/>
    </row>
    <row r="17" spans="2:28" ht="13.5" thickBot="1" x14ac:dyDescent="0.25">
      <c r="B17" s="96"/>
      <c r="D17" s="98"/>
      <c r="E17" s="18"/>
      <c r="F17" s="89"/>
      <c r="G17" s="83">
        <f ca="1">SUMIF(Sprint!$F$3:$F$1861,E17,Sprint!$AX$4:$AX$1861)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7">
        <f t="shared" si="5"/>
        <v>0</v>
      </c>
      <c r="X17" s="198"/>
      <c r="Y17" s="198"/>
      <c r="Z17" s="198"/>
      <c r="AA17" s="198"/>
      <c r="AB17" s="199"/>
    </row>
    <row r="18" spans="2:28" ht="13.5" thickBot="1" x14ac:dyDescent="0.25">
      <c r="B18" s="96"/>
      <c r="D18" s="98"/>
      <c r="E18" s="18"/>
      <c r="F18" s="89"/>
      <c r="G18" s="83">
        <f ca="1">SUMIF(Sprint!$F$3:$F$1861,E18,Sprint!$AX$4:$AX$1861)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7">
        <f t="shared" si="5"/>
        <v>0</v>
      </c>
      <c r="X18" s="198"/>
      <c r="Y18" s="198"/>
      <c r="Z18" s="198"/>
      <c r="AA18" s="198"/>
      <c r="AB18" s="199"/>
    </row>
    <row r="19" spans="2:28" ht="13.5" thickBot="1" x14ac:dyDescent="0.25">
      <c r="B19" s="96"/>
      <c r="D19" s="98"/>
      <c r="E19" s="18"/>
      <c r="F19" s="89"/>
      <c r="G19" s="83">
        <f ca="1">SUMIF(Sprint!$F$3:$F$1861,E19,Sprint!$AX$4:$AX$1861)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7">
        <f t="shared" si="5"/>
        <v>0</v>
      </c>
      <c r="X19" s="198"/>
      <c r="Y19" s="198"/>
      <c r="Z19" s="198"/>
      <c r="AA19" s="198"/>
      <c r="AB19" s="199"/>
    </row>
    <row r="20" spans="2:28" ht="13.5" thickBot="1" x14ac:dyDescent="0.25">
      <c r="B20" s="96"/>
      <c r="D20" s="98"/>
      <c r="E20" s="18"/>
      <c r="F20" s="89"/>
      <c r="G20" s="83">
        <f ca="1">SUMIF(Sprint!$F$3:$F$1861,E20,Sprint!$AX$4:$AX$1861)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7">
        <f t="shared" si="5"/>
        <v>0</v>
      </c>
      <c r="X20" s="198"/>
      <c r="Y20" s="198"/>
      <c r="Z20" s="198"/>
      <c r="AA20" s="198"/>
      <c r="AB20" s="199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SUMIF(Sprint!$F$3:$F$1861,E21,Sprint!$AX$4:$AX$1861)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7">
        <f t="shared" si="5"/>
        <v>0</v>
      </c>
      <c r="X21" s="198"/>
      <c r="Y21" s="198"/>
      <c r="Z21" s="198"/>
      <c r="AA21" s="198"/>
      <c r="AB21" s="199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SUMIF(Sprint!$F$3:$F$1861,E22,Sprint!$AX$4:$AX$1861)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7">
        <f t="shared" si="5"/>
        <v>0</v>
      </c>
      <c r="X22" s="198"/>
      <c r="Y22" s="198"/>
      <c r="Z22" s="198"/>
      <c r="AA22" s="198"/>
      <c r="AB22" s="199"/>
    </row>
    <row r="23" spans="2:28" ht="13.5" thickBot="1" x14ac:dyDescent="0.25">
      <c r="B23" s="70"/>
      <c r="D23" s="98"/>
      <c r="E23" s="18"/>
      <c r="F23" s="102"/>
      <c r="G23" s="83">
        <f ca="1">SUMIF(Sprint!$F$3:$F$1861,E23,Sprint!$AX$4:$AX$1861)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7">
        <f t="shared" si="5"/>
        <v>0</v>
      </c>
      <c r="X23" s="198"/>
      <c r="Y23" s="198"/>
      <c r="Z23" s="198"/>
      <c r="AA23" s="198"/>
      <c r="AB23" s="199"/>
    </row>
    <row r="24" spans="2:28" ht="13.5" thickBot="1" x14ac:dyDescent="0.25">
      <c r="B24" s="96"/>
      <c r="D24" s="98"/>
      <c r="E24" s="18"/>
      <c r="F24" s="102"/>
      <c r="G24" s="83">
        <f ca="1">SUMIF(Sprint!$F$3:$F$1861,E24,Sprint!$AX$4:$AX$1861)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7">
        <f t="shared" si="5"/>
        <v>0</v>
      </c>
      <c r="X24" s="198"/>
      <c r="Y24" s="198"/>
      <c r="Z24" s="198"/>
      <c r="AA24" s="198"/>
      <c r="AB24" s="199"/>
    </row>
    <row r="25" spans="2:28" ht="13.5" thickBot="1" x14ac:dyDescent="0.25">
      <c r="B25" s="96"/>
      <c r="D25" s="98"/>
      <c r="E25" s="103"/>
      <c r="F25" s="104"/>
      <c r="G25" s="83">
        <f ca="1">SUMIF(Sprint!$F$3:$F$1861,E25,Sprint!$AX$4:$AX$1861)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7">
        <f t="shared" si="5"/>
        <v>0</v>
      </c>
      <c r="X25" s="198"/>
      <c r="Y25" s="198"/>
      <c r="Z25" s="198"/>
      <c r="AA25" s="198"/>
      <c r="AB25" s="199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tabSelected="1" workbookViewId="0">
      <selection activeCell="E6" sqref="E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204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115</v>
      </c>
      <c r="D8" s="140" t="s">
        <v>115</v>
      </c>
      <c r="E8" s="141" t="s">
        <v>94</v>
      </c>
      <c r="F8" s="142" t="s">
        <v>195</v>
      </c>
      <c r="G8" s="191" t="s">
        <v>203</v>
      </c>
      <c r="H8" s="141" t="s">
        <v>92</v>
      </c>
    </row>
    <row r="9" spans="2:8" x14ac:dyDescent="0.2">
      <c r="C9" s="140" t="s">
        <v>116</v>
      </c>
      <c r="D9" s="140" t="s">
        <v>116</v>
      </c>
      <c r="E9" s="141" t="s">
        <v>94</v>
      </c>
      <c r="F9" s="142" t="s">
        <v>201</v>
      </c>
      <c r="G9" s="191" t="s">
        <v>210</v>
      </c>
      <c r="H9" s="141" t="s">
        <v>92</v>
      </c>
    </row>
    <row r="10" spans="2:8" ht="11.25" customHeight="1" x14ac:dyDescent="0.2">
      <c r="C10" s="140" t="s">
        <v>117</v>
      </c>
      <c r="D10" s="140" t="s">
        <v>117</v>
      </c>
      <c r="E10" s="141" t="s">
        <v>94</v>
      </c>
      <c r="F10" s="142" t="s">
        <v>202</v>
      </c>
      <c r="G10" s="191" t="s">
        <v>211</v>
      </c>
      <c r="H10" s="141" t="s">
        <v>92</v>
      </c>
    </row>
    <row r="11" spans="2:8" x14ac:dyDescent="0.2">
      <c r="C11" s="140" t="s">
        <v>118</v>
      </c>
      <c r="D11" s="140" t="s">
        <v>118</v>
      </c>
      <c r="E11" s="141" t="s">
        <v>94</v>
      </c>
      <c r="F11" s="142" t="s">
        <v>199</v>
      </c>
      <c r="G11" s="191" t="s">
        <v>208</v>
      </c>
      <c r="H11" s="141" t="s">
        <v>92</v>
      </c>
    </row>
    <row r="12" spans="2:8" x14ac:dyDescent="0.2">
      <c r="C12" s="140" t="s">
        <v>119</v>
      </c>
      <c r="D12" s="140" t="s">
        <v>119</v>
      </c>
      <c r="E12" s="141" t="s">
        <v>94</v>
      </c>
      <c r="F12" s="142" t="s">
        <v>197</v>
      </c>
      <c r="G12" s="191" t="s">
        <v>206</v>
      </c>
      <c r="H12" s="141" t="s">
        <v>92</v>
      </c>
    </row>
    <row r="13" spans="2:8" x14ac:dyDescent="0.2">
      <c r="C13" s="140" t="s">
        <v>173</v>
      </c>
      <c r="D13" s="140" t="s">
        <v>173</v>
      </c>
      <c r="E13" s="141" t="s">
        <v>94</v>
      </c>
      <c r="F13" s="142" t="s">
        <v>196</v>
      </c>
      <c r="G13" s="191" t="s">
        <v>205</v>
      </c>
      <c r="H13" s="141" t="s">
        <v>92</v>
      </c>
    </row>
    <row r="14" spans="2:8" x14ac:dyDescent="0.2">
      <c r="C14" s="140" t="s">
        <v>120</v>
      </c>
      <c r="D14" s="140" t="s">
        <v>120</v>
      </c>
      <c r="E14" s="141" t="s">
        <v>94</v>
      </c>
      <c r="F14" s="142" t="s">
        <v>198</v>
      </c>
      <c r="G14" s="191" t="s">
        <v>209</v>
      </c>
      <c r="H14" s="141" t="s">
        <v>92</v>
      </c>
    </row>
    <row r="15" spans="2:8" x14ac:dyDescent="0.2">
      <c r="C15" s="140" t="s">
        <v>121</v>
      </c>
      <c r="D15" s="140" t="s">
        <v>121</v>
      </c>
      <c r="E15" s="141"/>
      <c r="F15" s="142" t="s">
        <v>200</v>
      </c>
      <c r="G15" s="191" t="s">
        <v>207</v>
      </c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4" sqref="A1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101</v>
      </c>
      <c r="B1" s="173"/>
    </row>
    <row r="2" spans="1:3" ht="15" x14ac:dyDescent="0.25">
      <c r="A2" s="174" t="s">
        <v>102</v>
      </c>
      <c r="B2" s="175">
        <f>COUNTIF(Sprint!$A$4:$A$99, "Feature")</f>
        <v>1</v>
      </c>
      <c r="C2" s="181">
        <f>B2/$B$6</f>
        <v>1</v>
      </c>
    </row>
    <row r="3" spans="1:3" ht="15" x14ac:dyDescent="0.25">
      <c r="A3" s="174" t="s">
        <v>103</v>
      </c>
      <c r="B3" s="175">
        <f>COUNTIF(Sprint!$A$4:$A$99, "Tax")</f>
        <v>0</v>
      </c>
      <c r="C3" s="181">
        <f t="shared" ref="C3:C5" si="0">B3/$B$6</f>
        <v>0</v>
      </c>
    </row>
    <row r="4" spans="1:3" ht="15" x14ac:dyDescent="0.25">
      <c r="A4" s="174" t="s">
        <v>104</v>
      </c>
      <c r="B4" s="175">
        <f>COUNTIF(Sprint!$A$4:$A$99, "Precondition")</f>
        <v>0</v>
      </c>
      <c r="C4" s="181">
        <f t="shared" si="0"/>
        <v>0</v>
      </c>
    </row>
    <row r="5" spans="1:3" ht="15" x14ac:dyDescent="0.25">
      <c r="A5" s="174" t="s">
        <v>105</v>
      </c>
      <c r="B5" s="175">
        <f>COUNTIF(Sprint!$A$4:$A$99, "Spike")</f>
        <v>0</v>
      </c>
      <c r="C5" s="181">
        <f t="shared" si="0"/>
        <v>0</v>
      </c>
    </row>
    <row r="6" spans="1:3" ht="15" x14ac:dyDescent="0.25">
      <c r="A6" s="176" t="s">
        <v>109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106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>B12/$B$25</f>
        <v>#DIV/0!</v>
      </c>
    </row>
    <row r="13" spans="1:3" ht="15" x14ac:dyDescent="0.25">
      <c r="A13" s="174" t="s">
        <v>187</v>
      </c>
      <c r="B13" s="175">
        <f>COUNTIF(Sprint!$B$4:$B$216,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127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127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127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127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 t="s">
        <v>127</v>
      </c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 t="s">
        <v>127</v>
      </c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 t="s">
        <v>127</v>
      </c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 t="s">
        <v>127</v>
      </c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 t="s">
        <v>127</v>
      </c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 t="s">
        <v>127</v>
      </c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 t="s">
        <v>127</v>
      </c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108</v>
      </c>
    </row>
    <row r="28" spans="1:3" ht="15" x14ac:dyDescent="0.25">
      <c r="A28" s="174" t="s">
        <v>110</v>
      </c>
      <c r="B28" s="175">
        <f ca="1">COUNTIF(Sprint!$G$4:$G$99, "Complete")</f>
        <v>1</v>
      </c>
      <c r="C28" s="181">
        <f ca="1">B28/$B$33</f>
        <v>1.5384615384615385E-2</v>
      </c>
    </row>
    <row r="29" spans="1:3" ht="15" x14ac:dyDescent="0.25">
      <c r="A29" s="174" t="s">
        <v>111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112</v>
      </c>
      <c r="B30" s="175">
        <f ca="1">COUNTIF(Sprint!$G$4:$G$99, "Pending")</f>
        <v>64</v>
      </c>
      <c r="C30" s="181">
        <f t="shared" ca="1" si="2"/>
        <v>0.98461538461538467</v>
      </c>
    </row>
    <row r="31" spans="1:3" ht="15" x14ac:dyDescent="0.25">
      <c r="A31" s="174" t="s">
        <v>107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113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109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B5" sqref="B5"/>
    </sheetView>
  </sheetViews>
  <sheetFormatPr defaultRowHeight="12.75" x14ac:dyDescent="0.2"/>
  <cols>
    <col min="1" max="1" width="4.5703125" bestFit="1" customWidth="1"/>
    <col min="2" max="2" width="88.28515625" customWidth="1"/>
  </cols>
  <sheetData>
    <row r="1" spans="1:2" x14ac:dyDescent="0.2">
      <c r="B1" s="188" t="s">
        <v>160</v>
      </c>
    </row>
    <row r="2" spans="1:2" x14ac:dyDescent="0.2">
      <c r="A2" s="187" t="s">
        <v>128</v>
      </c>
      <c r="B2" t="s">
        <v>129</v>
      </c>
    </row>
    <row r="3" spans="1:2" x14ac:dyDescent="0.2">
      <c r="A3">
        <v>1</v>
      </c>
      <c r="B3" t="s">
        <v>130</v>
      </c>
    </row>
    <row r="4" spans="1:2" x14ac:dyDescent="0.2">
      <c r="A4">
        <v>2</v>
      </c>
      <c r="B4" t="s">
        <v>131</v>
      </c>
    </row>
    <row r="5" spans="1:2" x14ac:dyDescent="0.2">
      <c r="A5">
        <v>3</v>
      </c>
      <c r="B5" t="s">
        <v>132</v>
      </c>
    </row>
    <row r="6" spans="1:2" x14ac:dyDescent="0.2">
      <c r="A6">
        <v>4</v>
      </c>
      <c r="B6" t="s">
        <v>133</v>
      </c>
    </row>
    <row r="7" spans="1:2" x14ac:dyDescent="0.2">
      <c r="A7">
        <v>5</v>
      </c>
      <c r="B7" t="s">
        <v>136</v>
      </c>
    </row>
    <row r="8" spans="1:2" x14ac:dyDescent="0.2">
      <c r="A8">
        <v>6</v>
      </c>
      <c r="B8" t="s">
        <v>134</v>
      </c>
    </row>
    <row r="9" spans="1:2" x14ac:dyDescent="0.2">
      <c r="A9">
        <v>7</v>
      </c>
      <c r="B9" t="s">
        <v>135</v>
      </c>
    </row>
    <row r="11" spans="1:2" x14ac:dyDescent="0.2">
      <c r="B11" s="188" t="s">
        <v>137</v>
      </c>
    </row>
    <row r="12" spans="1:2" x14ac:dyDescent="0.2">
      <c r="A12" t="s">
        <v>138</v>
      </c>
      <c r="B12" t="s">
        <v>139</v>
      </c>
    </row>
    <row r="13" spans="1:2" x14ac:dyDescent="0.2">
      <c r="A13" t="s">
        <v>140</v>
      </c>
      <c r="B13" t="s">
        <v>141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A9"/>
    </sheetView>
  </sheetViews>
  <sheetFormatPr defaultRowHeight="12.75" x14ac:dyDescent="0.2"/>
  <cols>
    <col min="1" max="1" width="21.85546875" customWidth="1"/>
    <col min="2" max="2" width="11.7109375" customWidth="1"/>
  </cols>
  <sheetData>
    <row r="1" spans="1:7" ht="13.5" thickBot="1" x14ac:dyDescent="0.25">
      <c r="A1" t="s">
        <v>148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 x14ac:dyDescent="0.25">
      <c r="A2" s="189" t="s">
        <v>142</v>
      </c>
    </row>
    <row r="3" spans="1:7" ht="15.75" thickBot="1" x14ac:dyDescent="0.25">
      <c r="A3" s="190" t="s">
        <v>116</v>
      </c>
    </row>
    <row r="4" spans="1:7" ht="15.75" thickBot="1" x14ac:dyDescent="0.25">
      <c r="A4" s="190" t="s">
        <v>117</v>
      </c>
    </row>
    <row r="5" spans="1:7" ht="15.75" thickBot="1" x14ac:dyDescent="0.25">
      <c r="A5" s="190" t="s">
        <v>143</v>
      </c>
    </row>
    <row r="6" spans="1:7" ht="15.75" thickBot="1" x14ac:dyDescent="0.25">
      <c r="A6" s="190" t="s">
        <v>144</v>
      </c>
    </row>
    <row r="7" spans="1:7" ht="15.75" thickBot="1" x14ac:dyDescent="0.25">
      <c r="A7" s="190" t="s">
        <v>145</v>
      </c>
    </row>
    <row r="8" spans="1:7" ht="15.75" thickBot="1" x14ac:dyDescent="0.25">
      <c r="A8" s="190" t="s">
        <v>146</v>
      </c>
    </row>
    <row r="9" spans="1:7" ht="15.75" thickBot="1" x14ac:dyDescent="0.25">
      <c r="A9" s="190" t="s">
        <v>147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29</vt:i4>
      </vt:variant>
    </vt:vector>
  </HeadingPairs>
  <TitlesOfParts>
    <vt:vector size="36" baseType="lpstr">
      <vt:lpstr>Sprint</vt:lpstr>
      <vt:lpstr>Analysis</vt:lpstr>
      <vt:lpstr>Capacity</vt:lpstr>
      <vt:lpstr>Team Roster</vt:lpstr>
      <vt:lpstr>Project Specific Reports</vt:lpstr>
      <vt:lpstr>Product Backlog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Neo</cp:lastModifiedBy>
  <cp:revision>1</cp:revision>
  <cp:lastPrinted>2005-08-15T09:18:22Z</cp:lastPrinted>
  <dcterms:created xsi:type="dcterms:W3CDTF">2005-01-26T21:50:47Z</dcterms:created>
  <dcterms:modified xsi:type="dcterms:W3CDTF">2011-11-22T23:14:26Z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