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15" yWindow="45" windowWidth="14640" windowHeight="9495" tabRatio="620" activeTab="1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2" r:id="rId6"/>
    <sheet name="Burndown chart" sheetId="13" r:id="rId7"/>
  </sheets>
  <definedNames>
    <definedName name="_xlnm._FilterDatabase" localSheetId="5" hidden="1">'Product Backlog'!$A$3:$G$503</definedName>
    <definedName name="_xlnm._FilterDatabase" localSheetId="0" hidden="1">Sprint!$C$3:$CE$70</definedName>
    <definedName name="_xlnm.Print_Area" localSheetId="2">Capacity!$A$4:$AB$33</definedName>
    <definedName name="Burndown" localSheetId="1">Sprint!$J$4:$CD$71</definedName>
    <definedName name="Burndown">Sprint!$J$4:$CD$71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estimativa">'Product Backlog'!$D$4:$D$503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itens">'Product Backlog'!$A$4:$G$503</definedName>
    <definedName name="Iteração">#REF!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" localSheetId="6">'Burndown chart'!$C$1</definedName>
    <definedName name="Sprint">#REF!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Sprint!$CE$4:$CE$71</definedName>
    <definedName name="TotalEffort">Sprint!$CE$4:$CE$71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A28" i="7" l="1"/>
  <c r="BD28" i="7" s="1"/>
  <c r="BG28" i="7" s="1"/>
  <c r="BJ28" i="7" s="1"/>
  <c r="BM28" i="7" s="1"/>
  <c r="BP28" i="7" s="1"/>
  <c r="BS28" i="7" s="1"/>
  <c r="BV28" i="7" s="1"/>
  <c r="BY28" i="7" s="1"/>
  <c r="CB28" i="7" s="1"/>
  <c r="L28" i="7"/>
  <c r="K28" i="7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N28" i="7" l="1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B6" i="13"/>
  <c r="B40" i="13" s="1"/>
  <c r="B5" i="13"/>
  <c r="B39" i="13"/>
  <c r="B10" i="13" s="1"/>
  <c r="B41" i="13" s="1"/>
  <c r="O28" i="7" l="1"/>
  <c r="O27" i="7"/>
  <c r="B42" i="13"/>
  <c r="C39" i="13"/>
  <c r="D39" i="13" s="1"/>
  <c r="B7" i="13"/>
  <c r="C40" i="13" s="1"/>
  <c r="D40" i="13" s="1"/>
  <c r="E40" i="13" s="1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AR40" i="13" s="1"/>
  <c r="AS40" i="13" s="1"/>
  <c r="AT40" i="13" s="1"/>
  <c r="AU40" i="13" s="1"/>
  <c r="AV40" i="13" s="1"/>
  <c r="AW40" i="13" s="1"/>
  <c r="AX40" i="13" s="1"/>
  <c r="AY40" i="13" s="1"/>
  <c r="AZ40" i="13" s="1"/>
  <c r="BA40" i="13" s="1"/>
  <c r="BB40" i="13" s="1"/>
  <c r="BC40" i="13" s="1"/>
  <c r="BD40" i="13" s="1"/>
  <c r="BE40" i="13" s="1"/>
  <c r="BF40" i="13" s="1"/>
  <c r="BG40" i="13" s="1"/>
  <c r="BH40" i="13" s="1"/>
  <c r="BI40" i="13" s="1"/>
  <c r="BJ40" i="13" s="1"/>
  <c r="BK40" i="13" s="1"/>
  <c r="BL40" i="13" s="1"/>
  <c r="BM40" i="13" s="1"/>
  <c r="BN40" i="13" s="1"/>
  <c r="BO40" i="13" s="1"/>
  <c r="BP40" i="13" s="1"/>
  <c r="BQ40" i="13" s="1"/>
  <c r="BR40" i="13" s="1"/>
  <c r="BS40" i="13" s="1"/>
  <c r="BT40" i="13" s="1"/>
  <c r="BU40" i="13" s="1"/>
  <c r="BV40" i="13" s="1"/>
  <c r="BW40" i="13" s="1"/>
  <c r="BX40" i="13" s="1"/>
  <c r="BY40" i="13" s="1"/>
  <c r="BZ40" i="13" s="1"/>
  <c r="CA40" i="13" s="1"/>
  <c r="CB40" i="13" s="1"/>
  <c r="CC40" i="13" s="1"/>
  <c r="CD40" i="13" s="1"/>
  <c r="CE40" i="13" s="1"/>
  <c r="CF40" i="13" s="1"/>
  <c r="CG40" i="13" s="1"/>
  <c r="CH40" i="13" s="1"/>
  <c r="CI40" i="13" s="1"/>
  <c r="CJ40" i="13" s="1"/>
  <c r="CK40" i="13" s="1"/>
  <c r="CL40" i="13" s="1"/>
  <c r="CM40" i="13" s="1"/>
  <c r="CN40" i="13" s="1"/>
  <c r="CO40" i="13" s="1"/>
  <c r="CP40" i="13" s="1"/>
  <c r="CQ40" i="13" s="1"/>
  <c r="CR40" i="13" s="1"/>
  <c r="CS40" i="13" s="1"/>
  <c r="CT40" i="13" s="1"/>
  <c r="CU40" i="13" s="1"/>
  <c r="CV40" i="13" s="1"/>
  <c r="CW40" i="13" s="1"/>
  <c r="CX40" i="13" s="1"/>
  <c r="CY40" i="13" s="1"/>
  <c r="CZ40" i="13" s="1"/>
  <c r="DA40" i="13" s="1"/>
  <c r="DB40" i="13" s="1"/>
  <c r="DC40" i="13" s="1"/>
  <c r="DD40" i="13" s="1"/>
  <c r="DE40" i="13" s="1"/>
  <c r="DF40" i="13" s="1"/>
  <c r="DG40" i="13" s="1"/>
  <c r="DH40" i="13" s="1"/>
  <c r="DI40" i="13" s="1"/>
  <c r="DJ40" i="13" s="1"/>
  <c r="DK40" i="13" s="1"/>
  <c r="DL40" i="13" s="1"/>
  <c r="DM40" i="13" s="1"/>
  <c r="DN40" i="13" s="1"/>
  <c r="DO40" i="13" s="1"/>
  <c r="DP40" i="13" s="1"/>
  <c r="DQ40" i="13" s="1"/>
  <c r="DR40" i="13" s="1"/>
  <c r="DS40" i="13" s="1"/>
  <c r="DT40" i="13" s="1"/>
  <c r="DU40" i="13" s="1"/>
  <c r="DV40" i="13" s="1"/>
  <c r="DW40" i="13" s="1"/>
  <c r="DX40" i="13" s="1"/>
  <c r="DY40" i="13" s="1"/>
  <c r="DZ40" i="13" s="1"/>
  <c r="EA40" i="13" s="1"/>
  <c r="EB40" i="13" s="1"/>
  <c r="EC40" i="13" s="1"/>
  <c r="ED40" i="13" s="1"/>
  <c r="EE40" i="13" s="1"/>
  <c r="EF40" i="13" s="1"/>
  <c r="EG40" i="13" s="1"/>
  <c r="EH40" i="13" s="1"/>
  <c r="EI40" i="13" s="1"/>
  <c r="EJ40" i="13" s="1"/>
  <c r="EK40" i="13" s="1"/>
  <c r="EL40" i="13" s="1"/>
  <c r="EM40" i="13" s="1"/>
  <c r="EN40" i="13" s="1"/>
  <c r="EO40" i="13" s="1"/>
  <c r="EP40" i="13" s="1"/>
  <c r="EQ40" i="13" s="1"/>
  <c r="ER40" i="13" s="1"/>
  <c r="ES40" i="13" s="1"/>
  <c r="ET40" i="13" s="1"/>
  <c r="EU40" i="13" s="1"/>
  <c r="EV40" i="13" s="1"/>
  <c r="EW40" i="13" s="1"/>
  <c r="EX40" i="13" s="1"/>
  <c r="EY40" i="13" s="1"/>
  <c r="EZ40" i="13" s="1"/>
  <c r="FA40" i="13" s="1"/>
  <c r="FB40" i="13" s="1"/>
  <c r="FC40" i="13" s="1"/>
  <c r="FD40" i="13" s="1"/>
  <c r="FE40" i="13" s="1"/>
  <c r="FF40" i="13" s="1"/>
  <c r="FG40" i="13" s="1"/>
  <c r="FH40" i="13" s="1"/>
  <c r="FI40" i="13" s="1"/>
  <c r="FJ40" i="13" s="1"/>
  <c r="FK40" i="13" s="1"/>
  <c r="FL40" i="13" s="1"/>
  <c r="FM40" i="13" s="1"/>
  <c r="FN40" i="13" s="1"/>
  <c r="FO40" i="13" s="1"/>
  <c r="FP40" i="13" s="1"/>
  <c r="FQ40" i="13" s="1"/>
  <c r="FR40" i="13" s="1"/>
  <c r="FS40" i="13" s="1"/>
  <c r="FT40" i="13" s="1"/>
  <c r="FU40" i="13" s="1"/>
  <c r="FV40" i="13" s="1"/>
  <c r="FW40" i="13" s="1"/>
  <c r="FX40" i="13" s="1"/>
  <c r="FY40" i="13" s="1"/>
  <c r="FZ40" i="13" s="1"/>
  <c r="GA40" i="13" s="1"/>
  <c r="GB40" i="13" s="1"/>
  <c r="GC40" i="13" s="1"/>
  <c r="GD40" i="13" s="1"/>
  <c r="GE40" i="13" s="1"/>
  <c r="GF40" i="13" s="1"/>
  <c r="GG40" i="13" s="1"/>
  <c r="GH40" i="13" s="1"/>
  <c r="GI40" i="13" s="1"/>
  <c r="GJ40" i="13" s="1"/>
  <c r="GK40" i="13" s="1"/>
  <c r="GL40" i="13" s="1"/>
  <c r="GM40" i="13" s="1"/>
  <c r="GN40" i="13" s="1"/>
  <c r="GO40" i="13" s="1"/>
  <c r="GP40" i="13" s="1"/>
  <c r="GQ40" i="13" s="1"/>
  <c r="GR40" i="13" s="1"/>
  <c r="GS40" i="13" s="1"/>
  <c r="GT40" i="13" s="1"/>
  <c r="GU40" i="13" s="1"/>
  <c r="GV40" i="13" s="1"/>
  <c r="GW40" i="13" s="1"/>
  <c r="GX40" i="13" s="1"/>
  <c r="GY40" i="13" s="1"/>
  <c r="GZ40" i="13" s="1"/>
  <c r="HA40" i="13" s="1"/>
  <c r="HB40" i="13" s="1"/>
  <c r="HC40" i="13" s="1"/>
  <c r="HD40" i="13" s="1"/>
  <c r="HE40" i="13" s="1"/>
  <c r="HF40" i="13" s="1"/>
  <c r="HG40" i="13" s="1"/>
  <c r="HH40" i="13" s="1"/>
  <c r="HI40" i="13" s="1"/>
  <c r="HJ40" i="13" s="1"/>
  <c r="HK40" i="13" s="1"/>
  <c r="HL40" i="13" s="1"/>
  <c r="HM40" i="13" s="1"/>
  <c r="HN40" i="13" s="1"/>
  <c r="HO40" i="13" s="1"/>
  <c r="HP40" i="13" s="1"/>
  <c r="HQ40" i="13" s="1"/>
  <c r="HR40" i="13" s="1"/>
  <c r="HS40" i="13" s="1"/>
  <c r="HT40" i="13" s="1"/>
  <c r="HU40" i="13" s="1"/>
  <c r="HV40" i="13" s="1"/>
  <c r="HW40" i="13" s="1"/>
  <c r="HX40" i="13" s="1"/>
  <c r="HY40" i="13" s="1"/>
  <c r="HZ40" i="13" s="1"/>
  <c r="IA40" i="13" s="1"/>
  <c r="IB40" i="13" s="1"/>
  <c r="IC40" i="13" s="1"/>
  <c r="ID40" i="13" s="1"/>
  <c r="IE40" i="13" s="1"/>
  <c r="IF40" i="13" s="1"/>
  <c r="IG40" i="13" s="1"/>
  <c r="IH40" i="13" s="1"/>
  <c r="II40" i="13" s="1"/>
  <c r="IJ40" i="13" s="1"/>
  <c r="IK40" i="13" s="1"/>
  <c r="IL40" i="13" s="1"/>
  <c r="IM40" i="13" s="1"/>
  <c r="IN40" i="13" s="1"/>
  <c r="IO40" i="13" s="1"/>
  <c r="IP40" i="13" s="1"/>
  <c r="IQ40" i="13" s="1"/>
  <c r="IR40" i="13" s="1"/>
  <c r="IS40" i="13" s="1"/>
  <c r="IT40" i="13" s="1"/>
  <c r="IU40" i="13" s="1"/>
  <c r="IV40" i="13" s="1"/>
  <c r="C10" i="13"/>
  <c r="C41" i="13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R28" i="7" l="1"/>
  <c r="R27" i="7"/>
  <c r="C42" i="13"/>
  <c r="D10" i="13"/>
  <c r="D41" i="13" s="1"/>
  <c r="E39" i="13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U28" i="7" l="1"/>
  <c r="X28" i="7"/>
  <c r="AA28" i="7"/>
  <c r="U27" i="7"/>
  <c r="D42" i="13"/>
  <c r="E10" i="13"/>
  <c r="E41" i="13" s="1"/>
  <c r="F39" i="13"/>
  <c r="O22" i="7"/>
  <c r="O21" i="7"/>
  <c r="O14" i="7"/>
  <c r="O15" i="7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9" i="7"/>
  <c r="BD69" i="7" s="1"/>
  <c r="BG69" i="7" s="1"/>
  <c r="BJ69" i="7" s="1"/>
  <c r="BM69" i="7" s="1"/>
  <c r="BP69" i="7" s="1"/>
  <c r="BS69" i="7" s="1"/>
  <c r="BV69" i="7" s="1"/>
  <c r="BY69" i="7" s="1"/>
  <c r="CB69" i="7" s="1"/>
  <c r="K69" i="7"/>
  <c r="L69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BA70" i="7"/>
  <c r="BD70" i="7" s="1"/>
  <c r="BG70" i="7" s="1"/>
  <c r="BJ70" i="7" s="1"/>
  <c r="BM70" i="7" s="1"/>
  <c r="BP70" i="7" s="1"/>
  <c r="BS70" i="7" s="1"/>
  <c r="BV70" i="7" s="1"/>
  <c r="BY70" i="7" s="1"/>
  <c r="CB70" i="7" s="1"/>
  <c r="K70" i="7"/>
  <c r="L70" i="7" s="1"/>
  <c r="AD28" i="7" l="1"/>
  <c r="G28" i="7" s="1"/>
  <c r="AG28" i="7"/>
  <c r="AJ28" i="7" s="1"/>
  <c r="AM28" i="7" s="1"/>
  <c r="AP28" i="7" s="1"/>
  <c r="AS28" i="7" s="1"/>
  <c r="AV28" i="7" s="1"/>
  <c r="AY28" i="7" s="1"/>
  <c r="X27" i="7"/>
  <c r="L5" i="7"/>
  <c r="E42" i="13"/>
  <c r="F10" i="13"/>
  <c r="F41" i="13" s="1"/>
  <c r="G39" i="13"/>
  <c r="R22" i="7"/>
  <c r="R21" i="7"/>
  <c r="R14" i="7"/>
  <c r="R15" i="7"/>
  <c r="R13" i="7"/>
  <c r="O26" i="7"/>
  <c r="R26" i="7" s="1"/>
  <c r="U26" i="7" s="1"/>
  <c r="O19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4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2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Q68" i="7" s="1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N69" i="7"/>
  <c r="Q69" i="7" s="1"/>
  <c r="T69" i="7" s="1"/>
  <c r="W69" i="7" s="1"/>
  <c r="Z69" i="7" s="1"/>
  <c r="AC69" i="7" s="1"/>
  <c r="AF69" i="7" s="1"/>
  <c r="AI69" i="7" s="1"/>
  <c r="AL69" i="7" s="1"/>
  <c r="AO69" i="7" s="1"/>
  <c r="AR69" i="7" s="1"/>
  <c r="AU69" i="7" s="1"/>
  <c r="AX69" i="7" s="1"/>
  <c r="N70" i="7"/>
  <c r="CE28" i="7" l="1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A27" i="7"/>
  <c r="AD27" i="7" s="1"/>
  <c r="G27" i="7" s="1"/>
  <c r="O5" i="7"/>
  <c r="R5" i="7" s="1"/>
  <c r="F42" i="13"/>
  <c r="G10" i="13"/>
  <c r="G41" i="13" s="1"/>
  <c r="H39" i="13"/>
  <c r="U14" i="7"/>
  <c r="X14" i="7" s="1"/>
  <c r="U21" i="7"/>
  <c r="X21" i="7" s="1"/>
  <c r="U22" i="7"/>
  <c r="X22" i="7" s="1"/>
  <c r="U15" i="7"/>
  <c r="X15" i="7" s="1"/>
  <c r="AA15" i="7" s="1"/>
  <c r="U13" i="7"/>
  <c r="X13" i="7" s="1"/>
  <c r="AA13" i="7" s="1"/>
  <c r="X26" i="7"/>
  <c r="AA26" i="7" s="1"/>
  <c r="R19" i="7"/>
  <c r="O34" i="7"/>
  <c r="O52" i="7"/>
  <c r="O69" i="7"/>
  <c r="R69" i="7" s="1"/>
  <c r="O53" i="7"/>
  <c r="R53" i="7" s="1"/>
  <c r="U53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Q54" i="7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O54" i="7"/>
  <c r="Q50" i="7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O50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O32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8" i="7"/>
  <c r="R68" i="7" s="1"/>
  <c r="O66" i="7"/>
  <c r="O64" i="7"/>
  <c r="R64" i="7" s="1"/>
  <c r="U64" i="7" s="1"/>
  <c r="O62" i="7"/>
  <c r="O60" i="7"/>
  <c r="R60" i="7" s="1"/>
  <c r="U60" i="7" s="1"/>
  <c r="O67" i="7"/>
  <c r="R66" i="7"/>
  <c r="U66" i="7" s="1"/>
  <c r="O65" i="7"/>
  <c r="O63" i="7"/>
  <c r="R63" i="7" s="1"/>
  <c r="R62" i="7"/>
  <c r="O61" i="7"/>
  <c r="R61" i="7" s="1"/>
  <c r="U61" i="7" s="1"/>
  <c r="O59" i="7"/>
  <c r="R59" i="7" s="1"/>
  <c r="O57" i="7"/>
  <c r="O55" i="7"/>
  <c r="R55" i="7" s="1"/>
  <c r="U55" i="7" s="1"/>
  <c r="O51" i="7"/>
  <c r="O49" i="7"/>
  <c r="O47" i="7"/>
  <c r="O45" i="7"/>
  <c r="O43" i="7"/>
  <c r="O41" i="7"/>
  <c r="O39" i="7"/>
  <c r="O37" i="7"/>
  <c r="O35" i="7"/>
  <c r="O33" i="7"/>
  <c r="R33" i="7" s="1"/>
  <c r="O7" i="7"/>
  <c r="O31" i="7"/>
  <c r="O24" i="7"/>
  <c r="R24" i="7" s="1"/>
  <c r="U24" i="7" s="1"/>
  <c r="O17" i="7"/>
  <c r="R17" i="7" s="1"/>
  <c r="U17" i="7" s="1"/>
  <c r="O12" i="7"/>
  <c r="R12" i="7" s="1"/>
  <c r="O10" i="7"/>
  <c r="R10" i="7" s="1"/>
  <c r="O9" i="7"/>
  <c r="R9" i="7" s="1"/>
  <c r="O8" i="7"/>
  <c r="R8" i="7" s="1"/>
  <c r="U8" i="7" s="1"/>
  <c r="Q58" i="7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O58" i="7"/>
  <c r="R65" i="7"/>
  <c r="U65" i="7" s="1"/>
  <c r="R57" i="7"/>
  <c r="R34" i="7"/>
  <c r="R31" i="7"/>
  <c r="U31" i="7" s="1"/>
  <c r="O6" i="7"/>
  <c r="O29" i="7"/>
  <c r="O20" i="7"/>
  <c r="O11" i="7"/>
  <c r="Q70" i="7"/>
  <c r="T70" i="7" s="1"/>
  <c r="W70" i="7" s="1"/>
  <c r="Z70" i="7" s="1"/>
  <c r="AC70" i="7" s="1"/>
  <c r="AF70" i="7" s="1"/>
  <c r="AI70" i="7" s="1"/>
  <c r="AL70" i="7" s="1"/>
  <c r="AO70" i="7" s="1"/>
  <c r="AR70" i="7" s="1"/>
  <c r="AU70" i="7" s="1"/>
  <c r="AX70" i="7" s="1"/>
  <c r="O70" i="7"/>
  <c r="AG27" i="7" l="1"/>
  <c r="AJ27" i="7" s="1"/>
  <c r="AM27" i="7" s="1"/>
  <c r="AP27" i="7" s="1"/>
  <c r="AS27" i="7" s="1"/>
  <c r="AV27" i="7" s="1"/>
  <c r="AY27" i="7" s="1"/>
  <c r="R40" i="7"/>
  <c r="U40" i="7" s="1"/>
  <c r="X53" i="7"/>
  <c r="AA53" i="7" s="1"/>
  <c r="G42" i="13"/>
  <c r="H10" i="13"/>
  <c r="H41" i="13" s="1"/>
  <c r="I39" i="13"/>
  <c r="AA22" i="7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 s="1"/>
  <c r="AJ13" i="7" s="1"/>
  <c r="AD26" i="7"/>
  <c r="AG26" i="7" s="1"/>
  <c r="U19" i="7"/>
  <c r="X19" i="7" s="1"/>
  <c r="R48" i="7"/>
  <c r="U48" i="7" s="1"/>
  <c r="R16" i="7"/>
  <c r="U16" i="7" s="1"/>
  <c r="R18" i="7"/>
  <c r="U18" i="7" s="1"/>
  <c r="R23" i="7"/>
  <c r="U23" i="7" s="1"/>
  <c r="R25" i="7"/>
  <c r="U25" i="7" s="1"/>
  <c r="R30" i="7"/>
  <c r="R32" i="7"/>
  <c r="U32" i="7" s="1"/>
  <c r="R36" i="7"/>
  <c r="U36" i="7" s="1"/>
  <c r="R38" i="7"/>
  <c r="R42" i="7"/>
  <c r="U42" i="7" s="1"/>
  <c r="R44" i="7"/>
  <c r="R46" i="7"/>
  <c r="U46" i="7" s="1"/>
  <c r="R50" i="7"/>
  <c r="R54" i="7"/>
  <c r="U54" i="7" s="1"/>
  <c r="R56" i="7"/>
  <c r="U56" i="7" s="1"/>
  <c r="R7" i="7"/>
  <c r="U7" i="7" s="1"/>
  <c r="R37" i="7"/>
  <c r="U37" i="7" s="1"/>
  <c r="U62" i="7"/>
  <c r="X62" i="7" s="1"/>
  <c r="AA62" i="7" s="1"/>
  <c r="U69" i="7"/>
  <c r="R52" i="7"/>
  <c r="U5" i="7"/>
  <c r="X5" i="7" s="1"/>
  <c r="AA5" i="7" s="1"/>
  <c r="AD5" i="7" s="1"/>
  <c r="X66" i="7"/>
  <c r="AA66" i="7" s="1"/>
  <c r="U68" i="7"/>
  <c r="X54" i="7"/>
  <c r="AA54" i="7" s="1"/>
  <c r="U34" i="7"/>
  <c r="R11" i="7"/>
  <c r="U11" i="7" s="1"/>
  <c r="U12" i="7"/>
  <c r="X8" i="7"/>
  <c r="U10" i="7"/>
  <c r="X10" i="7" s="1"/>
  <c r="AA10" i="7" s="1"/>
  <c r="AD10" i="7" s="1"/>
  <c r="X17" i="7"/>
  <c r="AA17" i="7" s="1"/>
  <c r="R29" i="7"/>
  <c r="U29" i="7" s="1"/>
  <c r="X31" i="7"/>
  <c r="R35" i="7"/>
  <c r="U38" i="7"/>
  <c r="R43" i="7"/>
  <c r="R45" i="7"/>
  <c r="R51" i="7"/>
  <c r="R58" i="7"/>
  <c r="X55" i="7"/>
  <c r="AA55" i="7" s="1"/>
  <c r="U30" i="7"/>
  <c r="U50" i="7"/>
  <c r="R67" i="7"/>
  <c r="X69" i="7"/>
  <c r="AA69" i="7" s="1"/>
  <c r="U9" i="7"/>
  <c r="X9" i="7" s="1"/>
  <c r="AA9" i="7" s="1"/>
  <c r="R41" i="7"/>
  <c r="R47" i="7"/>
  <c r="U57" i="7"/>
  <c r="X57" i="7" s="1"/>
  <c r="U59" i="7"/>
  <c r="X60" i="7"/>
  <c r="U63" i="7"/>
  <c r="X64" i="7"/>
  <c r="AA31" i="7"/>
  <c r="R6" i="7"/>
  <c r="R20" i="7"/>
  <c r="X24" i="7"/>
  <c r="U33" i="7"/>
  <c r="X34" i="7"/>
  <c r="R39" i="7"/>
  <c r="R49" i="7"/>
  <c r="X61" i="7"/>
  <c r="X65" i="7"/>
  <c r="R70" i="7"/>
  <c r="U70" i="7" s="1"/>
  <c r="X70" i="7" s="1"/>
  <c r="AA70" i="7" s="1"/>
  <c r="CE27" i="7" l="1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G26" i="7"/>
  <c r="AA8" i="7"/>
  <c r="U44" i="7"/>
  <c r="X44" i="7" s="1"/>
  <c r="X40" i="7"/>
  <c r="G13" i="7"/>
  <c r="G15" i="7"/>
  <c r="G22" i="7"/>
  <c r="X18" i="7"/>
  <c r="AD53" i="7"/>
  <c r="AG53" i="7" s="1"/>
  <c r="G5" i="7"/>
  <c r="G53" i="7"/>
  <c r="H42" i="13"/>
  <c r="I10" i="13"/>
  <c r="I41" i="13" s="1"/>
  <c r="J39" i="13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D14" i="7"/>
  <c r="AJ15" i="7"/>
  <c r="AM15" i="7" s="1"/>
  <c r="AM13" i="7"/>
  <c r="AP13" i="7" s="1"/>
  <c r="AS13" i="7" s="1"/>
  <c r="AV13" i="7" s="1"/>
  <c r="AY13" i="7" s="1"/>
  <c r="CE13" i="7" s="1"/>
  <c r="X30" i="7"/>
  <c r="AA30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X16" i="7"/>
  <c r="AA16" i="7" s="1"/>
  <c r="X37" i="7"/>
  <c r="AA37" i="7" s="1"/>
  <c r="X7" i="7"/>
  <c r="AA7" i="7" s="1"/>
  <c r="AD54" i="7"/>
  <c r="AG54" i="7" s="1"/>
  <c r="AJ54" i="7" s="1"/>
  <c r="X68" i="7"/>
  <c r="U52" i="7"/>
  <c r="AD69" i="7"/>
  <c r="AG69" i="7" s="1"/>
  <c r="X32" i="7"/>
  <c r="X25" i="7"/>
  <c r="U39" i="7"/>
  <c r="U41" i="7"/>
  <c r="AD9" i="7"/>
  <c r="G9" i="7" s="1"/>
  <c r="X56" i="7"/>
  <c r="X48" i="7"/>
  <c r="AA48" i="7" s="1"/>
  <c r="AD55" i="7"/>
  <c r="AG55" i="7" s="1"/>
  <c r="U51" i="7"/>
  <c r="U45" i="7"/>
  <c r="X45" i="7" s="1"/>
  <c r="X38" i="7"/>
  <c r="U35" i="7"/>
  <c r="AD8" i="7"/>
  <c r="AG8" i="7" s="1"/>
  <c r="AA57" i="7"/>
  <c r="AD57" i="7" s="1"/>
  <c r="G57" i="7" s="1"/>
  <c r="U6" i="7"/>
  <c r="X29" i="7"/>
  <c r="AA29" i="7" s="1"/>
  <c r="AG5" i="7"/>
  <c r="AA25" i="7"/>
  <c r="AA64" i="7"/>
  <c r="AD64" i="7" s="1"/>
  <c r="G64" i="7" s="1"/>
  <c r="AA60" i="7"/>
  <c r="AD60" i="7" s="1"/>
  <c r="G60" i="7" s="1"/>
  <c r="AA65" i="7"/>
  <c r="AA61" i="7"/>
  <c r="X41" i="7"/>
  <c r="X23" i="7"/>
  <c r="AG10" i="7"/>
  <c r="AJ10" i="7" s="1"/>
  <c r="AJ53" i="7"/>
  <c r="AM53" i="7" s="1"/>
  <c r="AP53" i="7" s="1"/>
  <c r="U49" i="7"/>
  <c r="X42" i="7"/>
  <c r="AA42" i="7" s="1"/>
  <c r="X33" i="7"/>
  <c r="U47" i="7"/>
  <c r="X47" i="7" s="1"/>
  <c r="X36" i="7"/>
  <c r="AA36" i="7" s="1"/>
  <c r="U67" i="7"/>
  <c r="X67" i="7" s="1"/>
  <c r="X50" i="7"/>
  <c r="X46" i="7"/>
  <c r="AA46" i="7" s="1"/>
  <c r="U58" i="7"/>
  <c r="U43" i="7"/>
  <c r="G10" i="7"/>
  <c r="X12" i="7"/>
  <c r="AD31" i="7"/>
  <c r="G31" i="7" s="1"/>
  <c r="AD17" i="7"/>
  <c r="AG17" i="7" s="1"/>
  <c r="AD30" i="7"/>
  <c r="X63" i="7"/>
  <c r="X59" i="7"/>
  <c r="AD66" i="7"/>
  <c r="G66" i="7" s="1"/>
  <c r="AD62" i="7"/>
  <c r="G62" i="7" s="1"/>
  <c r="AA24" i="7"/>
  <c r="AD24" i="7" s="1"/>
  <c r="G24" i="7" s="1"/>
  <c r="U20" i="7"/>
  <c r="AA34" i="7"/>
  <c r="AD70" i="7"/>
  <c r="AD16" i="7" l="1"/>
  <c r="AG16" i="7" s="1"/>
  <c r="AJ16" i="7" s="1"/>
  <c r="AP15" i="7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AA44" i="7"/>
  <c r="AD44" i="7" s="1"/>
  <c r="G44" i="7" s="1"/>
  <c r="AG21" i="7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G21" i="7"/>
  <c r="G69" i="7"/>
  <c r="AA40" i="7"/>
  <c r="AD40" i="7" s="1"/>
  <c r="G40" i="7" s="1"/>
  <c r="G8" i="7"/>
  <c r="AG14" i="7"/>
  <c r="AJ14" i="7" s="1"/>
  <c r="AM14" i="7" s="1"/>
  <c r="AP14" i="7" s="1"/>
  <c r="AS14" i="7" s="1"/>
  <c r="AV14" i="7" s="1"/>
  <c r="AY14" i="7" s="1"/>
  <c r="G14" i="7"/>
  <c r="G54" i="7"/>
  <c r="G17" i="7"/>
  <c r="G55" i="7"/>
  <c r="G19" i="7"/>
  <c r="G16" i="7"/>
  <c r="G30" i="7"/>
  <c r="AA32" i="7"/>
  <c r="AA18" i="7"/>
  <c r="I42" i="13"/>
  <c r="J10" i="13"/>
  <c r="J41" i="13" s="1"/>
  <c r="K39" i="13"/>
  <c r="CE21" i="7"/>
  <c r="CE14" i="7"/>
  <c r="CE15" i="7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7" i="7"/>
  <c r="AG37" i="7" s="1"/>
  <c r="AA68" i="7"/>
  <c r="AD68" i="7" s="1"/>
  <c r="G68" i="7" s="1"/>
  <c r="X52" i="7"/>
  <c r="X39" i="7"/>
  <c r="AA39" i="7" s="1"/>
  <c r="AS53" i="7"/>
  <c r="AV53" i="7" s="1"/>
  <c r="AY53" i="7" s="1"/>
  <c r="AJ17" i="7"/>
  <c r="AA12" i="7"/>
  <c r="AG60" i="7"/>
  <c r="AJ60" i="7" s="1"/>
  <c r="AD29" i="7"/>
  <c r="G29" i="7" s="1"/>
  <c r="AJ8" i="7"/>
  <c r="AA45" i="7"/>
  <c r="AD45" i="7" s="1"/>
  <c r="AG45" i="7" s="1"/>
  <c r="AJ55" i="7"/>
  <c r="AD48" i="7"/>
  <c r="AG48" i="7" s="1"/>
  <c r="AJ48" i="7" s="1"/>
  <c r="AA56" i="7"/>
  <c r="AD56" i="7" s="1"/>
  <c r="G56" i="7" s="1"/>
  <c r="AD42" i="7"/>
  <c r="G42" i="7" s="1"/>
  <c r="X43" i="7"/>
  <c r="AA33" i="7"/>
  <c r="AD33" i="7" s="1"/>
  <c r="G33" i="7" s="1"/>
  <c r="AG30" i="7"/>
  <c r="AG31" i="7"/>
  <c r="AD34" i="7"/>
  <c r="AG40" i="7"/>
  <c r="X49" i="7"/>
  <c r="AA49" i="7" s="1"/>
  <c r="AD49" i="7" s="1"/>
  <c r="G49" i="7" s="1"/>
  <c r="X35" i="7"/>
  <c r="X51" i="7"/>
  <c r="AA51" i="7" s="1"/>
  <c r="AD51" i="7" s="1"/>
  <c r="AG9" i="7"/>
  <c r="AG57" i="7"/>
  <c r="X6" i="7"/>
  <c r="AA6" i="7" s="1"/>
  <c r="AG24" i="7"/>
  <c r="AD61" i="7"/>
  <c r="AG62" i="7"/>
  <c r="AJ62" i="7" s="1"/>
  <c r="AM62" i="7" s="1"/>
  <c r="AP62" i="7" s="1"/>
  <c r="AS62" i="7" s="1"/>
  <c r="AV62" i="7" s="1"/>
  <c r="AY62" i="7" s="1"/>
  <c r="AD25" i="7"/>
  <c r="G25" i="7" s="1"/>
  <c r="AJ69" i="7"/>
  <c r="AD46" i="7"/>
  <c r="G46" i="7" s="1"/>
  <c r="AD36" i="7"/>
  <c r="G36" i="7" s="1"/>
  <c r="G47" i="7"/>
  <c r="AA47" i="7"/>
  <c r="AD47" i="7" s="1"/>
  <c r="AA23" i="7"/>
  <c r="AD23" i="7" s="1"/>
  <c r="G23" i="7" s="1"/>
  <c r="AG64" i="7"/>
  <c r="AJ64" i="7" s="1"/>
  <c r="AJ5" i="7"/>
  <c r="AA41" i="7"/>
  <c r="AD41" i="7" s="1"/>
  <c r="AG41" i="7" s="1"/>
  <c r="AD32" i="7"/>
  <c r="AG32" i="7" s="1"/>
  <c r="AM16" i="7"/>
  <c r="X58" i="7"/>
  <c r="AA67" i="7"/>
  <c r="AM10" i="7"/>
  <c r="AP10" i="7" s="1"/>
  <c r="AD11" i="7"/>
  <c r="G11" i="7" s="1"/>
  <c r="AA59" i="7"/>
  <c r="AA63" i="7"/>
  <c r="AM54" i="7"/>
  <c r="AA38" i="7"/>
  <c r="X20" i="7"/>
  <c r="AD65" i="7"/>
  <c r="G65" i="7" s="1"/>
  <c r="AG66" i="7"/>
  <c r="AA50" i="7"/>
  <c r="AG70" i="7"/>
  <c r="AM7" i="7" l="1"/>
  <c r="AG34" i="7"/>
  <c r="AJ34" i="7" s="1"/>
  <c r="G3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G48" i="7"/>
  <c r="G7" i="7"/>
  <c r="G32" i="7"/>
  <c r="AG44" i="7"/>
  <c r="AJ44" i="7" s="1"/>
  <c r="G41" i="7"/>
  <c r="AG61" i="7"/>
  <c r="G61" i="7"/>
  <c r="G45" i="7"/>
  <c r="G37" i="7"/>
  <c r="AD18" i="7"/>
  <c r="G18" i="7" s="1"/>
  <c r="G51" i="7"/>
  <c r="AA52" i="7"/>
  <c r="J42" i="13"/>
  <c r="K10" i="13"/>
  <c r="K41" i="13" s="1"/>
  <c r="L39" i="13"/>
  <c r="AJ37" i="7"/>
  <c r="AM37" i="7" s="1"/>
  <c r="AP37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8" i="7"/>
  <c r="AJ68" i="7" s="1"/>
  <c r="AD52" i="7"/>
  <c r="G52" i="7" s="1"/>
  <c r="AS10" i="7"/>
  <c r="AV10" i="7" s="1"/>
  <c r="AY10" i="7" s="1"/>
  <c r="AJ41" i="7"/>
  <c r="AM48" i="7"/>
  <c r="AM64" i="7"/>
  <c r="AP64" i="7" s="1"/>
  <c r="AS64" i="7" s="1"/>
  <c r="AV64" i="7" s="1"/>
  <c r="AY64" i="7" s="1"/>
  <c r="BB62" i="7"/>
  <c r="BE62" i="7" s="1"/>
  <c r="BH62" i="7" s="1"/>
  <c r="CE62" i="7"/>
  <c r="AP48" i="7"/>
  <c r="AS48" i="7" s="1"/>
  <c r="AV48" i="7" s="1"/>
  <c r="AY48" i="7" s="1"/>
  <c r="CE53" i="7"/>
  <c r="BE53" i="7"/>
  <c r="BB53" i="7"/>
  <c r="BW53" i="7"/>
  <c r="BZ53" i="7" s="1"/>
  <c r="CC53" i="7"/>
  <c r="AP54" i="7"/>
  <c r="AS54" i="7" s="1"/>
  <c r="AV54" i="7" s="1"/>
  <c r="AY54" i="7" s="1"/>
  <c r="AG23" i="7"/>
  <c r="AJ23" i="7" s="1"/>
  <c r="AM44" i="7"/>
  <c r="AP44" i="7" s="1"/>
  <c r="AJ57" i="7"/>
  <c r="AM57" i="7" s="1"/>
  <c r="AP57" i="7" s="1"/>
  <c r="AS57" i="7" s="1"/>
  <c r="AV57" i="7" s="1"/>
  <c r="AY57" i="7" s="1"/>
  <c r="CE57" i="7" s="1"/>
  <c r="AJ9" i="7"/>
  <c r="AM9" i="7" s="1"/>
  <c r="AP9" i="7" s="1"/>
  <c r="AS9" i="7" s="1"/>
  <c r="AV9" i="7" s="1"/>
  <c r="AY9" i="7" s="1"/>
  <c r="CE9" i="7" s="1"/>
  <c r="AJ40" i="7"/>
  <c r="AM40" i="7" s="1"/>
  <c r="AP40" i="7" s="1"/>
  <c r="AS40" i="7" s="1"/>
  <c r="AV40" i="7" s="1"/>
  <c r="AY40" i="7" s="1"/>
  <c r="AA20" i="7"/>
  <c r="AD20" i="7" s="1"/>
  <c r="AG20" i="7" s="1"/>
  <c r="AJ20" i="7" s="1"/>
  <c r="AM20" i="7" s="1"/>
  <c r="AP20" i="7" s="1"/>
  <c r="AS20" i="7" s="1"/>
  <c r="AD38" i="7"/>
  <c r="AD59" i="7"/>
  <c r="AJ32" i="7"/>
  <c r="AG65" i="7"/>
  <c r="AJ65" i="7" s="1"/>
  <c r="AM65" i="7" s="1"/>
  <c r="AP65" i="7" s="1"/>
  <c r="AS65" i="7" s="1"/>
  <c r="AV65" i="7" s="1"/>
  <c r="AY65" i="7" s="1"/>
  <c r="CC62" i="7"/>
  <c r="AG49" i="7"/>
  <c r="AJ49" i="7" s="1"/>
  <c r="AM49" i="7" s="1"/>
  <c r="AP49" i="7" s="1"/>
  <c r="AG47" i="7"/>
  <c r="AJ24" i="7"/>
  <c r="AD63" i="7"/>
  <c r="G63" i="7" s="1"/>
  <c r="AP7" i="7"/>
  <c r="AS7" i="7" s="1"/>
  <c r="AV7" i="7" s="1"/>
  <c r="AY7" i="7" s="1"/>
  <c r="CE7" i="7" s="1"/>
  <c r="AD39" i="7"/>
  <c r="G39" i="7" s="1"/>
  <c r="AM69" i="7"/>
  <c r="AG25" i="7"/>
  <c r="AJ61" i="7"/>
  <c r="AM61" i="7" s="1"/>
  <c r="AP61" i="7" s="1"/>
  <c r="AS61" i="7" s="1"/>
  <c r="AV61" i="7" s="1"/>
  <c r="AY61" i="7" s="1"/>
  <c r="AD6" i="7"/>
  <c r="AG6" i="7" s="1"/>
  <c r="AJ6" i="7" s="1"/>
  <c r="AM6" i="7" s="1"/>
  <c r="AP6" i="7" s="1"/>
  <c r="AS6" i="7" s="1"/>
  <c r="AV6" i="7" s="1"/>
  <c r="AY6" i="7" s="1"/>
  <c r="AG42" i="7"/>
  <c r="AG56" i="7"/>
  <c r="AM55" i="7"/>
  <c r="AM8" i="7"/>
  <c r="AP8" i="7" s="1"/>
  <c r="AS8" i="7" s="1"/>
  <c r="AV8" i="7" s="1"/>
  <c r="AY8" i="7" s="1"/>
  <c r="AG29" i="7"/>
  <c r="AJ29" i="7" s="1"/>
  <c r="AM29" i="7" s="1"/>
  <c r="AP29" i="7" s="1"/>
  <c r="AS29" i="7" s="1"/>
  <c r="AV29" i="7" s="1"/>
  <c r="AY29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50" i="7"/>
  <c r="AG46" i="7"/>
  <c r="AJ46" i="7" s="1"/>
  <c r="AM46" i="7" s="1"/>
  <c r="AP46" i="7" s="1"/>
  <c r="AJ66" i="7"/>
  <c r="AM66" i="7" s="1"/>
  <c r="AP66" i="7" s="1"/>
  <c r="AS66" i="7" s="1"/>
  <c r="AV66" i="7" s="1"/>
  <c r="AY66" i="7" s="1"/>
  <c r="CE66" i="7" s="1"/>
  <c r="BK62" i="7"/>
  <c r="BN62" i="7" s="1"/>
  <c r="BQ62" i="7" s="1"/>
  <c r="BT62" i="7" s="1"/>
  <c r="BW62" i="7" s="1"/>
  <c r="BZ62" i="7" s="1"/>
  <c r="AG63" i="7"/>
  <c r="AJ63" i="7" s="1"/>
  <c r="AM63" i="7" s="1"/>
  <c r="AP63" i="7" s="1"/>
  <c r="AS63" i="7" s="1"/>
  <c r="AV63" i="7" s="1"/>
  <c r="AY63" i="7" s="1"/>
  <c r="CE63" i="7" s="1"/>
  <c r="AG51" i="7"/>
  <c r="AJ30" i="7"/>
  <c r="AM34" i="7"/>
  <c r="AP34" i="7" s="1"/>
  <c r="AS34" i="7" s="1"/>
  <c r="AG36" i="7"/>
  <c r="AJ45" i="7"/>
  <c r="AA35" i="7"/>
  <c r="AM60" i="7"/>
  <c r="BH53" i="7"/>
  <c r="BK53" i="7" s="1"/>
  <c r="BN53" i="7" s="1"/>
  <c r="BQ53" i="7" s="1"/>
  <c r="BT53" i="7" s="1"/>
  <c r="AG33" i="7"/>
  <c r="AJ33" i="7" s="1"/>
  <c r="AM33" i="7" s="1"/>
  <c r="AP33" i="7" s="1"/>
  <c r="AS33" i="7" s="1"/>
  <c r="AD67" i="7"/>
  <c r="G67" i="7" s="1"/>
  <c r="AA58" i="7"/>
  <c r="AA43" i="7"/>
  <c r="AD43" i="7" s="1"/>
  <c r="G43" i="7" s="1"/>
  <c r="AD12" i="7"/>
  <c r="G12" i="7" s="1"/>
  <c r="AJ31" i="7"/>
  <c r="AM31" i="7" s="1"/>
  <c r="AP31" i="7" s="1"/>
  <c r="AS31" i="7" s="1"/>
  <c r="AV31" i="7" s="1"/>
  <c r="AY31" i="7" s="1"/>
  <c r="AP16" i="7"/>
  <c r="AS16" i="7" s="1"/>
  <c r="AV16" i="7" s="1"/>
  <c r="AY16" i="7" s="1"/>
  <c r="AJ70" i="7"/>
  <c r="AG50" i="7" l="1"/>
  <c r="AJ50" i="7" s="1"/>
  <c r="AM50" i="7" s="1"/>
  <c r="AP50" i="7" s="1"/>
  <c r="AS50" i="7" s="1"/>
  <c r="G50" i="7"/>
  <c r="AG59" i="7"/>
  <c r="AJ59" i="7" s="1"/>
  <c r="AM59" i="7" s="1"/>
  <c r="AP59" i="7" s="1"/>
  <c r="AS59" i="7" s="1"/>
  <c r="AV59" i="7" s="1"/>
  <c r="AY59" i="7" s="1"/>
  <c r="G59" i="7"/>
  <c r="G6" i="7"/>
  <c r="AG38" i="7"/>
  <c r="AJ38" i="7" s="1"/>
  <c r="AM38" i="7" s="1"/>
  <c r="AP38" i="7" s="1"/>
  <c r="AS38" i="7" s="1"/>
  <c r="AV38" i="7" s="1"/>
  <c r="AY38" i="7" s="1"/>
  <c r="G38" i="7"/>
  <c r="AG52" i="7"/>
  <c r="AJ52" i="7" s="1"/>
  <c r="G20" i="7"/>
  <c r="AG18" i="7"/>
  <c r="K42" i="13"/>
  <c r="L10" i="13"/>
  <c r="L41" i="13" s="1"/>
  <c r="M39" i="13"/>
  <c r="AV34" i="7"/>
  <c r="AM68" i="7"/>
  <c r="AP68" i="7" s="1"/>
  <c r="AS68" i="7" s="1"/>
  <c r="AV68" i="7" s="1"/>
  <c r="AY68" i="7" s="1"/>
  <c r="CE68" i="7" s="1"/>
  <c r="AM52" i="7"/>
  <c r="AP52" i="7" s="1"/>
  <c r="AM41" i="7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4" i="7"/>
  <c r="AV44" i="7" s="1"/>
  <c r="AY44" i="7" s="1"/>
  <c r="AS37" i="7"/>
  <c r="AV37" i="7" s="1"/>
  <c r="AY37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9" i="7"/>
  <c r="BB29" i="7"/>
  <c r="BE29" i="7" s="1"/>
  <c r="BH29" i="7" s="1"/>
  <c r="BK29" i="7" s="1"/>
  <c r="CE8" i="7"/>
  <c r="BB8" i="7"/>
  <c r="BE8" i="7" s="1"/>
  <c r="BH8" i="7" s="1"/>
  <c r="BK8" i="7" s="1"/>
  <c r="BN8" i="7" s="1"/>
  <c r="BQ8" i="7" s="1"/>
  <c r="CE61" i="7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64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8" i="7"/>
  <c r="BE38" i="7" s="1"/>
  <c r="BH38" i="7" s="1"/>
  <c r="BK38" i="7" s="1"/>
  <c r="BN38" i="7" s="1"/>
  <c r="BQ38" i="7" s="1"/>
  <c r="CE38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CE48" i="7"/>
  <c r="CC9" i="7"/>
  <c r="AP69" i="7"/>
  <c r="AS69" i="7" s="1"/>
  <c r="AG39" i="7"/>
  <c r="AJ39" i="7" s="1"/>
  <c r="AM39" i="7" s="1"/>
  <c r="AP39" i="7" s="1"/>
  <c r="AM24" i="7"/>
  <c r="AP24" i="7" s="1"/>
  <c r="AS24" i="7" s="1"/>
  <c r="AV24" i="7" s="1"/>
  <c r="AY24" i="7" s="1"/>
  <c r="CE24" i="7" s="1"/>
  <c r="AM32" i="7"/>
  <c r="AP32" i="7" s="1"/>
  <c r="AS32" i="7" s="1"/>
  <c r="AV32" i="7" s="1"/>
  <c r="AY32" i="7" s="1"/>
  <c r="BZ57" i="7"/>
  <c r="CC57" i="7" s="1"/>
  <c r="BB57" i="7"/>
  <c r="BE57" i="7" s="1"/>
  <c r="BH57" i="7" s="1"/>
  <c r="BK57" i="7" s="1"/>
  <c r="BN57" i="7" s="1"/>
  <c r="BQ57" i="7" s="1"/>
  <c r="BT57" i="7" s="1"/>
  <c r="BW57" i="7" s="1"/>
  <c r="BT17" i="7"/>
  <c r="BW17" i="7" s="1"/>
  <c r="BZ17" i="7" s="1"/>
  <c r="CC17" i="7" s="1"/>
  <c r="AV33" i="7"/>
  <c r="AY33" i="7" s="1"/>
  <c r="AY34" i="7"/>
  <c r="BN34" i="7" s="1"/>
  <c r="BQ34" i="7" s="1"/>
  <c r="BT34" i="7" s="1"/>
  <c r="BW34" i="7" s="1"/>
  <c r="BZ34" i="7" s="1"/>
  <c r="CC34" i="7" s="1"/>
  <c r="AV50" i="7"/>
  <c r="AY50" i="7" s="1"/>
  <c r="AJ47" i="7"/>
  <c r="AM47" i="7" s="1"/>
  <c r="AP47" i="7" s="1"/>
  <c r="AS47" i="7" s="1"/>
  <c r="AV47" i="7" s="1"/>
  <c r="AY47" i="7" s="1"/>
  <c r="CE47" i="7" s="1"/>
  <c r="BB9" i="7"/>
  <c r="BE9" i="7" s="1"/>
  <c r="BH9" i="7" s="1"/>
  <c r="BK9" i="7" s="1"/>
  <c r="BN9" i="7" s="1"/>
  <c r="BQ9" i="7" s="1"/>
  <c r="BT9" i="7" s="1"/>
  <c r="BW9" i="7" s="1"/>
  <c r="BZ9" i="7" s="1"/>
  <c r="BT38" i="7"/>
  <c r="BW38" i="7" s="1"/>
  <c r="BZ38" i="7" s="1"/>
  <c r="CC38" i="7" s="1"/>
  <c r="AG12" i="7"/>
  <c r="AJ12" i="7" s="1"/>
  <c r="AM12" i="7" s="1"/>
  <c r="AP12" i="7" s="1"/>
  <c r="AS12" i="7" s="1"/>
  <c r="AG43" i="7"/>
  <c r="AJ43" i="7" s="1"/>
  <c r="AM43" i="7" s="1"/>
  <c r="AP43" i="7" s="1"/>
  <c r="AG67" i="7"/>
  <c r="AJ36" i="7"/>
  <c r="AM36" i="7" s="1"/>
  <c r="AP36" i="7" s="1"/>
  <c r="AS36" i="7" s="1"/>
  <c r="AV36" i="7" s="1"/>
  <c r="AY36" i="7" s="1"/>
  <c r="AJ51" i="7"/>
  <c r="AM51" i="7" s="1"/>
  <c r="AP51" i="7" s="1"/>
  <c r="AS51" i="7" s="1"/>
  <c r="AS46" i="7"/>
  <c r="AV46" i="7" s="1"/>
  <c r="AY46" i="7" s="1"/>
  <c r="BZ8" i="7"/>
  <c r="CC8" i="7" s="1"/>
  <c r="BT8" i="7"/>
  <c r="BW8" i="7" s="1"/>
  <c r="AJ42" i="7"/>
  <c r="AM42" i="7" s="1"/>
  <c r="AP42" i="7" s="1"/>
  <c r="AS42" i="7" s="1"/>
  <c r="AV42" i="7" s="1"/>
  <c r="AY42" i="7" s="1"/>
  <c r="AJ25" i="7"/>
  <c r="AM25" i="7" s="1"/>
  <c r="AP25" i="7" s="1"/>
  <c r="AS25" i="7" s="1"/>
  <c r="AV25" i="7" s="1"/>
  <c r="AY25" i="7" s="1"/>
  <c r="AD58" i="7"/>
  <c r="BB68" i="7"/>
  <c r="BE68" i="7" s="1"/>
  <c r="BH68" i="7" s="1"/>
  <c r="AP60" i="7"/>
  <c r="AS60" i="7" s="1"/>
  <c r="AV60" i="7" s="1"/>
  <c r="AY60" i="7" s="1"/>
  <c r="AD35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BN29" i="7"/>
  <c r="BQ29" i="7" s="1"/>
  <c r="BT29" i="7" s="1"/>
  <c r="BW29" i="7" s="1"/>
  <c r="BZ29" i="7" s="1"/>
  <c r="CC29" i="7" s="1"/>
  <c r="AM45" i="7"/>
  <c r="AP45" i="7" s="1"/>
  <c r="AS45" i="7" s="1"/>
  <c r="AV45" i="7" s="1"/>
  <c r="AY45" i="7" s="1"/>
  <c r="AP55" i="7"/>
  <c r="AS55" i="7" s="1"/>
  <c r="AV55" i="7" s="1"/>
  <c r="AY55" i="7" s="1"/>
  <c r="CE55" i="7" s="1"/>
  <c r="AJ56" i="7"/>
  <c r="AS49" i="7"/>
  <c r="AV49" i="7" s="1"/>
  <c r="AY49" i="7" s="1"/>
  <c r="CE49" i="7" s="1"/>
  <c r="BH50" i="7"/>
  <c r="BK50" i="7" s="1"/>
  <c r="BN50" i="7" s="1"/>
  <c r="BQ50" i="7" s="1"/>
  <c r="BT50" i="7" s="1"/>
  <c r="BW50" i="7"/>
  <c r="BZ50" i="7" s="1"/>
  <c r="CC50" i="7" s="1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8" i="7"/>
  <c r="BN68" i="7" s="1"/>
  <c r="BQ68" i="7" s="1"/>
  <c r="BT68" i="7" s="1"/>
  <c r="BW68" i="7" s="1"/>
  <c r="BZ68" i="7" s="1"/>
  <c r="CC68" i="7" s="1"/>
  <c r="AM30" i="7"/>
  <c r="AP30" i="7" s="1"/>
  <c r="AS30" i="7" s="1"/>
  <c r="AV30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70" i="7"/>
  <c r="AG58" i="7" l="1"/>
  <c r="AJ58" i="7" s="1"/>
  <c r="AM58" i="7" s="1"/>
  <c r="AP58" i="7" s="1"/>
  <c r="AS58" i="7" s="1"/>
  <c r="AV58" i="7" s="1"/>
  <c r="AY58" i="7" s="1"/>
  <c r="G58" i="7"/>
  <c r="AG35" i="7"/>
  <c r="AJ35" i="7" s="1"/>
  <c r="AM35" i="7" s="1"/>
  <c r="AP35" i="7" s="1"/>
  <c r="AS35" i="7" s="1"/>
  <c r="AV35" i="7" s="1"/>
  <c r="AY35" i="7" s="1"/>
  <c r="G35" i="7"/>
  <c r="AJ18" i="7"/>
  <c r="L42" i="13"/>
  <c r="M10" i="13"/>
  <c r="M41" i="13" s="1"/>
  <c r="N39" i="13"/>
  <c r="CE37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41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AS52" i="7"/>
  <c r="CE44" i="7"/>
  <c r="BB55" i="7"/>
  <c r="BE55" i="7" s="1"/>
  <c r="BH55" i="7" s="1"/>
  <c r="BK55" i="7" s="1"/>
  <c r="BN55" i="7" s="1"/>
  <c r="BQ55" i="7" s="1"/>
  <c r="BZ55" i="7"/>
  <c r="CC55" i="7" s="1"/>
  <c r="BT55" i="7"/>
  <c r="BW55" i="7" s="1"/>
  <c r="AV12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AV69" i="7"/>
  <c r="CE20" i="7"/>
  <c r="BN46" i="7"/>
  <c r="BQ46" i="7" s="1"/>
  <c r="BT46" i="7" s="1"/>
  <c r="BW46" i="7" s="1"/>
  <c r="BZ46" i="7" s="1"/>
  <c r="CC46" i="7" s="1"/>
  <c r="BE46" i="7"/>
  <c r="BH46" i="7" s="1"/>
  <c r="BK46" i="7" s="1"/>
  <c r="AV51" i="7"/>
  <c r="AY51" i="7" s="1"/>
  <c r="AS43" i="7"/>
  <c r="AV43" i="7" s="1"/>
  <c r="BN49" i="7"/>
  <c r="BQ49" i="7" s="1"/>
  <c r="BT49" i="7" s="1"/>
  <c r="BW49" i="7" s="1"/>
  <c r="BZ49" i="7" s="1"/>
  <c r="CC49" i="7" s="1"/>
  <c r="BQ32" i="7"/>
  <c r="BT32" i="7" s="1"/>
  <c r="BW32" i="7" s="1"/>
  <c r="BZ32" i="7" s="1"/>
  <c r="CC32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39" i="7"/>
  <c r="AV39" i="7" s="1"/>
  <c r="AY39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6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45" i="7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46" i="7"/>
  <c r="BB46" i="7"/>
  <c r="CE34" i="7"/>
  <c r="BB34" i="7"/>
  <c r="BE34" i="7" s="1"/>
  <c r="BH34" i="7" s="1"/>
  <c r="BK34" i="7" s="1"/>
  <c r="CE32" i="7"/>
  <c r="BB32" i="7"/>
  <c r="BE32" i="7" s="1"/>
  <c r="BH32" i="7" s="1"/>
  <c r="BK32" i="7" s="1"/>
  <c r="BN32" i="7" s="1"/>
  <c r="AY30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BB49" i="7"/>
  <c r="BE49" i="7" s="1"/>
  <c r="BH49" i="7" s="1"/>
  <c r="BK49" i="7" s="1"/>
  <c r="AJ67" i="7"/>
  <c r="AM67" i="7" s="1"/>
  <c r="AP67" i="7" s="1"/>
  <c r="AS67" i="7" s="1"/>
  <c r="AV67" i="7" s="1"/>
  <c r="AY67" i="7" s="1"/>
  <c r="CE50" i="7"/>
  <c r="BB50" i="7"/>
  <c r="BE50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AM56" i="7"/>
  <c r="AP56" i="7" s="1"/>
  <c r="AS56" i="7" s="1"/>
  <c r="AV56" i="7" s="1"/>
  <c r="AY56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70" i="7"/>
  <c r="AS70" i="7" s="1"/>
  <c r="AV70" i="7" s="1"/>
  <c r="AM18" i="7" l="1"/>
  <c r="AP18" i="7" s="1"/>
  <c r="M42" i="13"/>
  <c r="N10" i="13"/>
  <c r="N41" i="13" s="1"/>
  <c r="O39" i="13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AY43" i="7"/>
  <c r="CE43" i="7" s="1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51" i="7"/>
  <c r="AV52" i="7"/>
  <c r="AY52" i="7" s="1"/>
  <c r="AS41" i="7"/>
  <c r="AY12" i="7"/>
  <c r="BQ12" i="7" s="1"/>
  <c r="BT12" i="7" s="1"/>
  <c r="BW12" i="7" s="1"/>
  <c r="BZ12" i="7" s="1"/>
  <c r="AY69" i="7"/>
  <c r="BB69" i="7" s="1"/>
  <c r="BE69" i="7" s="1"/>
  <c r="CE67" i="7"/>
  <c r="BB67" i="7"/>
  <c r="BE67" i="7" s="1"/>
  <c r="BH67" i="7" s="1"/>
  <c r="BK67" i="7" s="1"/>
  <c r="BN67" i="7" s="1"/>
  <c r="BQ67" i="7" s="1"/>
  <c r="BT67" i="7" s="1"/>
  <c r="BW67" i="7" s="1"/>
  <c r="BZ67" i="7" s="1"/>
  <c r="CC6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G70" i="7"/>
  <c r="AY70" i="7"/>
  <c r="BT70" i="7" s="1"/>
  <c r="BW70" i="7" s="1"/>
  <c r="BZ70" i="7" s="1"/>
  <c r="CC70" i="7" s="1"/>
  <c r="AS18" i="7" l="1"/>
  <c r="AV18" i="7" s="1"/>
  <c r="AY18" i="7" s="1"/>
  <c r="CE18" i="7" s="1"/>
  <c r="N42" i="13"/>
  <c r="O10" i="13"/>
  <c r="O41" i="13" s="1"/>
  <c r="P39" i="13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AV41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BH69" i="7"/>
  <c r="BK69" i="7" s="1"/>
  <c r="CE69" i="7"/>
  <c r="BN69" i="7"/>
  <c r="BQ69" i="7" s="1"/>
  <c r="BT69" i="7" s="1"/>
  <c r="BW69" i="7" s="1"/>
  <c r="BZ69" i="7" s="1"/>
  <c r="CC69" i="7" s="1"/>
  <c r="CE12" i="7"/>
  <c r="BK12" i="7"/>
  <c r="BN12" i="7" s="1"/>
  <c r="BB12" i="7"/>
  <c r="BE12" i="7"/>
  <c r="BH12" i="7" s="1"/>
  <c r="CC12" i="7"/>
  <c r="BB70" i="7"/>
  <c r="BE70" i="7" s="1"/>
  <c r="BH70" i="7" s="1"/>
  <c r="BK70" i="7" s="1"/>
  <c r="BN70" i="7" s="1"/>
  <c r="BQ70" i="7" s="1"/>
  <c r="CE70" i="7"/>
  <c r="B12" i="9"/>
  <c r="B11" i="9"/>
  <c r="B10" i="9"/>
  <c r="B9" i="9"/>
  <c r="B2" i="9"/>
  <c r="B5" i="9"/>
  <c r="B4" i="9"/>
  <c r="B3" i="9"/>
  <c r="BB18" i="7" l="1"/>
  <c r="BE18" i="7" s="1"/>
  <c r="BH18" i="7" s="1"/>
  <c r="BK18" i="7" s="1"/>
  <c r="BN18" i="7"/>
  <c r="BQ18" i="7" s="1"/>
  <c r="BT18" i="7"/>
  <c r="BW18" i="7" s="1"/>
  <c r="BZ18" i="7" s="1"/>
  <c r="CC18" i="7" s="1"/>
  <c r="O42" i="13"/>
  <c r="P10" i="13"/>
  <c r="P41" i="13" s="1"/>
  <c r="Q39" i="13"/>
  <c r="AY41" i="7"/>
  <c r="CE41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2" i="7"/>
  <c r="R72" i="7" s="1"/>
  <c r="U72" i="7" s="1"/>
  <c r="X72" i="7" s="1"/>
  <c r="AA72" i="7" s="1"/>
  <c r="AD72" i="7" s="1"/>
  <c r="AG72" i="7" s="1"/>
  <c r="AJ72" i="7" s="1"/>
  <c r="AM72" i="7" s="1"/>
  <c r="AP72" i="7" s="1"/>
  <c r="AS72" i="7" s="1"/>
  <c r="AV72" i="7" s="1"/>
  <c r="AY72" i="7" s="1"/>
  <c r="Y76" i="7"/>
  <c r="AB76" i="7"/>
  <c r="AE76" i="7"/>
  <c r="AH76" i="7"/>
  <c r="AK76" i="7"/>
  <c r="AN76" i="7"/>
  <c r="AQ76" i="7"/>
  <c r="AT76" i="7"/>
  <c r="AW76" i="7"/>
  <c r="J76" i="7"/>
  <c r="A19" i="8"/>
  <c r="CE71" i="7"/>
  <c r="I76" i="7"/>
  <c r="M76" i="7"/>
  <c r="P76" i="7"/>
  <c r="S76" i="7"/>
  <c r="V76" i="7"/>
  <c r="AZ76" i="7"/>
  <c r="BC76" i="7"/>
  <c r="BF76" i="7"/>
  <c r="BI76" i="7"/>
  <c r="BL76" i="7"/>
  <c r="BO76" i="7"/>
  <c r="BR76" i="7"/>
  <c r="BU76" i="7"/>
  <c r="BX76" i="7"/>
  <c r="CA76" i="7"/>
  <c r="BB72" i="7"/>
  <c r="BE72" i="7" s="1"/>
  <c r="BH72" i="7" s="1"/>
  <c r="BK72" i="7" s="1"/>
  <c r="BN72" i="7" s="1"/>
  <c r="BQ72" i="7" s="1"/>
  <c r="BT72" i="7" s="1"/>
  <c r="BW72" i="7" s="1"/>
  <c r="BZ72" i="7" s="1"/>
  <c r="CC72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P42" i="13" l="1"/>
  <c r="Q10" i="13"/>
  <c r="Q41" i="13" s="1"/>
  <c r="R39" i="13"/>
  <c r="C14" i="9"/>
  <c r="C18" i="9"/>
  <c r="C20" i="9"/>
  <c r="C22" i="9"/>
  <c r="C24" i="9"/>
  <c r="C16" i="9"/>
  <c r="C23" i="9"/>
  <c r="C19" i="9"/>
  <c r="C21" i="9"/>
  <c r="C15" i="9"/>
  <c r="C17" i="9"/>
  <c r="C13" i="9"/>
  <c r="C9" i="9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12" i="9"/>
  <c r="C11" i="9"/>
  <c r="C10" i="9"/>
  <c r="BA76" i="7"/>
  <c r="BD76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6" i="7"/>
  <c r="K76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Q42" i="13" l="1"/>
  <c r="R10" i="13"/>
  <c r="R41" i="13" s="1"/>
  <c r="S39" i="13"/>
  <c r="C25" i="9"/>
  <c r="N76" i="7"/>
  <c r="O4" i="7"/>
  <c r="BJ76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2" i="13" l="1"/>
  <c r="S10" i="13"/>
  <c r="S41" i="13" s="1"/>
  <c r="T39" i="13"/>
  <c r="R4" i="7"/>
  <c r="F36" i="8"/>
  <c r="Q76" i="7"/>
  <c r="F31" i="8"/>
  <c r="W76" i="7"/>
  <c r="T76" i="7"/>
  <c r="F37" i="8"/>
  <c r="F35" i="8"/>
  <c r="U4" i="7"/>
  <c r="F24" i="8"/>
  <c r="F27" i="8" s="1"/>
  <c r="F28" i="8" s="1"/>
  <c r="BM76" i="7"/>
  <c r="Z76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S42" i="13" l="1"/>
  <c r="T10" i="13"/>
  <c r="T41" i="13" s="1"/>
  <c r="U39" i="13"/>
  <c r="F25" i="8"/>
  <c r="G36" i="8"/>
  <c r="G37" i="8"/>
  <c r="G35" i="8"/>
  <c r="G31" i="8"/>
  <c r="X4" i="7"/>
  <c r="BP76" i="7"/>
  <c r="G25" i="8"/>
  <c r="AC76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T42" i="13" l="1"/>
  <c r="U10" i="13"/>
  <c r="U41" i="13" s="1"/>
  <c r="V39" i="13"/>
  <c r="H25" i="8"/>
  <c r="H37" i="8"/>
  <c r="H36" i="8"/>
  <c r="H31" i="8"/>
  <c r="H35" i="8"/>
  <c r="H28" i="8"/>
  <c r="AA4" i="7"/>
  <c r="AD4" i="7" s="1"/>
  <c r="G4" i="7" s="1"/>
  <c r="BS76" i="7"/>
  <c r="AF76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U42" i="13" l="1"/>
  <c r="V10" i="13"/>
  <c r="V41" i="13" s="1"/>
  <c r="W39" i="13"/>
  <c r="I35" i="8"/>
  <c r="I36" i="8"/>
  <c r="I28" i="8"/>
  <c r="AG4" i="7"/>
  <c r="AJ4" i="7" s="1"/>
  <c r="J36" i="8"/>
  <c r="BV76" i="7"/>
  <c r="AI76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V42" i="13" l="1"/>
  <c r="W10" i="13"/>
  <c r="W41" i="13" s="1"/>
  <c r="X39" i="13"/>
  <c r="J37" i="8"/>
  <c r="AM4" i="7"/>
  <c r="AP4" i="7" s="1"/>
  <c r="AS4" i="7" s="1"/>
  <c r="AV4" i="7" s="1"/>
  <c r="AY4" i="7" s="1"/>
  <c r="CE4" i="7" s="1"/>
  <c r="CB76" i="7"/>
  <c r="BY76" i="7"/>
  <c r="J27" i="8"/>
  <c r="J28" i="8" s="1"/>
  <c r="J25" i="8"/>
  <c r="AL76" i="7"/>
  <c r="C9" i="6"/>
  <c r="C10" i="6" s="1"/>
  <c r="AH1" i="7"/>
  <c r="L20" i="8"/>
  <c r="K22" i="8"/>
  <c r="K23" i="8"/>
  <c r="K24" i="8" s="1"/>
  <c r="W42" i="13" l="1"/>
  <c r="X10" i="13"/>
  <c r="X41" i="13" s="1"/>
  <c r="Y39" i="13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6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X42" i="13" l="1"/>
  <c r="Y10" i="13"/>
  <c r="Y41" i="13" s="1"/>
  <c r="Z39" i="13"/>
  <c r="AR76" i="7"/>
  <c r="L25" i="8"/>
  <c r="N20" i="8"/>
  <c r="AN1" i="7"/>
  <c r="M23" i="8"/>
  <c r="M24" i="8" s="1"/>
  <c r="M27" i="8" s="1"/>
  <c r="M37" i="8"/>
  <c r="M31" i="8"/>
  <c r="M22" i="8"/>
  <c r="M35" i="8"/>
  <c r="M36" i="8"/>
  <c r="Y42" i="13" l="1"/>
  <c r="Z10" i="13"/>
  <c r="Z41" i="13" s="1"/>
  <c r="AA39" i="13"/>
  <c r="M28" i="8"/>
  <c r="AU76" i="7"/>
  <c r="N31" i="8"/>
  <c r="N35" i="8"/>
  <c r="N23" i="8"/>
  <c r="N24" i="8" s="1"/>
  <c r="N27" i="8" s="1"/>
  <c r="N37" i="8"/>
  <c r="N36" i="8"/>
  <c r="N22" i="8"/>
  <c r="M25" i="8"/>
  <c r="AQ1" i="7"/>
  <c r="O20" i="8"/>
  <c r="Z42" i="13" l="1"/>
  <c r="AA10" i="13"/>
  <c r="AA41" i="13" s="1"/>
  <c r="AB39" i="13"/>
  <c r="B30" i="9"/>
  <c r="B29" i="9"/>
  <c r="B31" i="9"/>
  <c r="B32" i="9"/>
  <c r="B28" i="9"/>
  <c r="N28" i="8"/>
  <c r="AX76" i="7"/>
  <c r="AT1" i="7"/>
  <c r="P20" i="8"/>
  <c r="O23" i="8"/>
  <c r="O24" i="8" s="1"/>
  <c r="O27" i="8" s="1"/>
  <c r="O31" i="8"/>
  <c r="O36" i="8"/>
  <c r="O22" i="8"/>
  <c r="O37" i="8"/>
  <c r="O35" i="8"/>
  <c r="N25" i="8"/>
  <c r="AA42" i="13" l="1"/>
  <c r="AB10" i="13"/>
  <c r="AB41" i="13" s="1"/>
  <c r="AC39" i="13"/>
  <c r="B33" i="9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AB42" i="13" l="1"/>
  <c r="AC10" i="13"/>
  <c r="AC41" i="13" s="1"/>
  <c r="AD39" i="13"/>
  <c r="C29" i="9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6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AC42" i="13" l="1"/>
  <c r="AD10" i="13"/>
  <c r="AD41" i="13" s="1"/>
  <c r="AE39" i="13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6" i="7"/>
  <c r="R25" i="8"/>
  <c r="R29" i="8" s="1"/>
  <c r="R27" i="8"/>
  <c r="R28" i="8" s="1"/>
  <c r="R32" i="8"/>
  <c r="AD42" i="13" l="1"/>
  <c r="AE10" i="13"/>
  <c r="AE41" i="13" s="1"/>
  <c r="AF39" i="13"/>
  <c r="Q27" i="8"/>
  <c r="Q28" i="8" s="1"/>
  <c r="Q25" i="8"/>
  <c r="Q29" i="8" s="1"/>
  <c r="Q32" i="8"/>
  <c r="BH76" i="7"/>
  <c r="AE42" i="13" l="1"/>
  <c r="AF10" i="13"/>
  <c r="AF41" i="13" s="1"/>
  <c r="AG39" i="13"/>
  <c r="BK76" i="7"/>
  <c r="AF42" i="13" l="1"/>
  <c r="AG10" i="13"/>
  <c r="AG41" i="13" s="1"/>
  <c r="AH39" i="13"/>
  <c r="BN76" i="7"/>
  <c r="AG42" i="13" l="1"/>
  <c r="AH10" i="13"/>
  <c r="AH41" i="13" s="1"/>
  <c r="AI39" i="13"/>
  <c r="BQ76" i="7"/>
  <c r="AH42" i="13" l="1"/>
  <c r="AI10" i="13"/>
  <c r="AI41" i="13" s="1"/>
  <c r="AJ39" i="13"/>
  <c r="BT76" i="7"/>
  <c r="AI42" i="13" l="1"/>
  <c r="AJ10" i="13"/>
  <c r="AJ41" i="13" s="1"/>
  <c r="AK39" i="13"/>
  <c r="BW76" i="7"/>
  <c r="AJ42" i="13" l="1"/>
  <c r="AK10" i="13"/>
  <c r="AK41" i="13" s="1"/>
  <c r="AL39" i="13"/>
  <c r="BZ76" i="7"/>
  <c r="CC76" i="7"/>
  <c r="C5" i="9"/>
  <c r="C4" i="9"/>
  <c r="C3" i="9"/>
  <c r="C2" i="9"/>
  <c r="AK42" i="13" l="1"/>
  <c r="AL10" i="13"/>
  <c r="AL41" i="13" s="1"/>
  <c r="AM39" i="13"/>
  <c r="C6" i="9"/>
  <c r="AL42" i="13" l="1"/>
  <c r="AM10" i="13"/>
  <c r="AM41" i="13" s="1"/>
  <c r="AN39" i="13"/>
  <c r="AM42" i="13" l="1"/>
  <c r="AN10" i="13"/>
  <c r="AN41" i="13" s="1"/>
  <c r="AO39" i="13"/>
  <c r="AN42" i="13" l="1"/>
  <c r="AO10" i="13"/>
  <c r="AO41" i="13" s="1"/>
  <c r="AP39" i="13"/>
  <c r="AO42" i="13" l="1"/>
  <c r="AP10" i="13"/>
  <c r="AP41" i="13" s="1"/>
  <c r="AQ39" i="13"/>
  <c r="AP42" i="13" l="1"/>
  <c r="AQ10" i="13"/>
  <c r="AQ41" i="13" s="1"/>
  <c r="AR39" i="13"/>
  <c r="AQ42" i="13" l="1"/>
  <c r="AR10" i="13"/>
  <c r="AR41" i="13" s="1"/>
  <c r="AS39" i="13"/>
  <c r="AR42" i="13" l="1"/>
  <c r="AS10" i="13"/>
  <c r="AS41" i="13" s="1"/>
  <c r="AT39" i="13"/>
  <c r="AS42" i="13" l="1"/>
  <c r="AT10" i="13"/>
  <c r="AT41" i="13" s="1"/>
  <c r="AU39" i="13"/>
  <c r="AT42" i="13" l="1"/>
  <c r="AU10" i="13"/>
  <c r="AU41" i="13" s="1"/>
  <c r="AV39" i="13"/>
  <c r="AU42" i="13" l="1"/>
  <c r="AV10" i="13"/>
  <c r="AV41" i="13" s="1"/>
  <c r="AW39" i="13"/>
  <c r="AV42" i="13" l="1"/>
  <c r="AW10" i="13"/>
  <c r="AW41" i="13" s="1"/>
  <c r="AX39" i="13"/>
  <c r="AW42" i="13" l="1"/>
  <c r="AX10" i="13"/>
  <c r="AX41" i="13" s="1"/>
  <c r="AY39" i="13"/>
  <c r="AX42" i="13" l="1"/>
  <c r="AY10" i="13"/>
  <c r="AY41" i="13" s="1"/>
  <c r="AZ39" i="13"/>
  <c r="AY42" i="13" l="1"/>
  <c r="AZ10" i="13"/>
  <c r="AZ41" i="13" s="1"/>
  <c r="BA39" i="13"/>
  <c r="AZ42" i="13" l="1"/>
  <c r="BA10" i="13"/>
  <c r="BA41" i="13" s="1"/>
  <c r="BB39" i="13"/>
  <c r="BA42" i="13" l="1"/>
  <c r="BB10" i="13"/>
  <c r="BB41" i="13" s="1"/>
  <c r="BC39" i="13"/>
  <c r="BB42" i="13" l="1"/>
  <c r="BC10" i="13"/>
  <c r="BC41" i="13" s="1"/>
  <c r="BD39" i="13"/>
  <c r="BC42" i="13" l="1"/>
  <c r="BD10" i="13"/>
  <c r="BD41" i="13" s="1"/>
  <c r="BE39" i="13"/>
  <c r="BD42" i="13" l="1"/>
  <c r="BE10" i="13"/>
  <c r="BE41" i="13" s="1"/>
  <c r="BF39" i="13"/>
  <c r="BE42" i="13" l="1"/>
  <c r="BF10" i="13"/>
  <c r="BF41" i="13" s="1"/>
  <c r="BG39" i="13"/>
  <c r="BF42" i="13" l="1"/>
  <c r="BG10" i="13"/>
  <c r="BG41" i="13" s="1"/>
  <c r="BH39" i="13"/>
  <c r="BG42" i="13" l="1"/>
  <c r="BH10" i="13"/>
  <c r="BH41" i="13" s="1"/>
  <c r="BI39" i="13"/>
  <c r="BH42" i="13" l="1"/>
  <c r="BI10" i="13"/>
  <c r="BI41" i="13" s="1"/>
  <c r="BJ39" i="13"/>
  <c r="BI42" i="13" l="1"/>
  <c r="BJ10" i="13"/>
  <c r="BJ41" i="13" s="1"/>
  <c r="BK39" i="13"/>
  <c r="BJ42" i="13" l="1"/>
  <c r="BK10" i="13"/>
  <c r="BK41" i="13" s="1"/>
  <c r="BL39" i="13"/>
  <c r="BK42" i="13" l="1"/>
  <c r="BL10" i="13"/>
  <c r="BL41" i="13" s="1"/>
  <c r="BM39" i="13"/>
  <c r="BL42" i="13" l="1"/>
  <c r="BM10" i="13"/>
  <c r="BM41" i="13" s="1"/>
  <c r="BN39" i="13"/>
  <c r="BM42" i="13" l="1"/>
  <c r="BN10" i="13"/>
  <c r="BN41" i="13" s="1"/>
  <c r="BO39" i="13"/>
  <c r="BN42" i="13" l="1"/>
  <c r="BO10" i="13"/>
  <c r="BO41" i="13" s="1"/>
  <c r="BP39" i="13"/>
  <c r="BO42" i="13" l="1"/>
  <c r="BP10" i="13"/>
  <c r="BP41" i="13" s="1"/>
  <c r="BQ39" i="13"/>
  <c r="BP42" i="13" l="1"/>
  <c r="BQ10" i="13"/>
  <c r="BQ41" i="13" s="1"/>
  <c r="BR39" i="13"/>
  <c r="BQ42" i="13" l="1"/>
  <c r="BR10" i="13"/>
  <c r="BR41" i="13" s="1"/>
  <c r="BS39" i="13"/>
  <c r="BR42" i="13" l="1"/>
  <c r="BS10" i="13"/>
  <c r="BS41" i="13" s="1"/>
  <c r="BT39" i="13"/>
  <c r="BS42" i="13" l="1"/>
  <c r="BT10" i="13"/>
  <c r="BT41" i="13" s="1"/>
  <c r="BU39" i="13"/>
  <c r="BT42" i="13" l="1"/>
  <c r="BU10" i="13"/>
  <c r="BU41" i="13" s="1"/>
  <c r="BV39" i="13"/>
  <c r="BU42" i="13" l="1"/>
  <c r="BV10" i="13"/>
  <c r="BV41" i="13" s="1"/>
  <c r="BW39" i="13"/>
  <c r="BV42" i="13" l="1"/>
  <c r="BW10" i="13"/>
  <c r="BW41" i="13" s="1"/>
  <c r="BX39" i="13"/>
  <c r="BW42" i="13" l="1"/>
  <c r="BX10" i="13"/>
  <c r="BX41" i="13" s="1"/>
  <c r="BY39" i="13"/>
  <c r="BX42" i="13" l="1"/>
  <c r="BY10" i="13"/>
  <c r="BY41" i="13" s="1"/>
  <c r="BZ39" i="13"/>
  <c r="BY42" i="13" l="1"/>
  <c r="BZ10" i="13"/>
  <c r="BZ41" i="13" s="1"/>
  <c r="CA39" i="13"/>
  <c r="BZ42" i="13" l="1"/>
  <c r="CA10" i="13"/>
  <c r="CA41" i="13" s="1"/>
  <c r="CB39" i="13"/>
  <c r="CA42" i="13" l="1"/>
  <c r="CB10" i="13"/>
  <c r="CB41" i="13" s="1"/>
  <c r="CC39" i="13"/>
  <c r="CB42" i="13" l="1"/>
  <c r="CC10" i="13"/>
  <c r="CC41" i="13" s="1"/>
  <c r="CD39" i="13"/>
  <c r="CC42" i="13" l="1"/>
  <c r="CD10" i="13"/>
  <c r="CD41" i="13" s="1"/>
  <c r="CE39" i="13"/>
  <c r="CD42" i="13" l="1"/>
  <c r="CE10" i="13"/>
  <c r="CE41" i="13" s="1"/>
  <c r="CF39" i="13"/>
  <c r="CE42" i="13" l="1"/>
  <c r="CF10" i="13"/>
  <c r="CF41" i="13" s="1"/>
  <c r="CG39" i="13"/>
  <c r="CF42" i="13" l="1"/>
  <c r="CG10" i="13"/>
  <c r="CG41" i="13" s="1"/>
  <c r="CH39" i="13"/>
  <c r="CG42" i="13" l="1"/>
  <c r="CH10" i="13"/>
  <c r="CH41" i="13" s="1"/>
  <c r="CI39" i="13"/>
  <c r="CH42" i="13" l="1"/>
  <c r="CI10" i="13"/>
  <c r="CI41" i="13" s="1"/>
  <c r="CJ39" i="13"/>
  <c r="CI42" i="13" l="1"/>
  <c r="CJ10" i="13"/>
  <c r="CJ41" i="13" s="1"/>
  <c r="CK39" i="13"/>
  <c r="CJ42" i="13" l="1"/>
  <c r="CK10" i="13"/>
  <c r="CK41" i="13" s="1"/>
  <c r="CL39" i="13"/>
  <c r="CK42" i="13" l="1"/>
  <c r="CL10" i="13"/>
  <c r="CL41" i="13" s="1"/>
  <c r="CM39" i="13"/>
  <c r="CL42" i="13" l="1"/>
  <c r="CM10" i="13"/>
  <c r="CM41" i="13" s="1"/>
  <c r="CN39" i="13"/>
  <c r="CM42" i="13" l="1"/>
  <c r="CN10" i="13"/>
  <c r="CN41" i="13" s="1"/>
  <c r="CO39" i="13"/>
  <c r="CN42" i="13" l="1"/>
  <c r="CO10" i="13"/>
  <c r="CO41" i="13" s="1"/>
  <c r="CP39" i="13"/>
  <c r="CO42" i="13" l="1"/>
  <c r="CP10" i="13"/>
  <c r="CP41" i="13" s="1"/>
  <c r="CQ39" i="13"/>
  <c r="CP42" i="13" l="1"/>
  <c r="CQ10" i="13"/>
  <c r="CQ41" i="13" s="1"/>
  <c r="CR39" i="13"/>
  <c r="CQ42" i="13" l="1"/>
  <c r="CR10" i="13"/>
  <c r="CR41" i="13" s="1"/>
  <c r="CS39" i="13"/>
  <c r="CR42" i="13" l="1"/>
  <c r="CS10" i="13"/>
  <c r="CS41" i="13" s="1"/>
  <c r="CT39" i="13"/>
  <c r="CS42" i="13" l="1"/>
  <c r="CT10" i="13"/>
  <c r="CT41" i="13" s="1"/>
  <c r="CU39" i="13"/>
  <c r="CT42" i="13" l="1"/>
  <c r="CU10" i="13"/>
  <c r="CU41" i="13" s="1"/>
  <c r="CV39" i="13"/>
  <c r="CU42" i="13" l="1"/>
  <c r="CV10" i="13"/>
  <c r="CV41" i="13" s="1"/>
  <c r="CW39" i="13"/>
  <c r="CV42" i="13" l="1"/>
  <c r="CW10" i="13"/>
  <c r="CW41" i="13" s="1"/>
  <c r="CX39" i="13"/>
  <c r="CW42" i="13" l="1"/>
  <c r="CX10" i="13"/>
  <c r="CX41" i="13" s="1"/>
  <c r="CY39" i="13"/>
  <c r="CX42" i="13" l="1"/>
  <c r="CY10" i="13"/>
  <c r="CY41" i="13" s="1"/>
  <c r="CZ39" i="13"/>
  <c r="CY42" i="13" l="1"/>
  <c r="CZ10" i="13"/>
  <c r="CZ41" i="13" s="1"/>
  <c r="DA39" i="13"/>
  <c r="CZ42" i="13" l="1"/>
  <c r="DA10" i="13"/>
  <c r="DA41" i="13" s="1"/>
  <c r="DB39" i="13"/>
  <c r="DA42" i="13" l="1"/>
  <c r="DB10" i="13"/>
  <c r="DB41" i="13" s="1"/>
  <c r="DC39" i="13"/>
  <c r="DB42" i="13" l="1"/>
  <c r="DC10" i="13"/>
  <c r="DC41" i="13" s="1"/>
  <c r="DD39" i="13"/>
  <c r="DC42" i="13" l="1"/>
  <c r="DD10" i="13"/>
  <c r="DD41" i="13" s="1"/>
  <c r="DE39" i="13"/>
  <c r="DD42" i="13" l="1"/>
  <c r="DE10" i="13"/>
  <c r="DE41" i="13" s="1"/>
  <c r="DF39" i="13"/>
  <c r="DE42" i="13" l="1"/>
  <c r="DF10" i="13"/>
  <c r="DF41" i="13" s="1"/>
  <c r="DG39" i="13"/>
  <c r="DF42" i="13" l="1"/>
  <c r="DG10" i="13"/>
  <c r="DG41" i="13" s="1"/>
  <c r="DH39" i="13"/>
  <c r="DG42" i="13" l="1"/>
  <c r="DH10" i="13"/>
  <c r="DH41" i="13" s="1"/>
  <c r="DI39" i="13"/>
  <c r="DH42" i="13" l="1"/>
  <c r="DI10" i="13"/>
  <c r="DI41" i="13" s="1"/>
  <c r="DJ39" i="13"/>
  <c r="DI42" i="13" l="1"/>
  <c r="DJ10" i="13"/>
  <c r="DJ41" i="13" s="1"/>
  <c r="DK39" i="13"/>
  <c r="DJ42" i="13" l="1"/>
  <c r="DK10" i="13"/>
  <c r="DK41" i="13" s="1"/>
  <c r="DL39" i="13"/>
  <c r="DK42" i="13" l="1"/>
  <c r="DL10" i="13"/>
  <c r="DL41" i="13" s="1"/>
  <c r="DM39" i="13"/>
  <c r="DL42" i="13" l="1"/>
  <c r="DM10" i="13"/>
  <c r="DM41" i="13" s="1"/>
  <c r="DN39" i="13"/>
  <c r="DM42" i="13" l="1"/>
  <c r="DN10" i="13"/>
  <c r="DN41" i="13" s="1"/>
  <c r="DO39" i="13"/>
  <c r="DN42" i="13" l="1"/>
  <c r="DO10" i="13"/>
  <c r="DO41" i="13" s="1"/>
  <c r="DP39" i="13"/>
  <c r="DO42" i="13" l="1"/>
  <c r="DP10" i="13"/>
  <c r="DP41" i="13" s="1"/>
  <c r="DQ39" i="13"/>
  <c r="DP42" i="13" l="1"/>
  <c r="DQ10" i="13"/>
  <c r="DQ41" i="13" s="1"/>
  <c r="DR39" i="13"/>
  <c r="DQ42" i="13" l="1"/>
  <c r="DR10" i="13"/>
  <c r="DR41" i="13" s="1"/>
  <c r="DS39" i="13"/>
  <c r="DR42" i="13" l="1"/>
  <c r="DS10" i="13"/>
  <c r="DS41" i="13" s="1"/>
  <c r="DT39" i="13"/>
  <c r="DS42" i="13" l="1"/>
  <c r="DT10" i="13"/>
  <c r="DT41" i="13" s="1"/>
  <c r="DU39" i="13"/>
  <c r="DT42" i="13" l="1"/>
  <c r="DU10" i="13"/>
  <c r="DU41" i="13" s="1"/>
  <c r="DV39" i="13"/>
  <c r="DU42" i="13" l="1"/>
  <c r="DV10" i="13"/>
  <c r="DV41" i="13" s="1"/>
  <c r="DW39" i="13"/>
  <c r="DV42" i="13" l="1"/>
  <c r="DW10" i="13"/>
  <c r="DW41" i="13" s="1"/>
  <c r="DX39" i="13"/>
  <c r="DW42" i="13" l="1"/>
  <c r="DX10" i="13"/>
  <c r="DX41" i="13" s="1"/>
  <c r="DY39" i="13"/>
  <c r="DX42" i="13" l="1"/>
  <c r="DY10" i="13"/>
  <c r="DY41" i="13" s="1"/>
  <c r="DZ39" i="13"/>
  <c r="DY42" i="13" l="1"/>
  <c r="DZ10" i="13"/>
  <c r="DZ41" i="13" s="1"/>
  <c r="EA39" i="13"/>
  <c r="DZ42" i="13" l="1"/>
  <c r="EA10" i="13"/>
  <c r="EA41" i="13" s="1"/>
  <c r="EB39" i="13"/>
  <c r="EA42" i="13" l="1"/>
  <c r="EB10" i="13"/>
  <c r="EB41" i="13" s="1"/>
  <c r="EC39" i="13"/>
  <c r="EB42" i="13" l="1"/>
  <c r="EC10" i="13"/>
  <c r="EC41" i="13" s="1"/>
  <c r="ED39" i="13"/>
  <c r="EC42" i="13" l="1"/>
  <c r="ED10" i="13"/>
  <c r="ED41" i="13" s="1"/>
  <c r="EE39" i="13"/>
  <c r="ED42" i="13" l="1"/>
  <c r="EE10" i="13"/>
  <c r="EE41" i="13" s="1"/>
  <c r="EF39" i="13"/>
  <c r="EE42" i="13" l="1"/>
  <c r="EF10" i="13"/>
  <c r="EF41" i="13" s="1"/>
  <c r="EG39" i="13"/>
  <c r="EF42" i="13" l="1"/>
  <c r="EG10" i="13"/>
  <c r="EG41" i="13" s="1"/>
  <c r="EH39" i="13"/>
  <c r="EG42" i="13" l="1"/>
  <c r="EH10" i="13"/>
  <c r="EH41" i="13" s="1"/>
  <c r="EI39" i="13"/>
  <c r="EH42" i="13" l="1"/>
  <c r="EI10" i="13"/>
  <c r="EI41" i="13" s="1"/>
  <c r="EJ39" i="13"/>
  <c r="EI42" i="13" l="1"/>
  <c r="EJ10" i="13"/>
  <c r="EJ41" i="13" s="1"/>
  <c r="EK39" i="13"/>
  <c r="EJ42" i="13" l="1"/>
  <c r="EK10" i="13"/>
  <c r="EK41" i="13" s="1"/>
  <c r="EL39" i="13"/>
  <c r="EK42" i="13" l="1"/>
  <c r="EL10" i="13"/>
  <c r="EL41" i="13" s="1"/>
  <c r="EM39" i="13"/>
  <c r="EL42" i="13" l="1"/>
  <c r="EM10" i="13"/>
  <c r="EM41" i="13" s="1"/>
  <c r="EN39" i="13"/>
  <c r="EM42" i="13" l="1"/>
  <c r="EN10" i="13"/>
  <c r="EN41" i="13" s="1"/>
  <c r="EO39" i="13"/>
  <c r="EN42" i="13" l="1"/>
  <c r="EO10" i="13"/>
  <c r="EO41" i="13" s="1"/>
  <c r="EP39" i="13"/>
  <c r="EO42" i="13" l="1"/>
  <c r="EP10" i="13"/>
  <c r="EP41" i="13" s="1"/>
  <c r="EQ39" i="13"/>
  <c r="EP42" i="13" l="1"/>
  <c r="EQ10" i="13"/>
  <c r="EQ41" i="13" s="1"/>
  <c r="ER39" i="13"/>
  <c r="EQ42" i="13" l="1"/>
  <c r="ER10" i="13"/>
  <c r="ER41" i="13" s="1"/>
  <c r="ES39" i="13"/>
  <c r="ER42" i="13" l="1"/>
  <c r="ES10" i="13"/>
  <c r="ES41" i="13" s="1"/>
  <c r="ET39" i="13"/>
  <c r="ES42" i="13" l="1"/>
  <c r="ET10" i="13"/>
  <c r="ET41" i="13" s="1"/>
  <c r="EU39" i="13"/>
  <c r="ET42" i="13" l="1"/>
  <c r="EU10" i="13"/>
  <c r="EU41" i="13" s="1"/>
  <c r="EV39" i="13"/>
  <c r="EU42" i="13" l="1"/>
  <c r="EV10" i="13"/>
  <c r="EV41" i="13" s="1"/>
  <c r="EW39" i="13"/>
  <c r="EV42" i="13" l="1"/>
  <c r="EW10" i="13"/>
  <c r="EW41" i="13" s="1"/>
  <c r="EX39" i="13"/>
  <c r="EW42" i="13" l="1"/>
  <c r="EX10" i="13"/>
  <c r="EX41" i="13" s="1"/>
  <c r="EY39" i="13"/>
  <c r="EX42" i="13" l="1"/>
  <c r="EY10" i="13"/>
  <c r="EY41" i="13" s="1"/>
  <c r="EZ39" i="13"/>
  <c r="EY42" i="13" l="1"/>
  <c r="EZ10" i="13"/>
  <c r="EZ41" i="13" s="1"/>
  <c r="FA39" i="13"/>
  <c r="EZ42" i="13" l="1"/>
  <c r="FA10" i="13"/>
  <c r="FA41" i="13" s="1"/>
  <c r="FB39" i="13"/>
  <c r="FA42" i="13" l="1"/>
  <c r="FB10" i="13"/>
  <c r="FB41" i="13" s="1"/>
  <c r="FC39" i="13"/>
  <c r="FB42" i="13" l="1"/>
  <c r="FC10" i="13"/>
  <c r="FC41" i="13" s="1"/>
  <c r="FD39" i="13"/>
  <c r="FC42" i="13" l="1"/>
  <c r="FD10" i="13"/>
  <c r="FD41" i="13" s="1"/>
  <c r="FE39" i="13"/>
  <c r="FD42" i="13" l="1"/>
  <c r="FE10" i="13"/>
  <c r="FE41" i="13" s="1"/>
  <c r="FF39" i="13"/>
  <c r="FE42" i="13" l="1"/>
  <c r="FF10" i="13"/>
  <c r="FF41" i="13" s="1"/>
  <c r="FG39" i="13"/>
  <c r="FF42" i="13" l="1"/>
  <c r="FG10" i="13"/>
  <c r="FG41" i="13" s="1"/>
  <c r="FH39" i="13"/>
  <c r="FG42" i="13" l="1"/>
  <c r="FH10" i="13"/>
  <c r="FH41" i="13" s="1"/>
  <c r="FI39" i="13"/>
  <c r="FH42" i="13" l="1"/>
  <c r="FI10" i="13"/>
  <c r="FI41" i="13" s="1"/>
  <c r="FJ39" i="13"/>
  <c r="FI42" i="13" l="1"/>
  <c r="FJ10" i="13"/>
  <c r="FJ41" i="13" s="1"/>
  <c r="FK39" i="13"/>
  <c r="FJ42" i="13" l="1"/>
  <c r="FK10" i="13"/>
  <c r="FK41" i="13" s="1"/>
  <c r="FL39" i="13"/>
  <c r="FK42" i="13" l="1"/>
  <c r="FL10" i="13"/>
  <c r="FL41" i="13" s="1"/>
  <c r="FM39" i="13"/>
  <c r="FL42" i="13" l="1"/>
  <c r="FM10" i="13"/>
  <c r="FM41" i="13" s="1"/>
  <c r="FN39" i="13"/>
  <c r="FM42" i="13" l="1"/>
  <c r="FN10" i="13"/>
  <c r="FN41" i="13" s="1"/>
  <c r="FO39" i="13"/>
  <c r="FN42" i="13" l="1"/>
  <c r="FO10" i="13"/>
  <c r="FO41" i="13" s="1"/>
  <c r="FP39" i="13"/>
  <c r="FO42" i="13" l="1"/>
  <c r="FP10" i="13"/>
  <c r="FP41" i="13" s="1"/>
  <c r="FQ39" i="13"/>
  <c r="FP42" i="13" l="1"/>
  <c r="FQ10" i="13"/>
  <c r="FQ41" i="13" s="1"/>
  <c r="FR39" i="13"/>
  <c r="FQ42" i="13" l="1"/>
  <c r="FR10" i="13"/>
  <c r="FR41" i="13" s="1"/>
  <c r="FS39" i="13"/>
  <c r="FR42" i="13" l="1"/>
  <c r="FS10" i="13"/>
  <c r="FS41" i="13" s="1"/>
  <c r="FT39" i="13"/>
  <c r="FS42" i="13" l="1"/>
  <c r="FT10" i="13"/>
  <c r="FT41" i="13" s="1"/>
  <c r="FU39" i="13"/>
  <c r="FT42" i="13" l="1"/>
  <c r="FU10" i="13"/>
  <c r="FU41" i="13" s="1"/>
  <c r="FV39" i="13"/>
  <c r="FU42" i="13" l="1"/>
  <c r="FV10" i="13"/>
  <c r="FV41" i="13" s="1"/>
  <c r="FW39" i="13"/>
  <c r="FV42" i="13" l="1"/>
  <c r="FW10" i="13"/>
  <c r="FW41" i="13" s="1"/>
  <c r="FX39" i="13"/>
  <c r="FW42" i="13" l="1"/>
  <c r="FX10" i="13"/>
  <c r="FX41" i="13" s="1"/>
  <c r="FY39" i="13"/>
  <c r="FX42" i="13" l="1"/>
  <c r="FY10" i="13"/>
  <c r="FY41" i="13" s="1"/>
  <c r="FZ39" i="13"/>
  <c r="FY42" i="13" l="1"/>
  <c r="FZ10" i="13"/>
  <c r="FZ41" i="13" s="1"/>
  <c r="GA39" i="13"/>
  <c r="FZ42" i="13" l="1"/>
  <c r="GA10" i="13"/>
  <c r="GA41" i="13" s="1"/>
  <c r="GB39" i="13"/>
  <c r="GA42" i="13" l="1"/>
  <c r="GB10" i="13"/>
  <c r="GB41" i="13" s="1"/>
  <c r="GC39" i="13"/>
  <c r="GB42" i="13" l="1"/>
  <c r="GC10" i="13"/>
  <c r="GC41" i="13" s="1"/>
  <c r="GD39" i="13"/>
  <c r="GC42" i="13" l="1"/>
  <c r="GD10" i="13"/>
  <c r="GD41" i="13" s="1"/>
  <c r="GE39" i="13"/>
  <c r="GD42" i="13" l="1"/>
  <c r="GE10" i="13"/>
  <c r="GE41" i="13" s="1"/>
  <c r="GF39" i="13"/>
  <c r="GE42" i="13" l="1"/>
  <c r="GF10" i="13"/>
  <c r="GF41" i="13" s="1"/>
  <c r="GG39" i="13"/>
  <c r="GF42" i="13" l="1"/>
  <c r="GG10" i="13"/>
  <c r="GG41" i="13" s="1"/>
  <c r="GH39" i="13"/>
  <c r="GG42" i="13" l="1"/>
  <c r="GH10" i="13"/>
  <c r="GH41" i="13" s="1"/>
  <c r="GI39" i="13"/>
  <c r="GH42" i="13" l="1"/>
  <c r="GI10" i="13"/>
  <c r="GI41" i="13" s="1"/>
  <c r="GJ39" i="13"/>
  <c r="GI42" i="13" l="1"/>
  <c r="GJ10" i="13"/>
  <c r="GJ41" i="13" s="1"/>
  <c r="GK39" i="13"/>
  <c r="GJ42" i="13" l="1"/>
  <c r="GK10" i="13"/>
  <c r="GK41" i="13" s="1"/>
  <c r="GL39" i="13"/>
  <c r="GK42" i="13" l="1"/>
  <c r="GL10" i="13"/>
  <c r="GL41" i="13" s="1"/>
  <c r="GM39" i="13"/>
  <c r="GL42" i="13" l="1"/>
  <c r="GM10" i="13"/>
  <c r="GM41" i="13" s="1"/>
  <c r="GN39" i="13"/>
  <c r="GM42" i="13" l="1"/>
  <c r="GN10" i="13"/>
  <c r="GN41" i="13" s="1"/>
  <c r="GO39" i="13"/>
  <c r="GN42" i="13" l="1"/>
  <c r="GO10" i="13"/>
  <c r="GO41" i="13" s="1"/>
  <c r="GP39" i="13"/>
  <c r="GO42" i="13" l="1"/>
  <c r="GP10" i="13"/>
  <c r="GP41" i="13" s="1"/>
  <c r="GQ39" i="13"/>
  <c r="GP42" i="13" l="1"/>
  <c r="GQ10" i="13"/>
  <c r="GQ41" i="13" s="1"/>
  <c r="GR39" i="13"/>
  <c r="GQ42" i="13" l="1"/>
  <c r="GR10" i="13"/>
  <c r="GR41" i="13" s="1"/>
  <c r="GS39" i="13"/>
  <c r="GR42" i="13" l="1"/>
  <c r="GS10" i="13"/>
  <c r="GS41" i="13" s="1"/>
  <c r="GT39" i="13"/>
  <c r="GS42" i="13" l="1"/>
  <c r="GT10" i="13"/>
  <c r="GT41" i="13" s="1"/>
  <c r="GU39" i="13"/>
  <c r="GT42" i="13" l="1"/>
  <c r="GU10" i="13"/>
  <c r="GU41" i="13" s="1"/>
  <c r="GV39" i="13"/>
  <c r="GU42" i="13" l="1"/>
  <c r="GV10" i="13"/>
  <c r="GV41" i="13" s="1"/>
  <c r="GW39" i="13"/>
  <c r="GV42" i="13" l="1"/>
  <c r="GW10" i="13"/>
  <c r="GW41" i="13" s="1"/>
  <c r="GX39" i="13"/>
  <c r="GW42" i="13" l="1"/>
  <c r="GX10" i="13"/>
  <c r="GX41" i="13" s="1"/>
  <c r="GY39" i="13"/>
  <c r="GX42" i="13" l="1"/>
  <c r="GY10" i="13"/>
  <c r="GY41" i="13" s="1"/>
  <c r="GZ39" i="13"/>
  <c r="GY42" i="13" l="1"/>
  <c r="GZ10" i="13"/>
  <c r="GZ41" i="13" s="1"/>
  <c r="HA39" i="13"/>
  <c r="GZ42" i="13" l="1"/>
  <c r="HA10" i="13"/>
  <c r="HA41" i="13" s="1"/>
  <c r="HB39" i="13"/>
  <c r="HA42" i="13" l="1"/>
  <c r="HB10" i="13"/>
  <c r="HB41" i="13" s="1"/>
  <c r="HC39" i="13"/>
  <c r="HB42" i="13" l="1"/>
  <c r="HC10" i="13"/>
  <c r="HC41" i="13" s="1"/>
  <c r="HD39" i="13"/>
  <c r="HC42" i="13" l="1"/>
  <c r="HD10" i="13"/>
  <c r="HD41" i="13" s="1"/>
  <c r="HE39" i="13"/>
  <c r="HD42" i="13" l="1"/>
  <c r="HE10" i="13"/>
  <c r="HE41" i="13" s="1"/>
  <c r="HF39" i="13"/>
  <c r="HE42" i="13" l="1"/>
  <c r="HF10" i="13"/>
  <c r="HF41" i="13" s="1"/>
  <c r="HG39" i="13"/>
  <c r="HF42" i="13" l="1"/>
  <c r="HG10" i="13"/>
  <c r="HG41" i="13" s="1"/>
  <c r="HH39" i="13"/>
  <c r="HG42" i="13" l="1"/>
  <c r="HH10" i="13"/>
  <c r="HH41" i="13" s="1"/>
  <c r="HI39" i="13"/>
  <c r="HH42" i="13" l="1"/>
  <c r="HI10" i="13"/>
  <c r="HI41" i="13" s="1"/>
  <c r="HJ39" i="13"/>
  <c r="HI42" i="13" l="1"/>
  <c r="HJ10" i="13"/>
  <c r="HJ41" i="13" s="1"/>
  <c r="HK39" i="13"/>
  <c r="HJ42" i="13" l="1"/>
  <c r="HK10" i="13"/>
  <c r="HK41" i="13" s="1"/>
  <c r="HL39" i="13"/>
  <c r="HK42" i="13" l="1"/>
  <c r="HL10" i="13"/>
  <c r="HL41" i="13" s="1"/>
  <c r="HM39" i="13"/>
  <c r="HL42" i="13" l="1"/>
  <c r="HM10" i="13"/>
  <c r="HM41" i="13" s="1"/>
  <c r="HN39" i="13"/>
  <c r="HM42" i="13" l="1"/>
  <c r="HN10" i="13"/>
  <c r="HN41" i="13" s="1"/>
  <c r="HO39" i="13"/>
  <c r="HN42" i="13" l="1"/>
  <c r="HO10" i="13"/>
  <c r="HO41" i="13" s="1"/>
  <c r="HP39" i="13"/>
  <c r="HO42" i="13" l="1"/>
  <c r="HP10" i="13"/>
  <c r="HP41" i="13" s="1"/>
  <c r="HQ39" i="13"/>
  <c r="HP42" i="13" l="1"/>
  <c r="HQ10" i="13"/>
  <c r="HQ41" i="13" s="1"/>
  <c r="HR39" i="13"/>
  <c r="HQ42" i="13" l="1"/>
  <c r="HR10" i="13"/>
  <c r="HR41" i="13" s="1"/>
  <c r="HS39" i="13"/>
  <c r="HR42" i="13" l="1"/>
  <c r="HS10" i="13"/>
  <c r="HS41" i="13" s="1"/>
  <c r="HT39" i="13"/>
  <c r="HS42" i="13" l="1"/>
  <c r="HT10" i="13"/>
  <c r="HT41" i="13" s="1"/>
  <c r="HU39" i="13"/>
  <c r="HT42" i="13" l="1"/>
  <c r="HU10" i="13"/>
  <c r="HU41" i="13" s="1"/>
  <c r="HV39" i="13"/>
  <c r="HU42" i="13" l="1"/>
  <c r="HV10" i="13"/>
  <c r="HV41" i="13" s="1"/>
  <c r="HW39" i="13"/>
  <c r="HV42" i="13" l="1"/>
  <c r="HW10" i="13"/>
  <c r="HW41" i="13" s="1"/>
  <c r="HX39" i="13"/>
  <c r="HW42" i="13" l="1"/>
  <c r="HX10" i="13"/>
  <c r="HX41" i="13" s="1"/>
  <c r="HY39" i="13"/>
  <c r="HX42" i="13" l="1"/>
  <c r="HY10" i="13"/>
  <c r="HY41" i="13" s="1"/>
  <c r="HZ39" i="13"/>
  <c r="HY42" i="13" l="1"/>
  <c r="HZ10" i="13"/>
  <c r="HZ41" i="13" s="1"/>
  <c r="IA39" i="13"/>
  <c r="HZ42" i="13" l="1"/>
  <c r="IA10" i="13"/>
  <c r="IA41" i="13" s="1"/>
  <c r="IB39" i="13"/>
  <c r="IA42" i="13" l="1"/>
  <c r="IB10" i="13"/>
  <c r="IB41" i="13" s="1"/>
  <c r="IC39" i="13"/>
  <c r="IB42" i="13" l="1"/>
  <c r="IC10" i="13"/>
  <c r="IC41" i="13" s="1"/>
  <c r="ID39" i="13"/>
  <c r="IC42" i="13" l="1"/>
  <c r="ID10" i="13"/>
  <c r="ID41" i="13" s="1"/>
  <c r="IE39" i="13"/>
  <c r="ID42" i="13" l="1"/>
  <c r="IE10" i="13"/>
  <c r="IE41" i="13" s="1"/>
  <c r="IF39" i="13"/>
  <c r="IE42" i="13" l="1"/>
  <c r="IF10" i="13"/>
  <c r="IF41" i="13" s="1"/>
  <c r="IG39" i="13"/>
  <c r="IF42" i="13" l="1"/>
  <c r="IG10" i="13"/>
  <c r="IG41" i="13" s="1"/>
  <c r="IH39" i="13"/>
  <c r="IG42" i="13" l="1"/>
  <c r="IH10" i="13"/>
  <c r="IH41" i="13" s="1"/>
  <c r="II39" i="13"/>
  <c r="IH42" i="13" l="1"/>
  <c r="II10" i="13"/>
  <c r="II41" i="13" s="1"/>
  <c r="IJ39" i="13"/>
  <c r="II42" i="13" l="1"/>
  <c r="IJ10" i="13"/>
  <c r="IJ41" i="13" s="1"/>
  <c r="IK39" i="13"/>
  <c r="IJ42" i="13" l="1"/>
  <c r="IK10" i="13"/>
  <c r="IK41" i="13" s="1"/>
  <c r="IL39" i="13"/>
  <c r="IK42" i="13" l="1"/>
  <c r="IL10" i="13"/>
  <c r="IL41" i="13" s="1"/>
  <c r="IM39" i="13"/>
  <c r="IL42" i="13" l="1"/>
  <c r="IM10" i="13"/>
  <c r="IM41" i="13" s="1"/>
  <c r="IN39" i="13"/>
  <c r="IM42" i="13" l="1"/>
  <c r="IN10" i="13"/>
  <c r="IN41" i="13" s="1"/>
  <c r="IO39" i="13"/>
  <c r="IN42" i="13" l="1"/>
  <c r="IO10" i="13"/>
  <c r="IO41" i="13" s="1"/>
  <c r="IP39" i="13"/>
  <c r="IO42" i="13" l="1"/>
  <c r="IP10" i="13"/>
  <c r="IP41" i="13" s="1"/>
  <c r="IQ39" i="13"/>
  <c r="IP42" i="13" l="1"/>
  <c r="IQ10" i="13"/>
  <c r="IQ41" i="13" s="1"/>
  <c r="IR39" i="13"/>
  <c r="IQ42" i="13" l="1"/>
  <c r="IR10" i="13"/>
  <c r="IR41" i="13" s="1"/>
  <c r="IS39" i="13"/>
  <c r="IR42" i="13" l="1"/>
  <c r="IS10" i="13"/>
  <c r="IS41" i="13" s="1"/>
  <c r="IT39" i="13"/>
  <c r="IS42" i="13" l="1"/>
  <c r="IT10" i="13"/>
  <c r="IT41" i="13" s="1"/>
  <c r="IU39" i="13"/>
  <c r="IT42" i="13" l="1"/>
  <c r="IU10" i="13"/>
  <c r="IU41" i="13" s="1"/>
  <c r="IV39" i="13"/>
  <c r="IU42" i="13" l="1"/>
  <c r="C4" i="13"/>
  <c r="IV10" i="13"/>
  <c r="IV41" i="13" s="1"/>
  <c r="IV42" i="13" s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comments2.xml><?xml version="1.0" encoding="utf-8"?>
<comments xmlns="http://schemas.openxmlformats.org/spreadsheetml/2006/main">
  <authors>
    <author>PWI</author>
  </authors>
  <commentList>
    <comment ref="C4" authorId="0">
      <text>
        <r>
          <rPr>
            <b/>
            <sz val="8"/>
            <color indexed="81"/>
            <rFont val="Tahoma"/>
          </rPr>
          <t xml:space="preserve">Data máxima que a planilha suporta
</t>
        </r>
      </text>
    </comment>
  </commentList>
</comments>
</file>

<file path=xl/sharedStrings.xml><?xml version="1.0" encoding="utf-8"?>
<sst xmlns="http://schemas.openxmlformats.org/spreadsheetml/2006/main" count="1108" uniqueCount="620">
  <si>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</si>
  <si>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</si>
  <si>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</si>
  <si>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</si>
  <si>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</si>
  <si>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</si>
  <si>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</si>
  <si>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</si>
  <si>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</si>
  <si>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</si>
  <si>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</si>
  <si>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</si>
  <si>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</si>
  <si>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</si>
  <si>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</si>
  <si>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</si>
  <si>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</si>
  <si>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</si>
  <si>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</si>
  <si>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</si>
  <si>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</si>
  <si>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</si>
  <si>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</si>
  <si>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</si>
  <si>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</si>
  <si>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</si>
  <si>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</si>
  <si>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</si>
  <si>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</si>
  <si>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</si>
  <si>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</si>
  <si>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</si>
  <si>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</si>
  <si>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</si>
  <si>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</si>
  <si>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</si>
  <si>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</si>
  <si>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</si>
  <si>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</si>
  <si>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</si>
  <si>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</si>
  <si>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</si>
  <si>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</si>
  <si>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</si>
  <si>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</si>
  <si>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</si>
  <si>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</si>
  <si>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</si>
  <si>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</si>
  <si>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</si>
  <si>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</si>
  <si>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</si>
  <si>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</si>
  <si>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</si>
  <si>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</si>
  <si>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</si>
  <si>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</si>
  <si>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</si>
  <si>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</si>
  <si>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</si>
  <si>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</si>
  <si>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</si>
  <si>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</si>
  <si>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</si>
  <si>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</si>
  <si>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</si>
  <si>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</si>
  <si>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</si>
  <si>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</si>
  <si>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</si>
  <si>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</si>
  <si>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</si>
  <si>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</si>
  <si>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</si>
  <si>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</si>
  <si>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</si>
  <si>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</si>
  <si>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</si>
  <si>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</si>
  <si>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</si>
  <si>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</si>
  <si>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</si>
  <si>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</si>
  <si>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</si>
  <si>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</si>
  <si>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</si>
  <si>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</si>
  <si>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</si>
  <si>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</si>
  <si>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</si>
  <si>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</si>
  <si>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</si>
  <si>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</si>
  <si>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</si>
  <si>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</si>
  <si>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</si>
  <si>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</si>
  <si>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</si>
  <si>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</si>
  <si>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</si>
  <si>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</si>
  <si>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</si>
  <si>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</si>
  <si>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</si>
  <si>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</si>
  <si>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</si>
  <si>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</si>
  <si>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</si>
  <si>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</si>
  <si>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</si>
  <si>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</si>
  <si>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</si>
  <si>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</si>
  <si>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</si>
  <si>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</si>
  <si>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</si>
  <si>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</si>
  <si>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</si>
  <si>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</si>
  <si>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</si>
  <si>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</si>
  <si>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</si>
  <si>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</si>
  <si>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</si>
  <si>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</si>
  <si>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</si>
  <si>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</si>
  <si>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</si>
  <si>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</si>
  <si>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</si>
  <si>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</si>
  <si>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</si>
  <si>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</si>
  <si>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</si>
  <si>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</si>
  <si>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</si>
  <si>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</si>
  <si>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</si>
  <si>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</si>
  <si>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</si>
  <si>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</si>
  <si>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</si>
  <si>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</si>
  <si>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</si>
  <si>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</si>
  <si>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</si>
  <si>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</si>
  <si>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</si>
  <si>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</si>
  <si>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</si>
  <si>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</si>
  <si>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</si>
  <si>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</si>
  <si>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</si>
  <si>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</si>
  <si>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</si>
  <si>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</si>
  <si>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</si>
  <si>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</si>
  <si>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</si>
  <si>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</si>
  <si>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</si>
  <si>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</si>
  <si>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</si>
  <si>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</si>
  <si>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</si>
  <si>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</si>
  <si>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</si>
  <si>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</si>
  <si>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</si>
  <si>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</si>
  <si>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</si>
  <si>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</si>
  <si>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</si>
  <si>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</si>
  <si>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</si>
  <si>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</si>
  <si>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</si>
  <si>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</si>
  <si>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</si>
  <si>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</si>
  <si>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</si>
  <si>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</si>
  <si>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</si>
  <si>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</si>
  <si>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</si>
  <si>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</si>
  <si>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</si>
  <si>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</si>
  <si>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</si>
  <si>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</si>
  <si>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</si>
  <si>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</si>
  <si>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</si>
  <si>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</si>
  <si>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</si>
  <si>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</si>
  <si>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</si>
  <si>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</si>
  <si>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</si>
  <si>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</si>
  <si>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</si>
  <si>
    <t>User Story Points</t>
  </si>
  <si>
    <t>funcionalidade 500</t>
  </si>
  <si>
    <t>funcionalidade 499</t>
  </si>
  <si>
    <t>funcionalidade 498</t>
  </si>
  <si>
    <t>funcionalidade 497</t>
  </si>
  <si>
    <t>funcionalidade 496</t>
  </si>
  <si>
    <t>funcionalidade 495</t>
  </si>
  <si>
    <t>funcionalidade 494</t>
  </si>
  <si>
    <t>funcionalidade 493</t>
  </si>
  <si>
    <t>funcionalidade 492</t>
  </si>
  <si>
    <t>funcionalidade 491</t>
  </si>
  <si>
    <t>funcionalidade 490</t>
  </si>
  <si>
    <t>funcionalidade 489</t>
  </si>
  <si>
    <t>funcionalidade 488</t>
  </si>
  <si>
    <t>funcionalidade 487</t>
  </si>
  <si>
    <t>funcionalidade 486</t>
  </si>
  <si>
    <t>funcionalidade 485</t>
  </si>
  <si>
    <t>funcionalidade 484</t>
  </si>
  <si>
    <t>funcionalidade 483</t>
  </si>
  <si>
    <t>funcionalidade 482</t>
  </si>
  <si>
    <t>funcionalidade 481</t>
  </si>
  <si>
    <t>funcionalidade 480</t>
  </si>
  <si>
    <t>funcionalidade 479</t>
  </si>
  <si>
    <t>funcionalidade 478</t>
  </si>
  <si>
    <t>funcionalidade 477</t>
  </si>
  <si>
    <t>funcionalidade 476</t>
  </si>
  <si>
    <t>funcionalidade 475</t>
  </si>
  <si>
    <t>funcionalidade 474</t>
  </si>
  <si>
    <t>funcionalidade 473</t>
  </si>
  <si>
    <t>funcionalidade 472</t>
  </si>
  <si>
    <t>funcionalidade 471</t>
  </si>
  <si>
    <t>funcionalidade 470</t>
  </si>
  <si>
    <t>funcionalidade 469</t>
  </si>
  <si>
    <t>funcionalidade 468</t>
  </si>
  <si>
    <t>funcionalidade 467</t>
  </si>
  <si>
    <t>funcionalidade 466</t>
  </si>
  <si>
    <t>funcionalidade 465</t>
  </si>
  <si>
    <t>funcionalidade 464</t>
  </si>
  <si>
    <t>funcionalidade 463</t>
  </si>
  <si>
    <t>funcionalidade 462</t>
  </si>
  <si>
    <t>funcionalidade 461</t>
  </si>
  <si>
    <t>funcionalidade 460</t>
  </si>
  <si>
    <t>funcionalidade 459</t>
  </si>
  <si>
    <t>funcionalidade 458</t>
  </si>
  <si>
    <t>funcionalidade 457</t>
  </si>
  <si>
    <t>funcionalidade 456</t>
  </si>
  <si>
    <t>funcionalidade 455</t>
  </si>
  <si>
    <t>funcionalidade 454</t>
  </si>
  <si>
    <t>funcionalidade 453</t>
  </si>
  <si>
    <t>funcionalidade 452</t>
  </si>
  <si>
    <t>funcionalidade 451</t>
  </si>
  <si>
    <t>funcionalidade 450</t>
  </si>
  <si>
    <t>funcionalidade 449</t>
  </si>
  <si>
    <t>funcionalidade 448</t>
  </si>
  <si>
    <t>funcionalidade 447</t>
  </si>
  <si>
    <t>funcionalidade 446</t>
  </si>
  <si>
    <t>funcionalidade 445</t>
  </si>
  <si>
    <t>funcionalidade 444</t>
  </si>
  <si>
    <t>funcionalidade 443</t>
  </si>
  <si>
    <t>funcionalidade 442</t>
  </si>
  <si>
    <t>funcionalidade 441</t>
  </si>
  <si>
    <t>funcionalidade 440</t>
  </si>
  <si>
    <t>funcionalidade 439</t>
  </si>
  <si>
    <t>funcionalidade 438</t>
  </si>
  <si>
    <t>funcionalidade 437</t>
  </si>
  <si>
    <t>funcionalidade 436</t>
  </si>
  <si>
    <t>funcionalidade 435</t>
  </si>
  <si>
    <t>funcionalidade 434</t>
  </si>
  <si>
    <t>funcionalidade 433</t>
  </si>
  <si>
    <t>funcionalidade 432</t>
  </si>
  <si>
    <t>funcionalidade 431</t>
  </si>
  <si>
    <t>funcionalidade 430</t>
  </si>
  <si>
    <t>funcionalidade 429</t>
  </si>
  <si>
    <t>funcionalidade 428</t>
  </si>
  <si>
    <t>funcionalidade 427</t>
  </si>
  <si>
    <t>funcionalidade 426</t>
  </si>
  <si>
    <t>funcionalidade 425</t>
  </si>
  <si>
    <t>funcionalidade 424</t>
  </si>
  <si>
    <t>funcionalidade 423</t>
  </si>
  <si>
    <t>funcionalidade 422</t>
  </si>
  <si>
    <t>funcionalidade 421</t>
  </si>
  <si>
    <t>funcionalidade 420</t>
  </si>
  <si>
    <t>funcionalidade 419</t>
  </si>
  <si>
    <t>funcionalidade 418</t>
  </si>
  <si>
    <t>funcionalidade 417</t>
  </si>
  <si>
    <t>funcionalidade 416</t>
  </si>
  <si>
    <t>funcionalidade 415</t>
  </si>
  <si>
    <t>funcionalidade 414</t>
  </si>
  <si>
    <t>funcionalidade 413</t>
  </si>
  <si>
    <t>funcionalidade 412</t>
  </si>
  <si>
    <t>funcionalidade 411</t>
  </si>
  <si>
    <t>funcionalidade 410</t>
  </si>
  <si>
    <t>funcionalidade 409</t>
  </si>
  <si>
    <t>funcionalidade 408</t>
  </si>
  <si>
    <t>funcionalidade 407</t>
  </si>
  <si>
    <t>funcionalidade 406</t>
  </si>
  <si>
    <t>funcionalidade 405</t>
  </si>
  <si>
    <t>funcionalidade 404</t>
  </si>
  <si>
    <t>funcionalidade 403</t>
  </si>
  <si>
    <t>funcionalidade 402</t>
  </si>
  <si>
    <t>funcionalidade 401</t>
  </si>
  <si>
    <t>funcionalidade 400</t>
  </si>
  <si>
    <t>funcionalidade 399</t>
  </si>
  <si>
    <t>funcionalidade 398</t>
  </si>
  <si>
    <t>funcionalidade 397</t>
  </si>
  <si>
    <t>funcionalidade 396</t>
  </si>
  <si>
    <t>funcionalidade 395</t>
  </si>
  <si>
    <t>funcionalidade 394</t>
  </si>
  <si>
    <t>funcionalidade 393</t>
  </si>
  <si>
    <t>funcionalidade 392</t>
  </si>
  <si>
    <t>funcionalidade 391</t>
  </si>
  <si>
    <t>funcionalidade 390</t>
  </si>
  <si>
    <t>funcionalidade 389</t>
  </si>
  <si>
    <t>funcionalidade 388</t>
  </si>
  <si>
    <t>funcionalidade 387</t>
  </si>
  <si>
    <t>funcionalidade 386</t>
  </si>
  <si>
    <t>funcionalidade 385</t>
  </si>
  <si>
    <t>funcionalidade 384</t>
  </si>
  <si>
    <t>funcionalidade 383</t>
  </si>
  <si>
    <t>funcionalidade 382</t>
  </si>
  <si>
    <t>funcionalidade 381</t>
  </si>
  <si>
    <t>funcionalidade 380</t>
  </si>
  <si>
    <t>funcionalidade 379</t>
  </si>
  <si>
    <t>funcionalidade 378</t>
  </si>
  <si>
    <t>funcionalidade 377</t>
  </si>
  <si>
    <t>funcionalidade 376</t>
  </si>
  <si>
    <t>funcionalidade 375</t>
  </si>
  <si>
    <t>funcionalidade 374</t>
  </si>
  <si>
    <t>funcionalidade 373</t>
  </si>
  <si>
    <t>funcionalidade 372</t>
  </si>
  <si>
    <t>funcionalidade 371</t>
  </si>
  <si>
    <t>funcionalidade 370</t>
  </si>
  <si>
    <t>funcionalidade 369</t>
  </si>
  <si>
    <t>funcionalidade 368</t>
  </si>
  <si>
    <t>funcionalidade 367</t>
  </si>
  <si>
    <t>funcionalidade 366</t>
  </si>
  <si>
    <t>funcionalidade 365</t>
  </si>
  <si>
    <t>funcionalidade 364</t>
  </si>
  <si>
    <t>funcionalidade 363</t>
  </si>
  <si>
    <t>funcionalidade 362</t>
  </si>
  <si>
    <t>funcionalidade 361</t>
  </si>
  <si>
    <t>funcionalidade 360</t>
  </si>
  <si>
    <t>funcionalidade 359</t>
  </si>
  <si>
    <t>funcionalidade 358</t>
  </si>
  <si>
    <t>funcionalidade 357</t>
  </si>
  <si>
    <t>funcionalidade 356</t>
  </si>
  <si>
    <t>funcionalidade 355</t>
  </si>
  <si>
    <t>funcionalidade 354</t>
  </si>
  <si>
    <t>funcionalidade 353</t>
  </si>
  <si>
    <t>funcionalidade 352</t>
  </si>
  <si>
    <t>funcionalidade 351</t>
  </si>
  <si>
    <t>funcionalidade 350</t>
  </si>
  <si>
    <t>funcionalidade 349</t>
  </si>
  <si>
    <t>funcionalidade 348</t>
  </si>
  <si>
    <t>funcionalidade 347</t>
  </si>
  <si>
    <t>funcionalidade 346</t>
  </si>
  <si>
    <t>funcionalidade 345</t>
  </si>
  <si>
    <t>funcionalidade 344</t>
  </si>
  <si>
    <t>funcionalidade 343</t>
  </si>
  <si>
    <t>funcionalidade 342</t>
  </si>
  <si>
    <t>funcionalidade 341</t>
  </si>
  <si>
    <t>funcionalidade 340</t>
  </si>
  <si>
    <t>funcionalidade 339</t>
  </si>
  <si>
    <t>funcionalidade 338</t>
  </si>
  <si>
    <t>funcionalidade 337</t>
  </si>
  <si>
    <t>funcionalidade 336</t>
  </si>
  <si>
    <t>funcionalidade 335</t>
  </si>
  <si>
    <t>funcionalidade 334</t>
  </si>
  <si>
    <t>funcionalidade 333</t>
  </si>
  <si>
    <t>funcionalidade 332</t>
  </si>
  <si>
    <t>funcionalidade 331</t>
  </si>
  <si>
    <t>funcionalidade 330</t>
  </si>
  <si>
    <t>funcionalidade 329</t>
  </si>
  <si>
    <t>funcionalidade 328</t>
  </si>
  <si>
    <t>funcionalidade 327</t>
  </si>
  <si>
    <t>funcionalidade 326</t>
  </si>
  <si>
    <t>funcionalidade 325</t>
  </si>
  <si>
    <t>funcionalidade 324</t>
  </si>
  <si>
    <t>funcionalidade 323</t>
  </si>
  <si>
    <t>funcionalidade 322</t>
  </si>
  <si>
    <t>funcionalidade 321</t>
  </si>
  <si>
    <t>funcionalidade 320</t>
  </si>
  <si>
    <t>funcionalidade 319</t>
  </si>
  <si>
    <t>funcionalidade 318</t>
  </si>
  <si>
    <t>funcionalidade 317</t>
  </si>
  <si>
    <t>funcionalidade 316</t>
  </si>
  <si>
    <t>funcionalidade 315</t>
  </si>
  <si>
    <t>funcionalidade 314</t>
  </si>
  <si>
    <t>funcionalidade 313</t>
  </si>
  <si>
    <t>funcionalidade 312</t>
  </si>
  <si>
    <t>funcionalidade 311</t>
  </si>
  <si>
    <t>funcionalidade 310</t>
  </si>
  <si>
    <t>funcionalidade 309</t>
  </si>
  <si>
    <t>funcionalidade 308</t>
  </si>
  <si>
    <t>funcionalidade 307</t>
  </si>
  <si>
    <t>funcionalidade 306</t>
  </si>
  <si>
    <t>funcionalidade 305</t>
  </si>
  <si>
    <t>funcionalidade 304</t>
  </si>
  <si>
    <t>funcionalidade 303</t>
  </si>
  <si>
    <t>funcionalidade 302</t>
  </si>
  <si>
    <t>funcionalidade 301</t>
  </si>
  <si>
    <t>funcionalidade 300</t>
  </si>
  <si>
    <t>funcionalidade 299</t>
  </si>
  <si>
    <t>funcionalidade 298</t>
  </si>
  <si>
    <t>funcionalidade 297</t>
  </si>
  <si>
    <t>funcionalidade 296</t>
  </si>
  <si>
    <t>funcionalidade 295</t>
  </si>
  <si>
    <t>funcionalidade 294</t>
  </si>
  <si>
    <t>funcionalidade 293</t>
  </si>
  <si>
    <t>funcionalidade 292</t>
  </si>
  <si>
    <t>funcionalidade 291</t>
  </si>
  <si>
    <t>funcionalidade 290</t>
  </si>
  <si>
    <t>funcionalidade 289</t>
  </si>
  <si>
    <t>funcionalidade 288</t>
  </si>
  <si>
    <t>funcionalidade 287</t>
  </si>
  <si>
    <t>funcionalidade 286</t>
  </si>
  <si>
    <t>funcionalidade 285</t>
  </si>
  <si>
    <t>funcionalidade 284</t>
  </si>
  <si>
    <t>funcionalidade 283</t>
  </si>
  <si>
    <t>funcionalidade 282</t>
  </si>
  <si>
    <t>funcionalidade 281</t>
  </si>
  <si>
    <t>funcionalidade 280</t>
  </si>
  <si>
    <t>funcionalidade 279</t>
  </si>
  <si>
    <t>funcionalidade 278</t>
  </si>
  <si>
    <t>funcionalidade 277</t>
  </si>
  <si>
    <t>funcionalidade 276</t>
  </si>
  <si>
    <t>funcionalidade 275</t>
  </si>
  <si>
    <t>funcionalidade 274</t>
  </si>
  <si>
    <t>funcionalidade 273</t>
  </si>
  <si>
    <t>funcionalidade 272</t>
  </si>
  <si>
    <t>funcionalidade 271</t>
  </si>
  <si>
    <t>funcionalidade 270</t>
  </si>
  <si>
    <t>funcionalidade 269</t>
  </si>
  <si>
    <t>funcionalidade 268</t>
  </si>
  <si>
    <t>funcionalidade 267</t>
  </si>
  <si>
    <t>funcionalidade 266</t>
  </si>
  <si>
    <t>funcionalidade 265</t>
  </si>
  <si>
    <t>funcionalidade 264</t>
  </si>
  <si>
    <t>funcionalidade 263</t>
  </si>
  <si>
    <t>funcionalidade 262</t>
  </si>
  <si>
    <t>funcionalidade 261</t>
  </si>
  <si>
    <t>funcionalidade 260</t>
  </si>
  <si>
    <t>funcionalidade 259</t>
  </si>
  <si>
    <t>funcionalidade 258</t>
  </si>
  <si>
    <t>funcionalidade 257</t>
  </si>
  <si>
    <t>funcionalidade 256</t>
  </si>
  <si>
    <t>funcionalidade 255</t>
  </si>
  <si>
    <t>funcionalidade 254</t>
  </si>
  <si>
    <t>funcionalidade 253</t>
  </si>
  <si>
    <t>funcionalidade 252</t>
  </si>
  <si>
    <t>funcionalidade 251</t>
  </si>
  <si>
    <t>funcionalidade 250</t>
  </si>
  <si>
    <t>funcionalidade 249</t>
  </si>
  <si>
    <t>funcionalidade 248</t>
  </si>
  <si>
    <t>funcionalidade 247</t>
  </si>
  <si>
    <t>funcionalidade 246</t>
  </si>
  <si>
    <t>funcionalidade 245</t>
  </si>
  <si>
    <t>funcionalidade 244</t>
  </si>
  <si>
    <t>funcionalidade 243</t>
  </si>
  <si>
    <t>funcionalidade 242</t>
  </si>
  <si>
    <t>funcionalidade 241</t>
  </si>
  <si>
    <t>funcionalidade 240</t>
  </si>
  <si>
    <t>funcionalidade 239</t>
  </si>
  <si>
    <t>funcionalidade 238</t>
  </si>
  <si>
    <t>funcionalidade 237</t>
  </si>
  <si>
    <t>funcionalidade 236</t>
  </si>
  <si>
    <t>funcionalidade 235</t>
  </si>
  <si>
    <t>funcionalidade 234</t>
  </si>
  <si>
    <t>funcionalidade 233</t>
  </si>
  <si>
    <t>funcionalidade 232</t>
  </si>
  <si>
    <t>funcionalidade 231</t>
  </si>
  <si>
    <t>funcionalidade 230</t>
  </si>
  <si>
    <t>funcionalidade 229</t>
  </si>
  <si>
    <t>funcionalidade 228</t>
  </si>
  <si>
    <t>funcionalidade 227</t>
  </si>
  <si>
    <t>funcionalidade 226</t>
  </si>
  <si>
    <t>funcionalidade 225</t>
  </si>
  <si>
    <t>funcionalidade 224</t>
  </si>
  <si>
    <t>funcionalidade 223</t>
  </si>
  <si>
    <t>funcionalidade 222</t>
  </si>
  <si>
    <t>funcionalidade 221</t>
  </si>
  <si>
    <t>funcionalidade 220</t>
  </si>
  <si>
    <t>funcionalidade 219</t>
  </si>
  <si>
    <t>funcionalidade 218</t>
  </si>
  <si>
    <t>funcionalidade 217</t>
  </si>
  <si>
    <t>funcionalidade 216</t>
  </si>
  <si>
    <t>funcionalidade 215</t>
  </si>
  <si>
    <t>funcionalidade 214</t>
  </si>
  <si>
    <t>funcionalidade 213</t>
  </si>
  <si>
    <t>funcionalidade 212</t>
  </si>
  <si>
    <t>funcionalidade 211</t>
  </si>
  <si>
    <t>funcionalidade 210</t>
  </si>
  <si>
    <t>funcionalidade 209</t>
  </si>
  <si>
    <t>funcionalidade 208</t>
  </si>
  <si>
    <t>funcionalidade 207</t>
  </si>
  <si>
    <t>funcionalidade 206</t>
  </si>
  <si>
    <t>funcionalidade 205</t>
  </si>
  <si>
    <t>funcionalidade 204</t>
  </si>
  <si>
    <t>funcionalidade 203</t>
  </si>
  <si>
    <t>funcionalidade 202</t>
  </si>
  <si>
    <t>funcionalidade 201</t>
  </si>
  <si>
    <t>funcionalidade 200</t>
  </si>
  <si>
    <t>funcionalidade 199</t>
  </si>
  <si>
    <t>funcionalidade 198</t>
  </si>
  <si>
    <t>funcionalidade 197</t>
  </si>
  <si>
    <t>funcionalidade 196</t>
  </si>
  <si>
    <t>funcionalidade 195</t>
  </si>
  <si>
    <t>funcionalidade 194</t>
  </si>
  <si>
    <t>funcionalidade 193</t>
  </si>
  <si>
    <t>funcionalidade 192</t>
  </si>
  <si>
    <t>funcionalidade 191</t>
  </si>
  <si>
    <t>funcionalidade 190</t>
  </si>
  <si>
    <t>funcionalidade 189</t>
  </si>
  <si>
    <t>funcionalidade 188</t>
  </si>
  <si>
    <t>funcionalidade 187</t>
  </si>
  <si>
    <t>funcionalidade 186</t>
  </si>
  <si>
    <t>funcionalidade 185</t>
  </si>
  <si>
    <t>funcionalidade 184</t>
  </si>
  <si>
    <t>funcionalidade 183</t>
  </si>
  <si>
    <t>funcionalidade 182</t>
  </si>
  <si>
    <t>funcionalidade 181</t>
  </si>
  <si>
    <t>funcionalidade 180</t>
  </si>
  <si>
    <t>funcionalidade 179</t>
  </si>
  <si>
    <t>funcionalidade 178</t>
  </si>
  <si>
    <t>funcionalidade 177</t>
  </si>
  <si>
    <t>funcionalidade 176</t>
  </si>
  <si>
    <t>funcionalidade 175</t>
  </si>
  <si>
    <t>funcionalidade 174</t>
  </si>
  <si>
    <t>funcionalidade 173</t>
  </si>
  <si>
    <t>funcionalidade 172</t>
  </si>
  <si>
    <t>funcionalidade 171</t>
  </si>
  <si>
    <t>funcionalidade 170</t>
  </si>
  <si>
    <t>funcionalidade 169</t>
  </si>
  <si>
    <t>funcionalidade 168</t>
  </si>
  <si>
    <t>funcionalidade 167</t>
  </si>
  <si>
    <t>funcionalidade 166</t>
  </si>
  <si>
    <t>funcionalidade 165</t>
  </si>
  <si>
    <t>funcionalidade 164</t>
  </si>
  <si>
    <t>funcionalidade 163</t>
  </si>
  <si>
    <t>funcionalidade 162</t>
  </si>
  <si>
    <t>funcionalidade 161</t>
  </si>
  <si>
    <t>funcionalidade 160</t>
  </si>
  <si>
    <t>funcionalidade 159</t>
  </si>
  <si>
    <t>funcionalidade 158</t>
  </si>
  <si>
    <t>funcionalidade 157</t>
  </si>
  <si>
    <t>funcionalidade 156</t>
  </si>
  <si>
    <t>funcionalidade 155</t>
  </si>
  <si>
    <t>funcionalidade 154</t>
  </si>
  <si>
    <t>funcionalidade 153</t>
  </si>
  <si>
    <t>funcionalidade 152</t>
  </si>
  <si>
    <t>funcionalidade 151</t>
  </si>
  <si>
    <t>funcionalidade 150</t>
  </si>
  <si>
    <t>funcionalidade 149</t>
  </si>
  <si>
    <t>funcionalidade 148</t>
  </si>
  <si>
    <t>funcionalidade 147</t>
  </si>
  <si>
    <t>funcionalidade 146</t>
  </si>
  <si>
    <t>funcionalidade 145</t>
  </si>
  <si>
    <t>funcionalidade 144</t>
  </si>
  <si>
    <t>funcionalidade 143</t>
  </si>
  <si>
    <t>funcionalidade 142</t>
  </si>
  <si>
    <t>funcionalidade 141</t>
  </si>
  <si>
    <t>funcionalidade 140</t>
  </si>
  <si>
    <t>funcionalidade 139</t>
  </si>
  <si>
    <t>funcionalidade 138</t>
  </si>
  <si>
    <t>funcionalidade 137</t>
  </si>
  <si>
    <t>funcionalidade 136</t>
  </si>
  <si>
    <t>funcionalidade 135</t>
  </si>
  <si>
    <t>funcionalidade 134</t>
  </si>
  <si>
    <t>funcionalidade 133</t>
  </si>
  <si>
    <t>funcionalidade 132</t>
  </si>
  <si>
    <t>funcionalidade 131</t>
  </si>
  <si>
    <t>funcionalidade 130</t>
  </si>
  <si>
    <t>funcionalidade 129</t>
  </si>
  <si>
    <t>funcionalidade 128</t>
  </si>
  <si>
    <t>funcionalidade 127</t>
  </si>
  <si>
    <t>funcionalidade 126</t>
  </si>
  <si>
    <t>funcionalidade 125</t>
  </si>
  <si>
    <t>funcionalidade 124</t>
  </si>
  <si>
    <t>funcionalidade 123</t>
  </si>
  <si>
    <t>funcionalidade 122</t>
  </si>
  <si>
    <t>funcionalidade 121</t>
  </si>
  <si>
    <t>funcionalidade 120</t>
  </si>
  <si>
    <t>funcionalidade 119</t>
  </si>
  <si>
    <t>funcionalidade 118</t>
  </si>
  <si>
    <t>funcionalidade 117</t>
  </si>
  <si>
    <t>funcionalidade 116</t>
  </si>
  <si>
    <t>funcionalidade 115</t>
  </si>
  <si>
    <t>funcionalidade 114</t>
  </si>
  <si>
    <t>funcionalidade 113</t>
  </si>
  <si>
    <t>funcionalidade 112</t>
  </si>
  <si>
    <t>funcionalidade 111</t>
  </si>
  <si>
    <t>funcionalidade 110</t>
  </si>
  <si>
    <t>funcionalidade 109</t>
  </si>
  <si>
    <t>funcionalidade 108</t>
  </si>
  <si>
    <t>funcionalidade 107</t>
  </si>
  <si>
    <t>Observações</t>
  </si>
  <si>
    <t>Conclusão</t>
  </si>
  <si>
    <t>Prioridade</t>
  </si>
  <si>
    <t>Stories</t>
  </si>
  <si>
    <t>Não</t>
  </si>
  <si>
    <t>Sim</t>
  </si>
  <si>
    <t>Andamento</t>
  </si>
  <si>
    <t>Pronto</t>
  </si>
  <si>
    <t>Meta</t>
  </si>
  <si>
    <t>Dia</t>
  </si>
  <si>
    <t>Razão</t>
  </si>
  <si>
    <t>Pontos</t>
  </si>
  <si>
    <t>Dias</t>
  </si>
  <si>
    <t>Data Fim</t>
  </si>
  <si>
    <t>Data Inicio</t>
  </si>
  <si>
    <t>Criar ultimo nível que será de esforço</t>
  </si>
  <si>
    <t>Sprint</t>
  </si>
  <si>
    <t>dotProjectEAP Burndownchart</t>
  </si>
  <si>
    <t>3.8</t>
  </si>
  <si>
    <t>Instalar ferramenta de gerencia de mudanças - Mantis</t>
  </si>
  <si>
    <t>Gerencia de Mudanças</t>
  </si>
  <si>
    <t>Instalar framework para realização de testes - ex: phpUnit, simpleTest...</t>
  </si>
  <si>
    <t>Ambiente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</si>
</sst>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0" formatCode="dd\/mm\/yyyy"/>
    <numFmt numFmtId="171" formatCode="_(* #,##0.00_);_(* \(#,##0.00\);_(* &quot;-&quot;??_);_(@_)"/>
    <numFmt numFmtId="172" formatCode="_(* #,##0_);_(* \(#,##0\);_(* &quot;-&quot;??_);_(@_)"/>
  </numFmts>
  <fonts count="52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name val="Arial"/>
    </font>
    <font>
      <sz val="10"/>
      <color indexed="57"/>
      <name val="Arial"/>
    </font>
    <font>
      <sz val="10"/>
      <color indexed="48"/>
      <name val="Arial"/>
    </font>
    <font>
      <sz val="10"/>
      <color indexed="10"/>
      <name val="Arial"/>
    </font>
    <font>
      <b/>
      <sz val="8"/>
      <color indexed="81"/>
      <name val="Tahoma"/>
    </font>
    <font>
      <i/>
      <sz val="2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8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  <xf numFmtId="171" fontId="46" fillId="0" borderId="0" applyFont="0" applyFill="0" applyBorder="0" applyAlignment="0" applyProtection="0"/>
    <xf numFmtId="14" fontId="46" fillId="0" borderId="0" applyFont="0" applyFill="0" applyBorder="0" applyAlignment="0" applyProtection="0"/>
  </cellStyleXfs>
  <cellXfs count="23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40" xfId="0" applyBorder="1"/>
    <xf numFmtId="0" fontId="0" fillId="0" borderId="42" xfId="0" applyBorder="1"/>
    <xf numFmtId="170" fontId="0" fillId="0" borderId="0" xfId="0" applyNumberFormat="1" applyAlignment="1">
      <alignment horizontal="center"/>
    </xf>
    <xf numFmtId="0" fontId="47" fillId="0" borderId="0" xfId="0" applyFont="1" applyProtection="1">
      <protection locked="0"/>
    </xf>
    <xf numFmtId="170" fontId="47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171" fontId="0" fillId="0" borderId="0" xfId="0" applyNumberFormat="1"/>
    <xf numFmtId="170" fontId="0" fillId="0" borderId="0" xfId="0" applyNumberFormat="1"/>
    <xf numFmtId="171" fontId="48" fillId="0" borderId="0" xfId="46" applyFont="1"/>
    <xf numFmtId="0" fontId="48" fillId="0" borderId="0" xfId="46" applyNumberFormat="1" applyFont="1"/>
    <xf numFmtId="171" fontId="46" fillId="0" borderId="0" xfId="46" applyNumberFormat="1"/>
    <xf numFmtId="0" fontId="0" fillId="0" borderId="0" xfId="0" applyNumberFormat="1"/>
    <xf numFmtId="0" fontId="49" fillId="0" borderId="0" xfId="0" applyFont="1"/>
    <xf numFmtId="171" fontId="49" fillId="0" borderId="0" xfId="0" applyNumberFormat="1" applyFont="1"/>
    <xf numFmtId="171" fontId="49" fillId="0" borderId="0" xfId="46" applyNumberFormat="1" applyFont="1"/>
    <xf numFmtId="0" fontId="49" fillId="0" borderId="0" xfId="0" applyNumberFormat="1" applyFont="1"/>
    <xf numFmtId="0" fontId="0" fillId="0" borderId="0" xfId="0" applyAlignment="1"/>
    <xf numFmtId="172" fontId="46" fillId="0" borderId="0" xfId="46" applyNumberFormat="1"/>
    <xf numFmtId="171" fontId="46" fillId="0" borderId="0" xfId="46"/>
    <xf numFmtId="170" fontId="47" fillId="0" borderId="0" xfId="47" applyNumberFormat="1" applyFont="1" applyProtection="1">
      <protection locked="0"/>
    </xf>
    <xf numFmtId="0" fontId="0" fillId="32" borderId="63" xfId="0" applyFill="1" applyBorder="1" applyAlignment="1">
      <alignment horizontal="center" wrapText="1"/>
    </xf>
    <xf numFmtId="0" fontId="0" fillId="32" borderId="63" xfId="0" applyFill="1" applyBorder="1" applyAlignment="1">
      <alignment wrapText="1"/>
    </xf>
    <xf numFmtId="170" fontId="0" fillId="32" borderId="63" xfId="0" applyNumberFormat="1" applyFill="1" applyBorder="1" applyAlignment="1">
      <alignment horizontal="center" wrapText="1"/>
    </xf>
    <xf numFmtId="0" fontId="0" fillId="33" borderId="0" xfId="0" applyFill="1" applyBorder="1" applyAlignment="1"/>
    <xf numFmtId="0" fontId="0" fillId="0" borderId="0" xfId="0" applyBorder="1" applyAlignment="1">
      <alignment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31" borderId="20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1" fillId="0" borderId="0" xfId="0" applyFont="1" applyAlignment="1" applyProtection="1">
      <alignment horizontal="center"/>
      <protection locked="0"/>
    </xf>
  </cellXfs>
  <cellStyles count="48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Porcentagem 2" xfId="47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  <cellStyle name="Vírgula 2" xfId="46"/>
  </cellStyles>
  <dxfs count="121"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19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45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92448"/>
        <c:axId val="76381504"/>
      </c:areaChart>
      <c:catAx>
        <c:axId val="113192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7638150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638150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1319244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13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4"/>
          <c:y val="0.17669172932330818"/>
          <c:w val="0.87100657289633654"/>
          <c:h val="0.46992481203007752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68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54</c:v>
                </c:pt>
                <c:pt idx="1">
                  <c:v>56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54240"/>
        <c:axId val="11344396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15.5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  <c:pt idx="5">
                  <c:v>13.5</c:v>
                </c:pt>
                <c:pt idx="6">
                  <c:v>13.5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112.5</c:v>
                </c:pt>
                <c:pt idx="1">
                  <c:v>116.5</c:v>
                </c:pt>
                <c:pt idx="2">
                  <c:v>121.5</c:v>
                </c:pt>
                <c:pt idx="3">
                  <c:v>121.5</c:v>
                </c:pt>
                <c:pt idx="4">
                  <c:v>121.5</c:v>
                </c:pt>
                <c:pt idx="5">
                  <c:v>121.5</c:v>
                </c:pt>
                <c:pt idx="6">
                  <c:v>121.5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54240"/>
        <c:axId val="113443968"/>
      </c:lineChart>
      <c:catAx>
        <c:axId val="9255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134439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34439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0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9255424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889600"/>
        <c:axId val="113447424"/>
      </c:barChart>
      <c:catAx>
        <c:axId val="116889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3447424"/>
        <c:crosses val="autoZero"/>
        <c:auto val="1"/>
        <c:lblAlgn val="ctr"/>
        <c:lblOffset val="100"/>
        <c:noMultiLvlLbl val="0"/>
      </c:catAx>
      <c:valAx>
        <c:axId val="1134474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6889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891136"/>
        <c:axId val="113449728"/>
      </c:barChart>
      <c:catAx>
        <c:axId val="11689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3449728"/>
        <c:crosses val="autoZero"/>
        <c:auto val="1"/>
        <c:lblAlgn val="ctr"/>
        <c:lblOffset val="100"/>
        <c:noMultiLvlLbl val="0"/>
      </c:catAx>
      <c:valAx>
        <c:axId val="1134497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6891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97664"/>
        <c:axId val="116827264"/>
      </c:barChart>
      <c:catAx>
        <c:axId val="117297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6827264"/>
        <c:crosses val="autoZero"/>
        <c:auto val="1"/>
        <c:lblAlgn val="ctr"/>
        <c:lblOffset val="100"/>
        <c:noMultiLvlLbl val="0"/>
      </c:catAx>
      <c:valAx>
        <c:axId val="1168272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297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Acompanhamento do Projeto</a:t>
            </a:r>
          </a:p>
        </c:rich>
      </c:tx>
      <c:layout>
        <c:manualLayout>
          <c:xMode val="edge"/>
          <c:yMode val="edge"/>
          <c:x val="0.29660040424902251"/>
          <c:y val="1.8867963156698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01684886112495E-2"/>
          <c:y val="0.15513658595507804"/>
          <c:w val="0.85228653711082747"/>
          <c:h val="0.71278971925306134"/>
        </c:manualLayout>
      </c:layout>
      <c:lineChart>
        <c:grouping val="standard"/>
        <c:varyColors val="0"/>
        <c:ser>
          <c:idx val="0"/>
          <c:order val="0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chart'!$B$40:$IV$40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72.353982300884951</c:v>
                </c:pt>
                <c:pt idx="2">
                  <c:v>71.707964601769902</c:v>
                </c:pt>
                <c:pt idx="3">
                  <c:v>71.061946902654853</c:v>
                </c:pt>
                <c:pt idx="4">
                  <c:v>70.415929203539804</c:v>
                </c:pt>
                <c:pt idx="5">
                  <c:v>69.769911504424755</c:v>
                </c:pt>
                <c:pt idx="6">
                  <c:v>69.123893805309706</c:v>
                </c:pt>
                <c:pt idx="7">
                  <c:v>68.477876106194657</c:v>
                </c:pt>
                <c:pt idx="8">
                  <c:v>67.831858407079608</c:v>
                </c:pt>
                <c:pt idx="9">
                  <c:v>67.185840707964559</c:v>
                </c:pt>
                <c:pt idx="10">
                  <c:v>66.53982300884951</c:v>
                </c:pt>
                <c:pt idx="11">
                  <c:v>65.893805309734461</c:v>
                </c:pt>
                <c:pt idx="12">
                  <c:v>65.247787610619412</c:v>
                </c:pt>
                <c:pt idx="13">
                  <c:v>64.601769911504363</c:v>
                </c:pt>
                <c:pt idx="14">
                  <c:v>63.955752212389321</c:v>
                </c:pt>
                <c:pt idx="15">
                  <c:v>63.309734513274279</c:v>
                </c:pt>
                <c:pt idx="16">
                  <c:v>62.663716814159237</c:v>
                </c:pt>
                <c:pt idx="17">
                  <c:v>62.017699115044195</c:v>
                </c:pt>
                <c:pt idx="18">
                  <c:v>61.371681415929153</c:v>
                </c:pt>
                <c:pt idx="19">
                  <c:v>60.725663716814111</c:v>
                </c:pt>
                <c:pt idx="20">
                  <c:v>60.079646017699069</c:v>
                </c:pt>
                <c:pt idx="21">
                  <c:v>59.433628318584027</c:v>
                </c:pt>
                <c:pt idx="22">
                  <c:v>58.787610619468985</c:v>
                </c:pt>
                <c:pt idx="23">
                  <c:v>58.141592920353943</c:v>
                </c:pt>
                <c:pt idx="24">
                  <c:v>57.495575221238902</c:v>
                </c:pt>
                <c:pt idx="25">
                  <c:v>56.84955752212386</c:v>
                </c:pt>
                <c:pt idx="26">
                  <c:v>56.203539823008818</c:v>
                </c:pt>
                <c:pt idx="27">
                  <c:v>55.557522123893776</c:v>
                </c:pt>
                <c:pt idx="28">
                  <c:v>54.911504424778734</c:v>
                </c:pt>
                <c:pt idx="29">
                  <c:v>54.265486725663692</c:v>
                </c:pt>
                <c:pt idx="30">
                  <c:v>53.61946902654865</c:v>
                </c:pt>
                <c:pt idx="31">
                  <c:v>52.973451327433608</c:v>
                </c:pt>
                <c:pt idx="32">
                  <c:v>52.327433628318566</c:v>
                </c:pt>
                <c:pt idx="33">
                  <c:v>51.681415929203524</c:v>
                </c:pt>
                <c:pt idx="34">
                  <c:v>51.035398230088482</c:v>
                </c:pt>
                <c:pt idx="35">
                  <c:v>50.38938053097344</c:v>
                </c:pt>
                <c:pt idx="36">
                  <c:v>49.743362831858398</c:v>
                </c:pt>
                <c:pt idx="37">
                  <c:v>49.097345132743357</c:v>
                </c:pt>
                <c:pt idx="38">
                  <c:v>48.451327433628315</c:v>
                </c:pt>
                <c:pt idx="39">
                  <c:v>47.805309734513273</c:v>
                </c:pt>
                <c:pt idx="40">
                  <c:v>47.159292035398231</c:v>
                </c:pt>
                <c:pt idx="41">
                  <c:v>46.513274336283189</c:v>
                </c:pt>
                <c:pt idx="42">
                  <c:v>45.867256637168147</c:v>
                </c:pt>
                <c:pt idx="43">
                  <c:v>45.221238938053105</c:v>
                </c:pt>
                <c:pt idx="44">
                  <c:v>44.575221238938063</c:v>
                </c:pt>
                <c:pt idx="45">
                  <c:v>43.929203539823021</c:v>
                </c:pt>
                <c:pt idx="46">
                  <c:v>43.283185840707979</c:v>
                </c:pt>
                <c:pt idx="47">
                  <c:v>42.637168141592937</c:v>
                </c:pt>
                <c:pt idx="48">
                  <c:v>41.991150442477895</c:v>
                </c:pt>
                <c:pt idx="49">
                  <c:v>41.345132743362853</c:v>
                </c:pt>
                <c:pt idx="50">
                  <c:v>40.699115044247812</c:v>
                </c:pt>
                <c:pt idx="51">
                  <c:v>40.05309734513277</c:v>
                </c:pt>
                <c:pt idx="52">
                  <c:v>39.407079646017728</c:v>
                </c:pt>
                <c:pt idx="53">
                  <c:v>38.761061946902686</c:v>
                </c:pt>
                <c:pt idx="54">
                  <c:v>38.115044247787644</c:v>
                </c:pt>
                <c:pt idx="55">
                  <c:v>37.469026548672602</c:v>
                </c:pt>
                <c:pt idx="56">
                  <c:v>36.82300884955756</c:v>
                </c:pt>
                <c:pt idx="57">
                  <c:v>36.176991150442518</c:v>
                </c:pt>
                <c:pt idx="58">
                  <c:v>35.530973451327476</c:v>
                </c:pt>
                <c:pt idx="59">
                  <c:v>34.884955752212434</c:v>
                </c:pt>
                <c:pt idx="60">
                  <c:v>34.238938053097392</c:v>
                </c:pt>
                <c:pt idx="61">
                  <c:v>33.59292035398235</c:v>
                </c:pt>
                <c:pt idx="62">
                  <c:v>32.946902654867309</c:v>
                </c:pt>
                <c:pt idx="63">
                  <c:v>32.300884955752267</c:v>
                </c:pt>
                <c:pt idx="64">
                  <c:v>31.654867256637221</c:v>
                </c:pt>
                <c:pt idx="65">
                  <c:v>31.008849557522176</c:v>
                </c:pt>
                <c:pt idx="66">
                  <c:v>30.36283185840713</c:v>
                </c:pt>
                <c:pt idx="67">
                  <c:v>29.716814159292085</c:v>
                </c:pt>
                <c:pt idx="68">
                  <c:v>29.070796460177039</c:v>
                </c:pt>
                <c:pt idx="69">
                  <c:v>28.424778761061994</c:v>
                </c:pt>
                <c:pt idx="70">
                  <c:v>27.778761061946948</c:v>
                </c:pt>
                <c:pt idx="71">
                  <c:v>27.132743362831903</c:v>
                </c:pt>
                <c:pt idx="72">
                  <c:v>26.486725663716857</c:v>
                </c:pt>
                <c:pt idx="73">
                  <c:v>25.840707964601812</c:v>
                </c:pt>
                <c:pt idx="74">
                  <c:v>25.194690265486766</c:v>
                </c:pt>
                <c:pt idx="75">
                  <c:v>24.548672566371721</c:v>
                </c:pt>
                <c:pt idx="76">
                  <c:v>23.902654867256675</c:v>
                </c:pt>
                <c:pt idx="77">
                  <c:v>23.25663716814163</c:v>
                </c:pt>
                <c:pt idx="78">
                  <c:v>22.610619469026584</c:v>
                </c:pt>
                <c:pt idx="79">
                  <c:v>21.964601769911539</c:v>
                </c:pt>
                <c:pt idx="80">
                  <c:v>21.318584070796494</c:v>
                </c:pt>
                <c:pt idx="81">
                  <c:v>20.672566371681448</c:v>
                </c:pt>
                <c:pt idx="82">
                  <c:v>20.026548672566403</c:v>
                </c:pt>
                <c:pt idx="83">
                  <c:v>19.380530973451357</c:v>
                </c:pt>
                <c:pt idx="84">
                  <c:v>18.734513274336312</c:v>
                </c:pt>
                <c:pt idx="85">
                  <c:v>18.088495575221266</c:v>
                </c:pt>
                <c:pt idx="86">
                  <c:v>17.442477876106221</c:v>
                </c:pt>
                <c:pt idx="87">
                  <c:v>16.796460176991175</c:v>
                </c:pt>
                <c:pt idx="88">
                  <c:v>16.15044247787613</c:v>
                </c:pt>
                <c:pt idx="89">
                  <c:v>15.504424778761086</c:v>
                </c:pt>
                <c:pt idx="90">
                  <c:v>14.858407079646042</c:v>
                </c:pt>
                <c:pt idx="91">
                  <c:v>14.212389380530999</c:v>
                </c:pt>
                <c:pt idx="92">
                  <c:v>13.566371681415955</c:v>
                </c:pt>
                <c:pt idx="93">
                  <c:v>12.920353982300911</c:v>
                </c:pt>
                <c:pt idx="94">
                  <c:v>12.274336283185868</c:v>
                </c:pt>
                <c:pt idx="95">
                  <c:v>11.628318584070824</c:v>
                </c:pt>
                <c:pt idx="96">
                  <c:v>10.98230088495578</c:v>
                </c:pt>
                <c:pt idx="97">
                  <c:v>10.336283185840736</c:v>
                </c:pt>
                <c:pt idx="98">
                  <c:v>9.6902654867256928</c:v>
                </c:pt>
                <c:pt idx="99">
                  <c:v>9.0442477876106491</c:v>
                </c:pt>
                <c:pt idx="100">
                  <c:v>8.3982300884956054</c:v>
                </c:pt>
                <c:pt idx="101">
                  <c:v>7.7522123893805608</c:v>
                </c:pt>
                <c:pt idx="102">
                  <c:v>7.1061946902655162</c:v>
                </c:pt>
                <c:pt idx="103">
                  <c:v>6.4601769911504716</c:v>
                </c:pt>
                <c:pt idx="104">
                  <c:v>5.814159292035427</c:v>
                </c:pt>
                <c:pt idx="105">
                  <c:v>5.1681415929203824</c:v>
                </c:pt>
                <c:pt idx="106">
                  <c:v>4.5221238938053379</c:v>
                </c:pt>
                <c:pt idx="107">
                  <c:v>3.8761061946902937</c:v>
                </c:pt>
                <c:pt idx="108">
                  <c:v>3.2300884955752496</c:v>
                </c:pt>
                <c:pt idx="109">
                  <c:v>2.5840707964602054</c:v>
                </c:pt>
                <c:pt idx="110">
                  <c:v>1.9380530973451613</c:v>
                </c:pt>
                <c:pt idx="111">
                  <c:v>1.2920353982301171</c:v>
                </c:pt>
                <c:pt idx="112">
                  <c:v>0.6460176991150729</c:v>
                </c:pt>
                <c:pt idx="113">
                  <c:v>2.8643754035329039E-14</c:v>
                </c:pt>
                <c:pt idx="114">
                  <c:v>-0.64601769911501561</c:v>
                </c:pt>
                <c:pt idx="115">
                  <c:v>-1.2920353982300599</c:v>
                </c:pt>
                <c:pt idx="116">
                  <c:v>-1.938053097345104</c:v>
                </c:pt>
                <c:pt idx="117">
                  <c:v>-2.5840707964601481</c:v>
                </c:pt>
                <c:pt idx="118">
                  <c:v>-3.2300884955751923</c:v>
                </c:pt>
                <c:pt idx="119">
                  <c:v>-3.8761061946902364</c:v>
                </c:pt>
                <c:pt idx="120">
                  <c:v>-4.522123893805281</c:v>
                </c:pt>
                <c:pt idx="121">
                  <c:v>-5.1681415929203256</c:v>
                </c:pt>
                <c:pt idx="122">
                  <c:v>-5.8141592920353702</c:v>
                </c:pt>
                <c:pt idx="123">
                  <c:v>-6.4601769911504148</c:v>
                </c:pt>
                <c:pt idx="124">
                  <c:v>-7.1061946902654594</c:v>
                </c:pt>
                <c:pt idx="125">
                  <c:v>-7.7522123893805039</c:v>
                </c:pt>
                <c:pt idx="126">
                  <c:v>-8.3982300884955485</c:v>
                </c:pt>
                <c:pt idx="127">
                  <c:v>-9.0442477876105922</c:v>
                </c:pt>
                <c:pt idx="128">
                  <c:v>-9.6902654867256359</c:v>
                </c:pt>
                <c:pt idx="129">
                  <c:v>-10.33628318584068</c:v>
                </c:pt>
                <c:pt idx="130">
                  <c:v>-10.982300884955723</c:v>
                </c:pt>
                <c:pt idx="131">
                  <c:v>-11.628318584070767</c:v>
                </c:pt>
                <c:pt idx="132">
                  <c:v>-12.274336283185811</c:v>
                </c:pt>
                <c:pt idx="133">
                  <c:v>-12.920353982300854</c:v>
                </c:pt>
                <c:pt idx="134">
                  <c:v>-13.566371681415898</c:v>
                </c:pt>
                <c:pt idx="135">
                  <c:v>-14.212389380530942</c:v>
                </c:pt>
                <c:pt idx="136">
                  <c:v>-14.858407079645986</c:v>
                </c:pt>
                <c:pt idx="137">
                  <c:v>-15.504424778761029</c:v>
                </c:pt>
                <c:pt idx="138">
                  <c:v>-16.150442477876073</c:v>
                </c:pt>
                <c:pt idx="139">
                  <c:v>-16.796460176991118</c:v>
                </c:pt>
                <c:pt idx="140">
                  <c:v>-17.442477876106164</c:v>
                </c:pt>
                <c:pt idx="141">
                  <c:v>-18.088495575221209</c:v>
                </c:pt>
                <c:pt idx="142">
                  <c:v>-18.734513274336255</c:v>
                </c:pt>
                <c:pt idx="143">
                  <c:v>-19.3805309734513</c:v>
                </c:pt>
                <c:pt idx="144">
                  <c:v>-20.026548672566346</c:v>
                </c:pt>
                <c:pt idx="145">
                  <c:v>-20.672566371681391</c:v>
                </c:pt>
                <c:pt idx="146">
                  <c:v>-21.318584070796437</c:v>
                </c:pt>
                <c:pt idx="147">
                  <c:v>-21.964601769911482</c:v>
                </c:pt>
                <c:pt idx="148">
                  <c:v>-22.610619469026528</c:v>
                </c:pt>
                <c:pt idx="149">
                  <c:v>-23.256637168141573</c:v>
                </c:pt>
                <c:pt idx="150">
                  <c:v>-23.902654867256619</c:v>
                </c:pt>
                <c:pt idx="151">
                  <c:v>-24.548672566371664</c:v>
                </c:pt>
                <c:pt idx="152">
                  <c:v>-25.19469026548671</c:v>
                </c:pt>
                <c:pt idx="153">
                  <c:v>-25.840707964601755</c:v>
                </c:pt>
                <c:pt idx="154">
                  <c:v>-26.4867256637168</c:v>
                </c:pt>
                <c:pt idx="155">
                  <c:v>-27.132743362831846</c:v>
                </c:pt>
                <c:pt idx="156">
                  <c:v>-27.778761061946891</c:v>
                </c:pt>
                <c:pt idx="157">
                  <c:v>-28.424778761061937</c:v>
                </c:pt>
                <c:pt idx="158">
                  <c:v>-29.070796460176982</c:v>
                </c:pt>
                <c:pt idx="159">
                  <c:v>-29.716814159292028</c:v>
                </c:pt>
                <c:pt idx="160">
                  <c:v>-30.362831858407073</c:v>
                </c:pt>
                <c:pt idx="161">
                  <c:v>-31.008849557522119</c:v>
                </c:pt>
                <c:pt idx="162">
                  <c:v>-31.654867256637164</c:v>
                </c:pt>
                <c:pt idx="163">
                  <c:v>-32.30088495575221</c:v>
                </c:pt>
                <c:pt idx="164">
                  <c:v>-32.946902654867252</c:v>
                </c:pt>
                <c:pt idx="165">
                  <c:v>-33.592920353982294</c:v>
                </c:pt>
                <c:pt idx="166">
                  <c:v>-34.238938053097336</c:v>
                </c:pt>
                <c:pt idx="167">
                  <c:v>-34.884955752212377</c:v>
                </c:pt>
                <c:pt idx="168">
                  <c:v>-35.530973451327419</c:v>
                </c:pt>
                <c:pt idx="169">
                  <c:v>-36.176991150442461</c:v>
                </c:pt>
                <c:pt idx="170">
                  <c:v>-36.823008849557503</c:v>
                </c:pt>
                <c:pt idx="171">
                  <c:v>-37.469026548672545</c:v>
                </c:pt>
                <c:pt idx="172">
                  <c:v>-38.115044247787587</c:v>
                </c:pt>
                <c:pt idx="173">
                  <c:v>-38.761061946902629</c:v>
                </c:pt>
                <c:pt idx="174">
                  <c:v>-39.407079646017671</c:v>
                </c:pt>
                <c:pt idx="175">
                  <c:v>-40.053097345132713</c:v>
                </c:pt>
                <c:pt idx="176">
                  <c:v>-40.699115044247755</c:v>
                </c:pt>
                <c:pt idx="177">
                  <c:v>-41.345132743362797</c:v>
                </c:pt>
                <c:pt idx="178">
                  <c:v>-41.991150442477839</c:v>
                </c:pt>
                <c:pt idx="179">
                  <c:v>-42.63716814159288</c:v>
                </c:pt>
                <c:pt idx="180">
                  <c:v>-43.283185840707922</c:v>
                </c:pt>
                <c:pt idx="181">
                  <c:v>-43.929203539822964</c:v>
                </c:pt>
                <c:pt idx="182">
                  <c:v>-44.575221238938006</c:v>
                </c:pt>
                <c:pt idx="183">
                  <c:v>-45.221238938053048</c:v>
                </c:pt>
                <c:pt idx="184">
                  <c:v>-45.86725663716809</c:v>
                </c:pt>
                <c:pt idx="185">
                  <c:v>-46.513274336283132</c:v>
                </c:pt>
                <c:pt idx="186">
                  <c:v>-47.159292035398174</c:v>
                </c:pt>
                <c:pt idx="187">
                  <c:v>-47.805309734513216</c:v>
                </c:pt>
                <c:pt idx="188">
                  <c:v>-48.451327433628258</c:v>
                </c:pt>
                <c:pt idx="189">
                  <c:v>-49.0973451327433</c:v>
                </c:pt>
                <c:pt idx="190">
                  <c:v>-49.743362831858342</c:v>
                </c:pt>
                <c:pt idx="191">
                  <c:v>-50.389380530973384</c:v>
                </c:pt>
                <c:pt idx="192">
                  <c:v>-51.035398230088425</c:v>
                </c:pt>
                <c:pt idx="193">
                  <c:v>-51.681415929203467</c:v>
                </c:pt>
                <c:pt idx="194">
                  <c:v>-52.327433628318509</c:v>
                </c:pt>
                <c:pt idx="195">
                  <c:v>-52.973451327433551</c:v>
                </c:pt>
                <c:pt idx="196">
                  <c:v>-53.619469026548593</c:v>
                </c:pt>
                <c:pt idx="197">
                  <c:v>-54.265486725663635</c:v>
                </c:pt>
                <c:pt idx="198">
                  <c:v>-54.911504424778677</c:v>
                </c:pt>
                <c:pt idx="199">
                  <c:v>-55.557522123893719</c:v>
                </c:pt>
                <c:pt idx="200">
                  <c:v>-56.203539823008761</c:v>
                </c:pt>
                <c:pt idx="201">
                  <c:v>-56.849557522123803</c:v>
                </c:pt>
                <c:pt idx="202">
                  <c:v>-57.495575221238845</c:v>
                </c:pt>
                <c:pt idx="203">
                  <c:v>-58.141592920353887</c:v>
                </c:pt>
                <c:pt idx="204">
                  <c:v>-58.787610619468929</c:v>
                </c:pt>
                <c:pt idx="205">
                  <c:v>-59.43362831858397</c:v>
                </c:pt>
                <c:pt idx="206">
                  <c:v>-60.079646017699012</c:v>
                </c:pt>
                <c:pt idx="207">
                  <c:v>-60.725663716814054</c:v>
                </c:pt>
                <c:pt idx="208">
                  <c:v>-61.371681415929096</c:v>
                </c:pt>
                <c:pt idx="209">
                  <c:v>-62.017699115044138</c:v>
                </c:pt>
                <c:pt idx="210">
                  <c:v>-62.66371681415918</c:v>
                </c:pt>
                <c:pt idx="211">
                  <c:v>-63.309734513274222</c:v>
                </c:pt>
                <c:pt idx="212">
                  <c:v>-63.955752212389264</c:v>
                </c:pt>
                <c:pt idx="213">
                  <c:v>-64.601769911504306</c:v>
                </c:pt>
                <c:pt idx="214">
                  <c:v>-65.247787610619355</c:v>
                </c:pt>
                <c:pt idx="215">
                  <c:v>-65.893805309734404</c:v>
                </c:pt>
                <c:pt idx="216">
                  <c:v>-66.539823008849453</c:v>
                </c:pt>
                <c:pt idx="217">
                  <c:v>-67.185840707964502</c:v>
                </c:pt>
                <c:pt idx="218">
                  <c:v>-67.831858407079551</c:v>
                </c:pt>
                <c:pt idx="219">
                  <c:v>-68.4778761061946</c:v>
                </c:pt>
                <c:pt idx="220">
                  <c:v>-69.123893805309649</c:v>
                </c:pt>
                <c:pt idx="221">
                  <c:v>-69.769911504424698</c:v>
                </c:pt>
                <c:pt idx="222">
                  <c:v>-70.415929203539747</c:v>
                </c:pt>
                <c:pt idx="223">
                  <c:v>-71.061946902654796</c:v>
                </c:pt>
                <c:pt idx="224">
                  <c:v>-71.707964601769845</c:v>
                </c:pt>
                <c:pt idx="225">
                  <c:v>-72.353982300884894</c:v>
                </c:pt>
                <c:pt idx="226">
                  <c:v>-72.999999999999943</c:v>
                </c:pt>
                <c:pt idx="227">
                  <c:v>-73.646017699114992</c:v>
                </c:pt>
                <c:pt idx="228">
                  <c:v>-74.292035398230041</c:v>
                </c:pt>
                <c:pt idx="229">
                  <c:v>-74.93805309734509</c:v>
                </c:pt>
                <c:pt idx="230">
                  <c:v>-75.584070796460139</c:v>
                </c:pt>
                <c:pt idx="231">
                  <c:v>-76.230088495575188</c:v>
                </c:pt>
                <c:pt idx="232">
                  <c:v>-76.876106194690237</c:v>
                </c:pt>
                <c:pt idx="233">
                  <c:v>-77.522123893805286</c:v>
                </c:pt>
                <c:pt idx="234">
                  <c:v>-78.168141592920335</c:v>
                </c:pt>
                <c:pt idx="235">
                  <c:v>-78.814159292035384</c:v>
                </c:pt>
                <c:pt idx="236">
                  <c:v>-79.460176991150433</c:v>
                </c:pt>
                <c:pt idx="237">
                  <c:v>-80.106194690265482</c:v>
                </c:pt>
                <c:pt idx="238">
                  <c:v>-80.752212389380531</c:v>
                </c:pt>
                <c:pt idx="239">
                  <c:v>-81.398230088495581</c:v>
                </c:pt>
                <c:pt idx="240">
                  <c:v>-82.04424778761063</c:v>
                </c:pt>
                <c:pt idx="241">
                  <c:v>-82.690265486725679</c:v>
                </c:pt>
                <c:pt idx="242">
                  <c:v>-83.336283185840728</c:v>
                </c:pt>
                <c:pt idx="243">
                  <c:v>-83.982300884955777</c:v>
                </c:pt>
                <c:pt idx="244">
                  <c:v>-84.628318584070826</c:v>
                </c:pt>
                <c:pt idx="245">
                  <c:v>-85.274336283185875</c:v>
                </c:pt>
                <c:pt idx="246">
                  <c:v>-85.920353982300924</c:v>
                </c:pt>
                <c:pt idx="247">
                  <c:v>-86.566371681415973</c:v>
                </c:pt>
                <c:pt idx="248">
                  <c:v>-87.212389380531022</c:v>
                </c:pt>
                <c:pt idx="249">
                  <c:v>-87.858407079646071</c:v>
                </c:pt>
                <c:pt idx="250">
                  <c:v>-88.50442477876112</c:v>
                </c:pt>
                <c:pt idx="251">
                  <c:v>-89.150442477876169</c:v>
                </c:pt>
                <c:pt idx="252">
                  <c:v>-89.796460176991218</c:v>
                </c:pt>
                <c:pt idx="253">
                  <c:v>-90.442477876106267</c:v>
                </c:pt>
                <c:pt idx="254">
                  <c:v>-91.088495575221316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chart'!$B$42:$IV$42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73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53</c:v>
                </c:pt>
                <c:pt idx="82">
                  <c:v>53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00736"/>
        <c:axId val="116829568"/>
      </c:lineChart>
      <c:dateAx>
        <c:axId val="117300736"/>
        <c:scaling>
          <c:orientation val="minMax"/>
        </c:scaling>
        <c:delete val="0"/>
        <c:axPos val="b"/>
        <c:numFmt formatCode="dd\/mm\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16829568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1682956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17300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57150</xdr:rowOff>
    </xdr:from>
    <xdr:to>
      <xdr:col>10</xdr:col>
      <xdr:colOff>323850</xdr:colOff>
      <xdr:row>37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</xdr:row>
      <xdr:rowOff>85725</xdr:rowOff>
    </xdr:from>
    <xdr:to>
      <xdr:col>6</xdr:col>
      <xdr:colOff>742950</xdr:colOff>
      <xdr:row>4</xdr:row>
      <xdr:rowOff>152400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3467100" y="247650"/>
          <a:ext cx="2190750" cy="5524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Areas desprotegidas da planilha estão destacadas em </a:t>
          </a:r>
          <a:r>
            <a:rPr lang="pt-BR" sz="1000" b="0" i="0" u="none" strike="noStrike" baseline="0">
              <a:solidFill>
                <a:srgbClr val="339966"/>
              </a:solidFill>
              <a:latin typeface="Arial"/>
              <a:cs typeface="Arial"/>
            </a:rPr>
            <a:t>verde 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devem ser preenchidas.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80"/>
  <sheetViews>
    <sheetView workbookViewId="0">
      <pane xSplit="8" ySplit="3" topLeftCell="I54" activePane="bottomRight" state="frozen"/>
      <selection pane="topRight" activeCell="F1" sqref="F1"/>
      <selection pane="bottomLeft" activeCell="A3" sqref="A3"/>
      <selection pane="bottomRight" activeCell="I21" sqref="I21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219">
        <f>SprintStart</f>
        <v>40868</v>
      </c>
      <c r="K1" s="219"/>
      <c r="L1" s="219"/>
      <c r="M1" s="219">
        <f>IF(AND(SkipWeekends, WEEKDAY(J1)=6),J1+3, J1+1)</f>
        <v>40869</v>
      </c>
      <c r="N1" s="219"/>
      <c r="O1" s="219"/>
      <c r="P1" s="219">
        <f>IF(AND(SkipWeekends, WEEKDAY(M1)=6),M1+3, M1+1)</f>
        <v>40870</v>
      </c>
      <c r="Q1" s="219"/>
      <c r="R1" s="219"/>
      <c r="S1" s="219">
        <f>IF(AND(SkipWeekends, WEEKDAY(P1)=6),P1+3, P1+1)</f>
        <v>40871</v>
      </c>
      <c r="T1" s="219"/>
      <c r="U1" s="219"/>
      <c r="V1" s="219">
        <f>IF(AND(SkipWeekends, WEEKDAY(S1)=6),S1+3, S1+1)</f>
        <v>40872</v>
      </c>
      <c r="W1" s="219"/>
      <c r="X1" s="219"/>
      <c r="Y1" s="219">
        <f>IF(AND(SkipWeekends, WEEKDAY(V1)=6),V1+3, V1+1)</f>
        <v>40873</v>
      </c>
      <c r="Z1" s="219"/>
      <c r="AA1" s="219"/>
      <c r="AB1" s="219">
        <f>IF(AND(SkipWeekends, WEEKDAY(Y1)=6),Y1+3, Y1+1)</f>
        <v>40874</v>
      </c>
      <c r="AC1" s="219"/>
      <c r="AD1" s="219"/>
      <c r="AE1" s="219">
        <f>IF(AND(SkipWeekends, WEEKDAY(AB1)=6),AB1+3, AB1+1)</f>
        <v>40875</v>
      </c>
      <c r="AF1" s="219"/>
      <c r="AG1" s="219"/>
      <c r="AH1" s="219">
        <f>IF(AND(SkipWeekends, WEEKDAY(AE1)=6),AE1+3, AE1+1)</f>
        <v>40876</v>
      </c>
      <c r="AI1" s="219"/>
      <c r="AJ1" s="219"/>
      <c r="AK1" s="219">
        <f>IF(AND(SkipWeekends, WEEKDAY(AH1)=6),AH1+3, AH1+1)</f>
        <v>40877</v>
      </c>
      <c r="AL1" s="219"/>
      <c r="AM1" s="219"/>
      <c r="AN1" s="219">
        <f>IF(AND(SkipWeekends, WEEKDAY(AK1)=6),AK1+3, AK1+1)</f>
        <v>40878</v>
      </c>
      <c r="AO1" s="219"/>
      <c r="AP1" s="219"/>
      <c r="AQ1" s="219">
        <f>IF(AND(SkipWeekends, WEEKDAY(AN1)=6),AN1+3, AN1+1)</f>
        <v>40879</v>
      </c>
      <c r="AR1" s="219"/>
      <c r="AS1" s="219"/>
      <c r="AT1" s="219">
        <f>IF(AND(SkipWeekends, WEEKDAY(AQ1)=6),AQ1+3, AQ1+1)</f>
        <v>40880</v>
      </c>
      <c r="AU1" s="219"/>
      <c r="AV1" s="219"/>
      <c r="AW1" s="219">
        <f>IF(AND(SkipWeekends, WEEKDAY(AT1)=6),AT1+3, AT1+1)</f>
        <v>40881</v>
      </c>
      <c r="AX1" s="219"/>
      <c r="AY1" s="219"/>
      <c r="AZ1" s="219" t="e">
        <f>IF(AND(SkipWeekends, WEEKDAY(#REF!)=6),#REF!+3,#REF!+ 1)</f>
        <v>#REF!</v>
      </c>
      <c r="BA1" s="219"/>
      <c r="BB1" s="219"/>
      <c r="BC1" s="219" t="e">
        <f>IF(AND(SkipWeekends, WEEKDAY(AZ1)=6),AZ1+3, AZ1+1)</f>
        <v>#REF!</v>
      </c>
      <c r="BD1" s="219"/>
      <c r="BE1" s="219"/>
      <c r="BF1" s="219" t="e">
        <f>IF(AND(SkipWeekends, WEEKDAY(BC1)=6),BC1+3, BC1+1)</f>
        <v>#REF!</v>
      </c>
      <c r="BG1" s="219"/>
      <c r="BH1" s="219"/>
      <c r="BI1" s="219" t="e">
        <f>IF(AND(SkipWeekends, WEEKDAY(BF1)=6),BF1+3, BF1+1)</f>
        <v>#REF!</v>
      </c>
      <c r="BJ1" s="219"/>
      <c r="BK1" s="219"/>
      <c r="BL1" s="219" t="e">
        <f>IF(AND(SkipWeekends, WEEKDAY(BI1)=6),BI1+3, BI1+1)</f>
        <v>#REF!</v>
      </c>
      <c r="BM1" s="219"/>
      <c r="BN1" s="219"/>
      <c r="BO1" s="219" t="e">
        <f>IF(AND(SkipWeekends, WEEKDAY(BL1)=6),BL1+3, BL1+1)</f>
        <v>#REF!</v>
      </c>
      <c r="BP1" s="219"/>
      <c r="BQ1" s="219"/>
      <c r="BR1" s="219" t="e">
        <f>IF(AND(SkipWeekends, WEEKDAY(BO1)=6),BO1+3, BO1+1)</f>
        <v>#REF!</v>
      </c>
      <c r="BS1" s="219"/>
      <c r="BT1" s="219"/>
      <c r="BU1" s="219" t="e">
        <f>IF(AND(SkipWeekends, WEEKDAY(BR1)=6),BR1+3, BR1+1)</f>
        <v>#REF!</v>
      </c>
      <c r="BV1" s="219"/>
      <c r="BW1" s="219"/>
      <c r="BX1" s="219" t="e">
        <f>IF(AND(SkipWeekends, WEEKDAY(BU1)=6),BU1+3, BU1+1)</f>
        <v>#REF!</v>
      </c>
      <c r="BY1" s="219"/>
      <c r="BZ1" s="219"/>
      <c r="CA1" s="219" t="e">
        <f>IF(AND(SkipWeekends, WEEKDAY(BX1)=6),BX1+3, BX1+1)</f>
        <v>#REF!</v>
      </c>
      <c r="CB1" s="219"/>
      <c r="CC1" s="21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102</v>
      </c>
      <c r="B4" s="16" t="s">
        <v>123</v>
      </c>
      <c r="C4" s="16" t="s">
        <v>150</v>
      </c>
      <c r="D4" s="17" t="s">
        <v>140</v>
      </c>
      <c r="E4" s="178" t="s">
        <v>141</v>
      </c>
      <c r="F4" s="18" t="s">
        <v>115</v>
      </c>
      <c r="G4" s="19" t="str">
        <f t="shared" ref="G4:G70" ca="1" si="0">(INDEX(Burndown,ROW(G4)-ROW(G$3),MIN(TODAY()-SprintStart,29)*3+3))</f>
        <v>Complete</v>
      </c>
      <c r="H4" s="20">
        <v>1</v>
      </c>
      <c r="I4" s="21">
        <v>1</v>
      </c>
      <c r="J4" s="22">
        <v>1</v>
      </c>
      <c r="K4" s="22">
        <f t="shared" ref="K4" si="1">MAX(I4-J4, 0)</f>
        <v>0</v>
      </c>
      <c r="L4" s="23" t="str">
        <f>IF(SUMPRODUCT($J$73:K$73,$J4:K4)&lt;0.5,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IF(SUMPRODUCT($J$73:N$73,$J4:N4)&lt;0.5,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IF(SUMPRODUCT($J$73:Q$73,$J4:Q4)&lt;0.5,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IF(SUMPRODUCT($J$73:T$73,$J4:T4)&lt;0.5,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IF(SUMPRODUCT($J$73:W$73,$J4:W4)&lt;0.5,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IF(SUMPRODUCT($J$73:Z$73,$J4:Z4)&lt;0.5,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IF(SUMPRODUCT($J$73:AC$73,$J4:AC4)&lt;0.5,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IF(SUMPRODUCT($J$73:AF$73,$J4:AF4)&lt;0.5,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IF(SUMPRODUCT($J$73:AI$73,$J4:AI4)&lt;0.5,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IF(SUMPRODUCT($J$73:AL$73,$J4:AL4)&lt;0.5,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IF(SUMPRODUCT($J$73:AO$73,$J4:AO4)&lt;0.5,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IF(SUMPRODUCT($J$73:AR$73,$J4:AR4)&lt;0.5,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IF(SUMPRODUCT($J$73:AU$73,$J4:AU4)&lt;0.5,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IF(SUMPRODUCT($J$73:AX$73,$J4:AX4)&lt;0.5,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IF(SUMPRODUCT($J$73:BA$73,$J4:BA4)&lt;0.5,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IF(SUMPRODUCT($J$73:BD$73,$J4:BD4)&lt;0.5,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IF(SUMPRODUCT($J$73:BG$73,$J4:BG4)&lt;0.5,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IF(SUMPRODUCT($J$73:BJ$73,$J4:BJ4)&lt;0.5,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IF(SUMPRODUCT($J$73:BM$73,$J4:BM4)&lt;0.5,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IF(SUMPRODUCT($J$73:BP$73,$J4:BP4)&lt;0.5,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IF(SUMPRODUCT($J$73:BS$73,$J4:BS4)&lt;0.5,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IF(SUMPRODUCT($J$73:BV$73,$J4:BV4)&lt;0.5,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IF(SUMPRODUCT($J$73:BY$73,$J4:BY4)&lt;0.5,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IF(SUMPRODUCT($J$73:CB$73,$J4:CB4)&lt;0.5, "Pending", IF(CB4&lt;0.5, "Complete", "In Progress"))</f>
        <v>#REF!</v>
      </c>
      <c r="CD4" s="24"/>
      <c r="CE4" s="25">
        <f>SUMPRODUCT($H$73:AY$73,$H4:AY4)</f>
        <v>1</v>
      </c>
    </row>
    <row r="5" spans="1:83" x14ac:dyDescent="0.2">
      <c r="A5" s="16"/>
      <c r="B5" s="16" t="s">
        <v>123</v>
      </c>
      <c r="C5" s="16" t="s">
        <v>150</v>
      </c>
      <c r="D5" s="17" t="s">
        <v>146</v>
      </c>
      <c r="E5" s="178" t="s">
        <v>142</v>
      </c>
      <c r="F5" s="18" t="s">
        <v>116</v>
      </c>
      <c r="G5" s="19" t="str">
        <f t="shared" ca="1" si="0"/>
        <v>Complete</v>
      </c>
      <c r="H5" s="20">
        <v>1</v>
      </c>
      <c r="I5" s="21">
        <v>2</v>
      </c>
      <c r="J5" s="22">
        <v>2</v>
      </c>
      <c r="K5" s="22">
        <f t="shared" ref="K5:K69" si="24">MAX(I5-J5, 0)</f>
        <v>0</v>
      </c>
      <c r="L5" s="23" t="str">
        <f>IF(SUMPRODUCT($J$73:K$73,$J5:K5)&lt;0.5, "Pending", IF(K5&lt;0.5, "Complete", "In Progress"))</f>
        <v>Complete</v>
      </c>
      <c r="M5" s="22">
        <v>2</v>
      </c>
      <c r="N5" s="22">
        <f t="shared" ref="N5:N69" si="25">MAX(K5-M5,0)</f>
        <v>0</v>
      </c>
      <c r="O5" s="23" t="str">
        <f>IF(SUMPRODUCT($J$73:N$73,$J5:N5)&lt;0.5, "Pending", IF(N5&lt;0.5, "Complete", "In Progress"))</f>
        <v>Complete</v>
      </c>
      <c r="P5" s="22">
        <v>3</v>
      </c>
      <c r="Q5" s="22">
        <f t="shared" ref="Q5:Q69" si="26">MAX(N5-P5,0)</f>
        <v>0</v>
      </c>
      <c r="R5" s="23" t="str">
        <f>IF(SUMPRODUCT($J$73:Q$73,$J5:Q5)&lt;0.5, "Pending", IF(Q5&lt;0.5, "Complete", "In Progress"))</f>
        <v>Complete</v>
      </c>
      <c r="S5" s="22">
        <v>0</v>
      </c>
      <c r="T5" s="22">
        <f t="shared" ref="T5:T69" si="27">MAX(Q5-S5,0)</f>
        <v>0</v>
      </c>
      <c r="U5" s="23" t="str">
        <f>IF(SUMPRODUCT($J$73:T$73,$J5:T5)&lt;0.5, "Pending", IF(T5&lt;0.5, "Complete", "In Progress"))</f>
        <v>Complete</v>
      </c>
      <c r="V5" s="22">
        <v>0</v>
      </c>
      <c r="W5" s="22">
        <f t="shared" ref="W5:W69" si="28">MAX(T5-V5,0)</f>
        <v>0</v>
      </c>
      <c r="X5" s="23" t="str">
        <f>IF(SUMPRODUCT($J$73:W$73,$J5:W5)&lt;0.5, "Pending", IF(W5&lt;0.5, "Complete", "In Progress"))</f>
        <v>Complete</v>
      </c>
      <c r="Y5" s="22">
        <v>0</v>
      </c>
      <c r="Z5" s="22">
        <f t="shared" ref="Z5:Z69" si="29">MAX(W5-Y5,0)</f>
        <v>0</v>
      </c>
      <c r="AA5" s="23" t="str">
        <f>IF(SUMPRODUCT($J$73:Z$73,$J5:Z5)&lt;0.5, "Pending", IF(Z5&lt;0.5, "Complete", "In Progress"))</f>
        <v>Complete</v>
      </c>
      <c r="AB5" s="22">
        <v>0</v>
      </c>
      <c r="AC5" s="22">
        <f t="shared" ref="AC5:AC69" si="30">MAX(Z5-AB5,0)</f>
        <v>0</v>
      </c>
      <c r="AD5" s="23" t="str">
        <f>IF(SUMPRODUCT($J$73:AC$73,$J5:AC5)&lt;0.5, "Pending", IF(AC5&lt;0.5, "Complete", "In Progress"))</f>
        <v>Complete</v>
      </c>
      <c r="AE5" s="22">
        <v>0</v>
      </c>
      <c r="AF5" s="22">
        <f t="shared" ref="AF5:AF69" si="31">MAX(AC5-AE5,0)</f>
        <v>0</v>
      </c>
      <c r="AG5" s="23" t="str">
        <f>IF(SUMPRODUCT($J$73:AF$73,$J5:AF5)&lt;0.5, "Pending", IF(AF5&lt;0.5, "Complete", "In Progress"))</f>
        <v>Complete</v>
      </c>
      <c r="AH5" s="22">
        <v>0</v>
      </c>
      <c r="AI5" s="22">
        <f t="shared" ref="AI5:AI69" si="32">MAX(AF5-AH5,0)</f>
        <v>0</v>
      </c>
      <c r="AJ5" s="23" t="str">
        <f>IF(SUMPRODUCT($J$73:AI$73,$J5:AI5)&lt;0.5, "Pending", IF(AI5&lt;0.5, "Complete", "In Progress"))</f>
        <v>Complete</v>
      </c>
      <c r="AK5" s="22">
        <v>0</v>
      </c>
      <c r="AL5" s="22">
        <f t="shared" ref="AL5:AL69" si="33">MAX(AI5-AK5,0)</f>
        <v>0</v>
      </c>
      <c r="AM5" s="23" t="str">
        <f>IF(SUMPRODUCT($J$73:AL$73,$J5:AL5)&lt;0.5, "Pending", IF(AL5&lt;0.5, "Complete", "In Progress"))</f>
        <v>Complete</v>
      </c>
      <c r="AN5" s="22">
        <v>0</v>
      </c>
      <c r="AO5" s="22">
        <f t="shared" ref="AO5:AO69" si="34">MAX(AL5-AN5,0)</f>
        <v>0</v>
      </c>
      <c r="AP5" s="23" t="str">
        <f>IF(SUMPRODUCT($J$73:AO$73,$J5:AO5)&lt;0.5, "Pending", IF(AO5&lt;0.5, "Complete", "In Progress"))</f>
        <v>Complete</v>
      </c>
      <c r="AQ5" s="22">
        <v>0</v>
      </c>
      <c r="AR5" s="22">
        <f t="shared" ref="AR5:AR69" si="35">MAX(AO5-AQ5,0)</f>
        <v>0</v>
      </c>
      <c r="AS5" s="23" t="str">
        <f>IF(SUMPRODUCT($J$73:AR$73,$J5:AR5)&lt;0.5, "Pending", IF(AR5&lt;0.5, "Complete", "In Progress"))</f>
        <v>Complete</v>
      </c>
      <c r="AT5" s="22">
        <v>0</v>
      </c>
      <c r="AU5" s="22">
        <f t="shared" ref="AU5:AU69" si="36">MAX(AR5-AT5,0)</f>
        <v>0</v>
      </c>
      <c r="AV5" s="23" t="str">
        <f>IF(SUMPRODUCT($J$73:AU$73,$J5:AU5)&lt;0.5, "Pending", IF(AU5&lt;0.5, "Complete", "In Progress"))</f>
        <v>Complete</v>
      </c>
      <c r="AW5" s="22">
        <v>0</v>
      </c>
      <c r="AX5" s="22">
        <f t="shared" ref="AX5:AX69" si="37">MAX(AU5-AW5,0)</f>
        <v>0</v>
      </c>
      <c r="AY5" s="23" t="str">
        <f>IF(SUMPRODUCT($J$73:AX$73,$J5:AX5)&lt;0.5,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IF(SUMPRODUCT($J$73:BA$73,$J5:BA5)&lt;0.5, "Pending", IF(BA5&lt;0.5, "Complete", "In Progress"))</f>
        <v>#REF!</v>
      </c>
      <c r="BC5" s="22">
        <v>0</v>
      </c>
      <c r="BD5" s="22" t="e">
        <f t="shared" ref="BD5:BD69" si="38">MAX(BA5-BC5,0)</f>
        <v>#REF!</v>
      </c>
      <c r="BE5" s="23" t="e">
        <f>IF(SUMPRODUCT($J$73:BD$73,$J5:BD5)&lt;0.5, "Pending", IF(BD5&lt;0.5, "Complete", "In Progress"))</f>
        <v>#REF!</v>
      </c>
      <c r="BF5" s="22">
        <v>0</v>
      </c>
      <c r="BG5" s="22" t="e">
        <f t="shared" ref="BG5:BG69" si="39">MAX(BD5-BF5,0)</f>
        <v>#REF!</v>
      </c>
      <c r="BH5" s="23" t="e">
        <f>IF(SUMPRODUCT($J$73:BG$73,$J5:BG5)&lt;0.5, "Pending", IF(BG5&lt;0.5, "Complete", "In Progress"))</f>
        <v>#REF!</v>
      </c>
      <c r="BI5" s="22">
        <v>0</v>
      </c>
      <c r="BJ5" s="22" t="e">
        <f t="shared" ref="BJ5:BJ69" si="40">MAX(BG5-BI5,0)</f>
        <v>#REF!</v>
      </c>
      <c r="BK5" s="23" t="e">
        <f>IF(SUMPRODUCT($J$73:BJ$73,$J5:BJ5)&lt;0.5, "Pending", IF(BJ5&lt;0.5, "Complete", "In Progress"))</f>
        <v>#REF!</v>
      </c>
      <c r="BL5" s="22">
        <v>0</v>
      </c>
      <c r="BM5" s="22" t="e">
        <f t="shared" ref="BM5:BM69" si="41">MAX(BJ5-BL5,0)</f>
        <v>#REF!</v>
      </c>
      <c r="BN5" s="23" t="e">
        <f>IF(SUMPRODUCT($J$73:BM$73,$J5:BM5)&lt;0.5, "Pending", IF(BM5&lt;0.5, "Complete", "In Progress"))</f>
        <v>#REF!</v>
      </c>
      <c r="BO5" s="22">
        <v>0</v>
      </c>
      <c r="BP5" s="22" t="e">
        <f t="shared" ref="BP5:BP69" si="42">MAX(BM5-BO5,0)</f>
        <v>#REF!</v>
      </c>
      <c r="BQ5" s="23" t="e">
        <f>IF(SUMPRODUCT($J$73:BP$73,$J5:BP5)&lt;0.5, "Pending", IF(BP5&lt;0.5, "Complete", "In Progress"))</f>
        <v>#REF!</v>
      </c>
      <c r="BR5" s="22">
        <v>0</v>
      </c>
      <c r="BS5" s="22" t="e">
        <f t="shared" ref="BS5:BS69" si="43">MAX(BP5-BR5,0)</f>
        <v>#REF!</v>
      </c>
      <c r="BT5" s="23" t="e">
        <f>IF(SUMPRODUCT($J$73:BS$73,$J5:BS5)&lt;0.5, "Pending", IF(BS5&lt;0.5, "Complete", "In Progress"))</f>
        <v>#REF!</v>
      </c>
      <c r="BU5" s="22">
        <v>0</v>
      </c>
      <c r="BV5" s="22" t="e">
        <f t="shared" ref="BV5:BV69" si="44">MAX(BS5-BU5,0)</f>
        <v>#REF!</v>
      </c>
      <c r="BW5" s="23" t="e">
        <f>IF(SUMPRODUCT($J$73:BV$73,$J5:BV5)&lt;0.5, "Pending", IF(BV5&lt;0.5, "Complete", "In Progress"))</f>
        <v>#REF!</v>
      </c>
      <c r="BX5" s="22">
        <v>0</v>
      </c>
      <c r="BY5" s="22" t="e">
        <f t="shared" ref="BY5:BY69" si="45">MAX(BV5-BX5,0)</f>
        <v>#REF!</v>
      </c>
      <c r="BZ5" s="23" t="e">
        <f>IF(SUMPRODUCT($J$73:BY$73,$J5:BY5)&lt;0.5, "Pending", IF(BY5&lt;0.5, "Complete", "In Progress"))</f>
        <v>#REF!</v>
      </c>
      <c r="CA5" s="22">
        <v>0</v>
      </c>
      <c r="CB5" s="22" t="e">
        <f t="shared" ref="CB5:CB69" si="46">MAX(BY5-CA5,0)</f>
        <v>#REF!</v>
      </c>
      <c r="CC5" s="23" t="e">
        <f>IF(SUMPRODUCT($J$73:CB$73,$J5:CB5)&lt;0.5, "Pending", IF(CB5&lt;0.5, "Complete", "In Progress"))</f>
        <v>#REF!</v>
      </c>
      <c r="CD5" s="24"/>
      <c r="CE5" s="25">
        <f>SUMPRODUCT($H$73:AY$73,$H5:AY5)</f>
        <v>7</v>
      </c>
    </row>
    <row r="6" spans="1:83" x14ac:dyDescent="0.2">
      <c r="A6" s="16"/>
      <c r="B6" s="16" t="s">
        <v>123</v>
      </c>
      <c r="C6" s="16" t="s">
        <v>150</v>
      </c>
      <c r="D6" s="17" t="s">
        <v>147</v>
      </c>
      <c r="E6" s="178" t="s">
        <v>143</v>
      </c>
      <c r="F6" s="18" t="s">
        <v>115</v>
      </c>
      <c r="G6" s="19" t="str">
        <f t="shared" ca="1" si="0"/>
        <v>Complete</v>
      </c>
      <c r="H6" s="20">
        <v>1</v>
      </c>
      <c r="I6" s="21">
        <v>3</v>
      </c>
      <c r="J6" s="22">
        <v>3</v>
      </c>
      <c r="K6" s="22">
        <v>0</v>
      </c>
      <c r="L6" s="23" t="str">
        <f>IF(SUMPRODUCT($J$73:K$73,$J6:K6)&lt;0.5, "Pending", IF(K6&lt;0.5, "Complete", "In Progress"))</f>
        <v>Complete</v>
      </c>
      <c r="M6" s="22">
        <v>0</v>
      </c>
      <c r="N6" s="22"/>
      <c r="O6" s="23" t="str">
        <f>IF(SUMPRODUCT($J$73:N$73,$J6:N6)&lt;0.5, "Pending", IF(N6&lt;0.5, "Complete", "In Progress"))</f>
        <v>Complete</v>
      </c>
      <c r="P6" s="22">
        <v>0</v>
      </c>
      <c r="Q6" s="22">
        <f t="shared" si="26"/>
        <v>0</v>
      </c>
      <c r="R6" s="23" t="str">
        <f>IF(SUMPRODUCT($J$73:Q$73,$J6:Q6)&lt;0.5, "Pending", IF(Q6&lt;0.5, "Complete", "In Progress"))</f>
        <v>Complete</v>
      </c>
      <c r="S6" s="22">
        <v>0</v>
      </c>
      <c r="T6" s="22">
        <f t="shared" si="27"/>
        <v>0</v>
      </c>
      <c r="U6" s="23" t="str">
        <f>IF(SUMPRODUCT($J$73:T$73,$J6:T6)&lt;0.5, "Pending", IF(T6&lt;0.5, "Complete", "In Progress"))</f>
        <v>Complete</v>
      </c>
      <c r="V6" s="22">
        <v>0</v>
      </c>
      <c r="W6" s="22">
        <f t="shared" si="28"/>
        <v>0</v>
      </c>
      <c r="X6" s="23" t="str">
        <f>IF(SUMPRODUCT($J$73:W$73,$J6:W6)&lt;0.5, "Pending", IF(W6&lt;0.5, "Complete", "In Progress"))</f>
        <v>Complete</v>
      </c>
      <c r="Y6" s="22">
        <v>0</v>
      </c>
      <c r="Z6" s="22">
        <f t="shared" si="29"/>
        <v>0</v>
      </c>
      <c r="AA6" s="23" t="str">
        <f>IF(SUMPRODUCT($J$73:Z$73,$J6:Z6)&lt;0.5, "Pending", IF(Z6&lt;0.5, "Complete", "In Progress"))</f>
        <v>Complete</v>
      </c>
      <c r="AB6" s="22">
        <v>0</v>
      </c>
      <c r="AC6" s="22">
        <f t="shared" si="30"/>
        <v>0</v>
      </c>
      <c r="AD6" s="23" t="str">
        <f>IF(SUMPRODUCT($J$73:AC$73,$J6:AC6)&lt;0.5, "Pending", IF(AC6&lt;0.5, "Complete", "In Progress"))</f>
        <v>Complete</v>
      </c>
      <c r="AE6" s="22">
        <v>0</v>
      </c>
      <c r="AF6" s="22">
        <f t="shared" si="31"/>
        <v>0</v>
      </c>
      <c r="AG6" s="23" t="str">
        <f>IF(SUMPRODUCT($J$73:AF$73,$J6:AF6)&lt;0.5,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IF(SUMPRODUCT($J$73:AI$73,$J6:AI6)&lt;0.5,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IF(SUMPRODUCT($J$73:AL$73,$J6:AL6)&lt;0.5,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IF(SUMPRODUCT($J$73:AO$73,$J6:AO6)&lt;0.5,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IF(SUMPRODUCT($J$73:AR$73,$J6:AR6)&lt;0.5,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IF(SUMPRODUCT($J$73:AU$73,$J6:AU6)&lt;0.5,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IF(SUMPRODUCT($J$73:AX$73,$J6:AX6)&lt;0.5,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IF(SUMPRODUCT($J$73:BA$73,$J6:BA6)&lt;0.5,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IF(SUMPRODUCT($J$73:BD$73,$J6:BD6)&lt;0.5,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IF(SUMPRODUCT($J$73:BG$73,$J6:BG6)&lt;0.5,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IF(SUMPRODUCT($J$73:BJ$73,$J6:BJ6)&lt;0.5,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IF(SUMPRODUCT($J$73:BM$73,$J6:BM6)&lt;0.5,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IF(SUMPRODUCT($J$73:BP$73,$J6:BP6)&lt;0.5,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IF(SUMPRODUCT($J$73:BS$73,$J6:BS6)&lt;0.5,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IF(SUMPRODUCT($J$73:BV$73,$J6:BV6)&lt;0.5,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IF(SUMPRODUCT($J$73:BY$73,$J6:BY6)&lt;0.5,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IF(SUMPRODUCT($J$73:CB$73,$J6:CB6)&lt;0.5, "Pending", IF(CB6&lt;0.5, "Complete", "In Progress"))</f>
        <v>#REF!</v>
      </c>
      <c r="CD6" s="24"/>
      <c r="CE6" s="25">
        <f>SUMPRODUCT($H$73:AY$73,$H6:AY6)</f>
        <v>3</v>
      </c>
    </row>
    <row r="7" spans="1:83" x14ac:dyDescent="0.2">
      <c r="A7" s="16"/>
      <c r="B7" s="16" t="s">
        <v>126</v>
      </c>
      <c r="C7" s="16" t="s">
        <v>150</v>
      </c>
      <c r="D7" s="17" t="s">
        <v>148</v>
      </c>
      <c r="E7" s="178" t="s">
        <v>144</v>
      </c>
      <c r="F7" s="18" t="s">
        <v>116</v>
      </c>
      <c r="G7" s="19" t="str">
        <f t="shared" ca="1" si="0"/>
        <v>Complete</v>
      </c>
      <c r="H7" s="20">
        <v>1</v>
      </c>
      <c r="I7" s="21">
        <v>2</v>
      </c>
      <c r="J7" s="22">
        <v>2</v>
      </c>
      <c r="K7" s="22">
        <f t="shared" si="24"/>
        <v>0</v>
      </c>
      <c r="L7" s="23" t="str">
        <f>IF(SUMPRODUCT($J$73:K$73,$J7:K7)&lt;0.5, "Pending", IF(K7&lt;0.5, "Complete", "In Progress"))</f>
        <v>Complete</v>
      </c>
      <c r="M7" s="22">
        <v>0</v>
      </c>
      <c r="N7" s="22">
        <f t="shared" si="25"/>
        <v>0</v>
      </c>
      <c r="O7" s="23" t="str">
        <f>IF(SUMPRODUCT($J$73:N$73,$J7:N7)&lt;0.5, "Pending", IF(N7&lt;0.5, "Complete", "In Progress"))</f>
        <v>Complete</v>
      </c>
      <c r="P7" s="22">
        <v>0</v>
      </c>
      <c r="Q7" s="22">
        <f t="shared" si="26"/>
        <v>0</v>
      </c>
      <c r="R7" s="23" t="str">
        <f>IF(SUMPRODUCT($J$73:Q$73,$J7:Q7)&lt;0.5,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IF(SUMPRODUCT($J$73:T$73,$J7:T7)&lt;0.5,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IF(SUMPRODUCT($J$73:W$73,$J7:W7)&lt;0.5,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IF(SUMPRODUCT($J$73:Z$73,$J7:Z7)&lt;0.5,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IF(SUMPRODUCT($J$73:AC$73,$J7:AC7)&lt;0.5,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IF(SUMPRODUCT($J$73:AF$73,$J7:AF7)&lt;0.5,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IF(SUMPRODUCT($J$73:AI$73,$J7:AI7)&lt;0.5,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IF(SUMPRODUCT($J$73:AL$73,$J7:AL7)&lt;0.5,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IF(SUMPRODUCT($J$73:AO$73,$J7:AO7)&lt;0.5,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IF(SUMPRODUCT($J$73:AR$73,$J7:AR7)&lt;0.5,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IF(SUMPRODUCT($J$73:AU$73,$J7:AU7)&lt;0.5,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IF(SUMPRODUCT($J$73:AX$73,$J7:AX7)&lt;0.5,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IF(SUMPRODUCT($J$73:BA$73,$J7:BA7)&lt;0.5,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IF(SUMPRODUCT($J$73:BD$73,$J7:BD7)&lt;0.5,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IF(SUMPRODUCT($J$73:BG$73,$J7:BG7)&lt;0.5,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IF(SUMPRODUCT($J$73:BJ$73,$J7:BJ7)&lt;0.5,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IF(SUMPRODUCT($J$73:BM$73,$J7:BM7)&lt;0.5,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IF(SUMPRODUCT($J$73:BP$73,$J7:BP7)&lt;0.5,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IF(SUMPRODUCT($J$73:BS$73,$J7:BS7)&lt;0.5,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IF(SUMPRODUCT($J$73:BV$73,$J7:BV7)&lt;0.5,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IF(SUMPRODUCT($J$73:BY$73,$J7:BY7)&lt;0.5,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IF(SUMPRODUCT($J$73:CB$73,$J7:CB7)&lt;0.5, "Pending", IF(CB7&lt;0.5, "Complete", "In Progress"))</f>
        <v>#REF!</v>
      </c>
      <c r="CD7" s="24"/>
      <c r="CE7" s="25">
        <f>SUMPRODUCT($H$73:AY$73,$H7:AY7)</f>
        <v>2</v>
      </c>
    </row>
    <row r="8" spans="1:83" x14ac:dyDescent="0.2">
      <c r="A8" s="16"/>
      <c r="B8" s="16" t="s">
        <v>124</v>
      </c>
      <c r="C8" s="16" t="s">
        <v>150</v>
      </c>
      <c r="D8" s="17" t="s">
        <v>149</v>
      </c>
      <c r="E8" s="178" t="s">
        <v>145</v>
      </c>
      <c r="F8" s="18" t="s">
        <v>163</v>
      </c>
      <c r="G8" s="19" t="str">
        <f t="shared" ca="1" si="0"/>
        <v>Complete</v>
      </c>
      <c r="H8" s="20">
        <v>1</v>
      </c>
      <c r="I8" s="21">
        <v>13</v>
      </c>
      <c r="J8" s="22">
        <v>13</v>
      </c>
      <c r="K8" s="22">
        <f t="shared" si="24"/>
        <v>0</v>
      </c>
      <c r="L8" s="23" t="str">
        <f>IF(SUMPRODUCT($J$73:K$73,$J8:K8)&lt;0.5, "Pending", IF(K8&lt;0.5, "Complete", "In Progress"))</f>
        <v>Complete</v>
      </c>
      <c r="M8" s="22">
        <v>0</v>
      </c>
      <c r="N8" s="22">
        <f t="shared" si="25"/>
        <v>0</v>
      </c>
      <c r="O8" s="23" t="str">
        <f>IF(SUMPRODUCT($J$73:N$73,$J8:N8)&lt;0.5, "Pending", IF(N8&lt;0.5, "Complete", "In Progress"))</f>
        <v>Complete</v>
      </c>
      <c r="P8" s="22">
        <v>0</v>
      </c>
      <c r="Q8" s="22">
        <f t="shared" si="26"/>
        <v>0</v>
      </c>
      <c r="R8" s="23" t="str">
        <f>IF(SUMPRODUCT($J$73:Q$73,$J8:Q8)&lt;0.5, "Pending", IF(Q8&lt;0.5, "Complete", "In Progress"))</f>
        <v>Complete</v>
      </c>
      <c r="S8" s="22">
        <v>0</v>
      </c>
      <c r="T8" s="22">
        <f t="shared" si="27"/>
        <v>0</v>
      </c>
      <c r="U8" s="23" t="str">
        <f>IF(SUMPRODUCT($J$73:T$73,$J8:T8)&lt;0.5, "Pending", IF(T8&lt;0.5, "Complete", "In Progress"))</f>
        <v>Complete</v>
      </c>
      <c r="V8" s="22">
        <v>0</v>
      </c>
      <c r="W8" s="22">
        <f t="shared" si="28"/>
        <v>0</v>
      </c>
      <c r="X8" s="23" t="str">
        <f>IF(SUMPRODUCT($J$73:W$73,$J8:W8)&lt;0.5, "Pending", IF(W8&lt;0.5, "Complete", "In Progress"))</f>
        <v>Complete</v>
      </c>
      <c r="Y8" s="22">
        <v>0</v>
      </c>
      <c r="Z8" s="22">
        <f t="shared" si="29"/>
        <v>0</v>
      </c>
      <c r="AA8" s="23" t="str">
        <f>IF(SUMPRODUCT($J$73:Z$73,$J8:Z8)&lt;0.5, "Pending", IF(Z8&lt;0.5, "Complete", "In Progress"))</f>
        <v>Complete</v>
      </c>
      <c r="AB8" s="22">
        <v>0</v>
      </c>
      <c r="AC8" s="22">
        <f t="shared" si="30"/>
        <v>0</v>
      </c>
      <c r="AD8" s="23" t="str">
        <f>IF(SUMPRODUCT($J$73:AC$73,$J8:AC8)&lt;0.5, "Pending", IF(AC8&lt;0.5, "Complete", "In Progress"))</f>
        <v>Complete</v>
      </c>
      <c r="AE8" s="22">
        <v>0</v>
      </c>
      <c r="AF8" s="22">
        <f t="shared" si="31"/>
        <v>0</v>
      </c>
      <c r="AG8" s="23" t="str">
        <f>IF(SUMPRODUCT($J$73:AF$73,$J8:AF8)&lt;0.5, "Pending", IF(AF8&lt;0.5, "Complete", "In Progress"))</f>
        <v>Complete</v>
      </c>
      <c r="AH8" s="22">
        <v>0</v>
      </c>
      <c r="AI8" s="22">
        <f t="shared" si="32"/>
        <v>0</v>
      </c>
      <c r="AJ8" s="23" t="str">
        <f>IF(SUMPRODUCT($J$73:AI$73,$J8:AI8)&lt;0.5,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IF(SUMPRODUCT($J$73:AL$73,$J8:AL8)&lt;0.5,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IF(SUMPRODUCT($J$73:AO$73,$J8:AO8)&lt;0.5,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IF(SUMPRODUCT($J$73:AR$73,$J8:AR8)&lt;0.5,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IF(SUMPRODUCT($J$73:AU$73,$J8:AU8)&lt;0.5,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IF(SUMPRODUCT($J$73:AX$73,$J8:AX8)&lt;0.5,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IF(SUMPRODUCT($J$73:BA$73,$J8:BA8)&lt;0.5,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IF(SUMPRODUCT($J$73:BD$73,$J8:BD8)&lt;0.5,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IF(SUMPRODUCT($J$73:BG$73,$J8:BG8)&lt;0.5,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IF(SUMPRODUCT($J$73:BJ$73,$J8:BJ8)&lt;0.5,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IF(SUMPRODUCT($J$73:BM$73,$J8:BM8)&lt;0.5,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IF(SUMPRODUCT($J$73:BP$73,$J8:BP8)&lt;0.5,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IF(SUMPRODUCT($J$73:BS$73,$J8:BS8)&lt;0.5,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IF(SUMPRODUCT($J$73:BV$73,$J8:BV8)&lt;0.5,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IF(SUMPRODUCT($J$73:BY$73,$J8:BY8)&lt;0.5,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IF(SUMPRODUCT($J$73:CB$73,$J8:CB8)&lt;0.5, "Pending", IF(CB8&lt;0.5, "Complete", "In Progress"))</f>
        <v>#REF!</v>
      </c>
      <c r="CD8" s="24"/>
      <c r="CE8" s="25">
        <f>SUMPRODUCT($H$73:AY$73,$H8:AY8)</f>
        <v>13</v>
      </c>
    </row>
    <row r="9" spans="1:83" x14ac:dyDescent="0.2">
      <c r="A9" s="16"/>
      <c r="B9" s="16" t="s">
        <v>125</v>
      </c>
      <c r="C9" s="16" t="s">
        <v>150</v>
      </c>
      <c r="D9" s="17" t="s">
        <v>153</v>
      </c>
      <c r="E9" s="178" t="s">
        <v>151</v>
      </c>
      <c r="F9" s="18" t="s">
        <v>121</v>
      </c>
      <c r="G9" s="19" t="str">
        <f t="shared" ca="1" si="0"/>
        <v>Complete</v>
      </c>
      <c r="H9" s="20">
        <v>1</v>
      </c>
      <c r="I9" s="21">
        <v>1</v>
      </c>
      <c r="J9" s="22">
        <v>1</v>
      </c>
      <c r="K9" s="22">
        <f t="shared" si="24"/>
        <v>0</v>
      </c>
      <c r="L9" s="23" t="str">
        <f>IF(SUMPRODUCT($J$73:K$73,$J9:K9)&lt;0.5, "Pending", IF(K9&lt;0.5, "Complete", "In Progress"))</f>
        <v>Complete</v>
      </c>
      <c r="M9" s="22">
        <v>0</v>
      </c>
      <c r="N9" s="22">
        <f t="shared" si="25"/>
        <v>0</v>
      </c>
      <c r="O9" s="23" t="str">
        <f>IF(SUMPRODUCT($J$73:N$73,$J9:N9)&lt;0.5, "Pending", IF(N9&lt;0.5, "Complete", "In Progress"))</f>
        <v>Complete</v>
      </c>
      <c r="P9" s="22">
        <v>0</v>
      </c>
      <c r="Q9" s="22">
        <f t="shared" si="26"/>
        <v>0</v>
      </c>
      <c r="R9" s="23" t="str">
        <f>IF(SUMPRODUCT($J$73:Q$73,$J9:Q9)&lt;0.5, "Pending", IF(Q9&lt;0.5, "Complete", "In Progress"))</f>
        <v>Complete</v>
      </c>
      <c r="S9" s="22">
        <v>0</v>
      </c>
      <c r="T9" s="22">
        <f t="shared" si="27"/>
        <v>0</v>
      </c>
      <c r="U9" s="23" t="str">
        <f>IF(SUMPRODUCT($J$73:T$73,$J9:T9)&lt;0.5, "Pending", IF(T9&lt;0.5, "Complete", "In Progress"))</f>
        <v>Complete</v>
      </c>
      <c r="V9" s="22">
        <v>0</v>
      </c>
      <c r="W9" s="22">
        <f t="shared" si="28"/>
        <v>0</v>
      </c>
      <c r="X9" s="23" t="str">
        <f>IF(SUMPRODUCT($J$73:W$73,$J9:W9)&lt;0.5, "Pending", IF(W9&lt;0.5, "Complete", "In Progress"))</f>
        <v>Complete</v>
      </c>
      <c r="Y9" s="22">
        <v>0</v>
      </c>
      <c r="Z9" s="22">
        <f t="shared" si="29"/>
        <v>0</v>
      </c>
      <c r="AA9" s="23" t="str">
        <f>IF(SUMPRODUCT($J$73:Z$73,$J9:Z9)&lt;0.5, "Pending", IF(Z9&lt;0.5, "Complete", "In Progress"))</f>
        <v>Complete</v>
      </c>
      <c r="AB9" s="22">
        <v>0</v>
      </c>
      <c r="AC9" s="22">
        <f t="shared" si="30"/>
        <v>0</v>
      </c>
      <c r="AD9" s="23" t="str">
        <f>IF(SUMPRODUCT($J$73:AC$73,$J9:AC9)&lt;0.5, "Pending", IF(AC9&lt;0.5, "Complete", "In Progress"))</f>
        <v>Complete</v>
      </c>
      <c r="AE9" s="22">
        <v>0</v>
      </c>
      <c r="AF9" s="22">
        <f t="shared" si="31"/>
        <v>0</v>
      </c>
      <c r="AG9" s="23" t="str">
        <f>IF(SUMPRODUCT($J$73:AF$73,$J9:AF9)&lt;0.5, "Pending", IF(AF9&lt;0.5, "Complete", "In Progress"))</f>
        <v>Complete</v>
      </c>
      <c r="AH9" s="22">
        <v>0</v>
      </c>
      <c r="AI9" s="22">
        <f t="shared" si="32"/>
        <v>0</v>
      </c>
      <c r="AJ9" s="23" t="str">
        <f>IF(SUMPRODUCT($J$73:AI$73,$J9:AI9)&lt;0.5,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IF(SUMPRODUCT($J$73:AL$73,$J9:AL9)&lt;0.5,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IF(SUMPRODUCT($J$73:AO$73,$J9:AO9)&lt;0.5,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IF(SUMPRODUCT($J$73:AR$73,$J9:AR9)&lt;0.5,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IF(SUMPRODUCT($J$73:AU$73,$J9:AU9)&lt;0.5,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IF(SUMPRODUCT($J$73:AX$73,$J9:AX9)&lt;0.5,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IF(SUMPRODUCT($J$73:BA$73,$J9:BA9)&lt;0.5,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IF(SUMPRODUCT($J$73:BD$73,$J9:BD9)&lt;0.5,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IF(SUMPRODUCT($J$73:BG$73,$J9:BG9)&lt;0.5,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IF(SUMPRODUCT($J$73:BJ$73,$J9:BJ9)&lt;0.5,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IF(SUMPRODUCT($J$73:BM$73,$J9:BM9)&lt;0.5,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IF(SUMPRODUCT($J$73:BP$73,$J9:BP9)&lt;0.5,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IF(SUMPRODUCT($J$73:BS$73,$J9:BS9)&lt;0.5,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IF(SUMPRODUCT($J$73:BV$73,$J9:BV9)&lt;0.5,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IF(SUMPRODUCT($J$73:BY$73,$J9:BY9)&lt;0.5,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IF(SUMPRODUCT($J$73:CB$73,$J9:CB9)&lt;0.5, "Pending", IF(CB9&lt;0.5, "Complete", "In Progress"))</f>
        <v>#REF!</v>
      </c>
      <c r="CD9" s="24"/>
      <c r="CE9" s="25">
        <f>SUMPRODUCT($H$73:AY$73,$H9:AY9)</f>
        <v>1</v>
      </c>
    </row>
    <row r="10" spans="1:83" x14ac:dyDescent="0.2">
      <c r="A10" s="16"/>
      <c r="B10" s="16" t="s">
        <v>125</v>
      </c>
      <c r="C10" s="16" t="s">
        <v>150</v>
      </c>
      <c r="D10" s="17" t="s">
        <v>154</v>
      </c>
      <c r="E10" s="178" t="s">
        <v>152</v>
      </c>
      <c r="F10" s="18" t="s">
        <v>121</v>
      </c>
      <c r="G10" s="19" t="str">
        <f t="shared" ca="1" si="0"/>
        <v>Complete</v>
      </c>
      <c r="H10" s="20">
        <v>1</v>
      </c>
      <c r="I10" s="21">
        <v>3</v>
      </c>
      <c r="J10" s="22">
        <v>3</v>
      </c>
      <c r="K10" s="22">
        <f t="shared" si="24"/>
        <v>0</v>
      </c>
      <c r="L10" s="23" t="str">
        <f>IF(SUMPRODUCT($J$73:K$73,$J10:K10)&lt;0.5, "Pending", IF(K10&lt;0.5, "Complete", "In Progress"))</f>
        <v>Complete</v>
      </c>
      <c r="M10" s="22">
        <v>0</v>
      </c>
      <c r="N10" s="22">
        <f t="shared" si="25"/>
        <v>0</v>
      </c>
      <c r="O10" s="23" t="str">
        <f>IF(SUMPRODUCT($J$73:N$73,$J10:N10)&lt;0.5, "Pending", IF(N10&lt;0.5, "Complete", "In Progress"))</f>
        <v>Complete</v>
      </c>
      <c r="P10" s="22">
        <v>0</v>
      </c>
      <c r="Q10" s="22">
        <f t="shared" si="26"/>
        <v>0</v>
      </c>
      <c r="R10" s="23" t="str">
        <f>IF(SUMPRODUCT($J$73:Q$73,$J10:Q10)&lt;0.5, "Pending", IF(Q10&lt;0.5, "Complete", "In Progress"))</f>
        <v>Complete</v>
      </c>
      <c r="S10" s="22">
        <v>0</v>
      </c>
      <c r="T10" s="22">
        <f t="shared" si="27"/>
        <v>0</v>
      </c>
      <c r="U10" s="23" t="str">
        <f>IF(SUMPRODUCT($J$73:T$73,$J10:T10)&lt;0.5, "Pending", IF(T10&lt;0.5, "Complete", "In Progress"))</f>
        <v>Complete</v>
      </c>
      <c r="V10" s="22">
        <v>0</v>
      </c>
      <c r="W10" s="22">
        <f t="shared" si="28"/>
        <v>0</v>
      </c>
      <c r="X10" s="23" t="str">
        <f>IF(SUMPRODUCT($J$73:W$73,$J10:W10)&lt;0.5, "Pending", IF(W10&lt;0.5, "Complete", "In Progress"))</f>
        <v>Complete</v>
      </c>
      <c r="Y10" s="22">
        <v>0</v>
      </c>
      <c r="Z10" s="22">
        <f t="shared" si="29"/>
        <v>0</v>
      </c>
      <c r="AA10" s="23" t="str">
        <f>IF(SUMPRODUCT($J$73:Z$73,$J10:Z10)&lt;0.5, "Pending", IF(Z10&lt;0.5, "Complete", "In Progress"))</f>
        <v>Complete</v>
      </c>
      <c r="AB10" s="22">
        <v>0</v>
      </c>
      <c r="AC10" s="22">
        <f t="shared" si="30"/>
        <v>0</v>
      </c>
      <c r="AD10" s="23" t="str">
        <f>IF(SUMPRODUCT($J$73:AC$73,$J10:AC10)&lt;0.5, "Pending", IF(AC10&lt;0.5, "Complete", "In Progress"))</f>
        <v>Complete</v>
      </c>
      <c r="AE10" s="22">
        <v>0</v>
      </c>
      <c r="AF10" s="22">
        <f t="shared" si="31"/>
        <v>0</v>
      </c>
      <c r="AG10" s="23" t="str">
        <f>IF(SUMPRODUCT($J$73:AF$73,$J10:AF10)&lt;0.5, "Pending", IF(AF10&lt;0.5, "Complete", "In Progress"))</f>
        <v>Complete</v>
      </c>
      <c r="AH10" s="22">
        <v>0</v>
      </c>
      <c r="AI10" s="22">
        <f t="shared" si="32"/>
        <v>0</v>
      </c>
      <c r="AJ10" s="23" t="str">
        <f>IF(SUMPRODUCT($J$73:AI$73,$J10:AI10)&lt;0.5, "Pending", IF(AI10&lt;0.5, "Complete", "In Progress"))</f>
        <v>Complete</v>
      </c>
      <c r="AK10" s="22">
        <v>0</v>
      </c>
      <c r="AL10" s="22">
        <f t="shared" si="33"/>
        <v>0</v>
      </c>
      <c r="AM10" s="23" t="str">
        <f>IF(SUMPRODUCT($J$73:AL$73,$J10:AL10)&lt;0.5,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IF(SUMPRODUCT($J$73:AO$73,$J10:AO10)&lt;0.5,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IF(SUMPRODUCT($J$73:AR$73,$J10:AR10)&lt;0.5,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IF(SUMPRODUCT($J$73:AU$73,$J10:AU10)&lt;0.5,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IF(SUMPRODUCT($J$73:AX$73,$J10:AX10)&lt;0.5,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IF(SUMPRODUCT($J$73:BA$73,$J10:BA10)&lt;0.5,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IF(SUMPRODUCT($J$73:BD$73,$J10:BD10)&lt;0.5,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IF(SUMPRODUCT($J$73:BG$73,$J10:BG10)&lt;0.5,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IF(SUMPRODUCT($J$73:BJ$73,$J10:BJ10)&lt;0.5,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IF(SUMPRODUCT($J$73:BM$73,$J10:BM10)&lt;0.5,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IF(SUMPRODUCT($J$73:BP$73,$J10:BP10)&lt;0.5,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IF(SUMPRODUCT($J$73:BS$73,$J10:BS10)&lt;0.5,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IF(SUMPRODUCT($J$73:BV$73,$J10:BV10)&lt;0.5,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IF(SUMPRODUCT($J$73:BY$73,$J10:BY10)&lt;0.5,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IF(SUMPRODUCT($J$73:CB$73,$J10:CB10)&lt;0.5, "Pending", IF(CB10&lt;0.5, "Complete", "In Progress"))</f>
        <v>#REF!</v>
      </c>
      <c r="CD10" s="24"/>
      <c r="CE10" s="25">
        <f>SUMPRODUCT($H$73:AY$73,$H10:AY10)</f>
        <v>3</v>
      </c>
    </row>
    <row r="11" spans="1:83" x14ac:dyDescent="0.2">
      <c r="A11" s="16"/>
      <c r="B11" s="16" t="s">
        <v>125</v>
      </c>
      <c r="C11" s="16" t="s">
        <v>150</v>
      </c>
      <c r="D11" s="17" t="s">
        <v>155</v>
      </c>
      <c r="E11" s="178" t="s">
        <v>157</v>
      </c>
      <c r="F11" s="18" t="s">
        <v>121</v>
      </c>
      <c r="G11" s="19" t="str">
        <f t="shared" ca="1" si="0"/>
        <v>Complete</v>
      </c>
      <c r="H11" s="20">
        <v>1</v>
      </c>
      <c r="I11" s="21">
        <v>1</v>
      </c>
      <c r="J11" s="22">
        <v>1</v>
      </c>
      <c r="K11" s="22">
        <f t="shared" si="24"/>
        <v>0</v>
      </c>
      <c r="L11" s="23" t="str">
        <f>IF(SUMPRODUCT($J$73:K$73,$J11:K11)&lt;0.5, "Pending", IF(K11&lt;0.5, "Complete", "In Progress"))</f>
        <v>Complete</v>
      </c>
      <c r="M11" s="22">
        <v>0</v>
      </c>
      <c r="N11" s="22">
        <f t="shared" si="25"/>
        <v>0</v>
      </c>
      <c r="O11" s="23" t="str">
        <f>IF(SUMPRODUCT($J$73:N$73,$J11:N11)&lt;0.5, "Pending", IF(N11&lt;0.5, "Complete", "In Progress"))</f>
        <v>Complete</v>
      </c>
      <c r="P11" s="22">
        <v>0</v>
      </c>
      <c r="Q11" s="22">
        <f t="shared" si="26"/>
        <v>0</v>
      </c>
      <c r="R11" s="23" t="str">
        <f>IF(SUMPRODUCT($J$73:Q$73,$J11:Q11)&lt;0.5, "Pending", IF(Q11&lt;0.5, "Complete", "In Progress"))</f>
        <v>Complete</v>
      </c>
      <c r="S11" s="22">
        <v>0</v>
      </c>
      <c r="T11" s="22">
        <f t="shared" si="27"/>
        <v>0</v>
      </c>
      <c r="U11" s="23" t="str">
        <f>IF(SUMPRODUCT($J$73:T$73,$J11:T11)&lt;0.5, "Pending", IF(T11&lt;0.5, "Complete", "In Progress"))</f>
        <v>Complete</v>
      </c>
      <c r="V11" s="22">
        <v>0</v>
      </c>
      <c r="W11" s="22">
        <f t="shared" si="28"/>
        <v>0</v>
      </c>
      <c r="X11" s="23" t="str">
        <f>IF(SUMPRODUCT($J$73:W$73,$J11:W11)&lt;0.5, "Pending", IF(W11&lt;0.5, "Complete", "In Progress"))</f>
        <v>Complete</v>
      </c>
      <c r="Y11" s="22">
        <v>0</v>
      </c>
      <c r="Z11" s="22">
        <f t="shared" si="29"/>
        <v>0</v>
      </c>
      <c r="AA11" s="23" t="str">
        <f>IF(SUMPRODUCT($J$73:Z$73,$J11:Z11)&lt;0.5, "Pending", IF(Z11&lt;0.5, "Complete", "In Progress"))</f>
        <v>Complete</v>
      </c>
      <c r="AB11" s="22">
        <v>0</v>
      </c>
      <c r="AC11" s="22">
        <f t="shared" si="30"/>
        <v>0</v>
      </c>
      <c r="AD11" s="23" t="str">
        <f>IF(SUMPRODUCT($J$73:AC$73,$J11:AC11)&lt;0.5, "Pending", IF(AC11&lt;0.5, "Complete", "In Progress"))</f>
        <v>Complete</v>
      </c>
      <c r="AE11" s="22">
        <v>0</v>
      </c>
      <c r="AF11" s="22">
        <f t="shared" si="31"/>
        <v>0</v>
      </c>
      <c r="AG11" s="23" t="str">
        <f>IF(SUMPRODUCT($J$73:AF$73,$J11:AF11)&lt;0.5, "Pending", IF(AF11&lt;0.5, "Complete", "In Progress"))</f>
        <v>Complete</v>
      </c>
      <c r="AH11" s="22">
        <v>0</v>
      </c>
      <c r="AI11" s="22">
        <f t="shared" si="32"/>
        <v>0</v>
      </c>
      <c r="AJ11" s="23" t="str">
        <f>IF(SUMPRODUCT($J$73:AI$73,$J11:AI11)&lt;0.5,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IF(SUMPRODUCT($J$73:AL$73,$J11:AL11)&lt;0.5,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IF(SUMPRODUCT($J$73:AO$73,$J11:AO11)&lt;0.5,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IF(SUMPRODUCT($J$73:AR$73,$J11:AR11)&lt;0.5,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IF(SUMPRODUCT($J$73:AU$73,$J11:AU11)&lt;0.5,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IF(SUMPRODUCT($J$73:AX$73,$J11:AX11)&lt;0.5,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IF(SUMPRODUCT($J$73:BA$73,$J11:BA11)&lt;0.5,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IF(SUMPRODUCT($J$73:BD$73,$J11:BD11)&lt;0.5,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IF(SUMPRODUCT($J$73:BG$73,$J11:BG11)&lt;0.5,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IF(SUMPRODUCT($J$73:BJ$73,$J11:BJ11)&lt;0.5,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IF(SUMPRODUCT($J$73:BM$73,$J11:BM11)&lt;0.5,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IF(SUMPRODUCT($J$73:BP$73,$J11:BP11)&lt;0.5,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IF(SUMPRODUCT($J$73:BS$73,$J11:BS11)&lt;0.5,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IF(SUMPRODUCT($J$73:BV$73,$J11:BV11)&lt;0.5,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IF(SUMPRODUCT($J$73:BY$73,$J11:BY11)&lt;0.5,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IF(SUMPRODUCT($J$73:CB$73,$J11:CB11)&lt;0.5, "Pending", IF(CB11&lt;0.5, "Complete", "In Progress"))</f>
        <v>#REF!</v>
      </c>
      <c r="CD11" s="24"/>
      <c r="CE11" s="25">
        <f>SUMPRODUCT($H$73:AY$73,$H11:AY11)</f>
        <v>1</v>
      </c>
    </row>
    <row r="12" spans="1:83" x14ac:dyDescent="0.2">
      <c r="A12" s="16"/>
      <c r="B12" s="16" t="s">
        <v>125</v>
      </c>
      <c r="C12" s="16" t="s">
        <v>150</v>
      </c>
      <c r="D12" s="17" t="s">
        <v>159</v>
      </c>
      <c r="E12" s="178" t="s">
        <v>156</v>
      </c>
      <c r="F12" s="18" t="s">
        <v>121</v>
      </c>
      <c r="G12" s="19" t="str">
        <f t="shared" ca="1" si="0"/>
        <v>In Progress</v>
      </c>
      <c r="H12" s="20">
        <v>1</v>
      </c>
      <c r="I12" s="21">
        <v>2</v>
      </c>
      <c r="J12" s="22">
        <v>1.5</v>
      </c>
      <c r="K12" s="22">
        <f t="shared" si="24"/>
        <v>0.5</v>
      </c>
      <c r="L12" s="23" t="str">
        <f>IF(SUMPRODUCT($J$73:K$73,$J12:K12)&lt;0.5, "Pending", IF(K12&lt;0.5, "Complete", "In Progress"))</f>
        <v>In Progress</v>
      </c>
      <c r="M12" s="22">
        <v>0</v>
      </c>
      <c r="N12" s="22">
        <f t="shared" si="25"/>
        <v>0.5</v>
      </c>
      <c r="O12" s="23" t="str">
        <f>IF(SUMPRODUCT($J$73:N$73,$J12:N12)&lt;0.5, "Pending", IF(N12&lt;0.5, "Complete", "In Progress"))</f>
        <v>In Progress</v>
      </c>
      <c r="P12" s="22">
        <v>0</v>
      </c>
      <c r="Q12" s="22">
        <f t="shared" si="26"/>
        <v>0.5</v>
      </c>
      <c r="R12" s="23" t="str">
        <f>IF(SUMPRODUCT($J$73:Q$73,$J12:Q12)&lt;0.5, "Pending", IF(Q12&lt;0.5, "Complete", "In Progress"))</f>
        <v>In Progress</v>
      </c>
      <c r="S12" s="22">
        <v>0</v>
      </c>
      <c r="T12" s="22">
        <f t="shared" si="27"/>
        <v>0.5</v>
      </c>
      <c r="U12" s="23" t="str">
        <f>IF(SUMPRODUCT($J$73:T$73,$J12:T12)&lt;0.5, "Pending", IF(T12&lt;0.5, "Complete", "In Progress"))</f>
        <v>In Progress</v>
      </c>
      <c r="V12" s="22">
        <v>0</v>
      </c>
      <c r="W12" s="22">
        <f t="shared" si="28"/>
        <v>0.5</v>
      </c>
      <c r="X12" s="23" t="str">
        <f>IF(SUMPRODUCT($J$73:W$73,$J12:W12)&lt;0.5, "Pending", IF(W12&lt;0.5, "Complete", "In Progress"))</f>
        <v>In Progress</v>
      </c>
      <c r="Y12" s="22">
        <v>0</v>
      </c>
      <c r="Z12" s="22">
        <f t="shared" si="29"/>
        <v>0.5</v>
      </c>
      <c r="AA12" s="23" t="str">
        <f>IF(SUMPRODUCT($J$73:Z$73,$J12:Z12)&lt;0.5, "Pending", IF(Z12&lt;0.5, "Complete", "In Progress"))</f>
        <v>In Progress</v>
      </c>
      <c r="AB12" s="22">
        <v>0</v>
      </c>
      <c r="AC12" s="22">
        <f t="shared" si="30"/>
        <v>0.5</v>
      </c>
      <c r="AD12" s="23" t="str">
        <f>IF(SUMPRODUCT($J$73:AC$73,$J12:AC12)&lt;0.5, "Pending", IF(AC12&lt;0.5, "Complete", "In Progress"))</f>
        <v>In Progress</v>
      </c>
      <c r="AE12" s="22">
        <v>0</v>
      </c>
      <c r="AF12" s="22">
        <f t="shared" si="31"/>
        <v>0.5</v>
      </c>
      <c r="AG12" s="23" t="str">
        <f>IF(SUMPRODUCT($J$73:AF$73,$J12:AF12)&lt;0.5, "Pending", IF(AF12&lt;0.5, "Complete", "In Progress"))</f>
        <v>In Progress</v>
      </c>
      <c r="AH12" s="22">
        <v>0</v>
      </c>
      <c r="AI12" s="22">
        <f t="shared" si="32"/>
        <v>0.5</v>
      </c>
      <c r="AJ12" s="23" t="str">
        <f>IF(SUMPRODUCT($J$73:AI$73,$J12:AI12)&lt;0.5, "Pending", IF(AI12&lt;0.5, "Complete", "In Progress"))</f>
        <v>In Progress</v>
      </c>
      <c r="AK12" s="22">
        <v>0</v>
      </c>
      <c r="AL12" s="22">
        <f t="shared" si="33"/>
        <v>0.5</v>
      </c>
      <c r="AM12" s="23" t="str">
        <f>IF(SUMPRODUCT($J$73:AL$73,$J12:AL12)&lt;0.5, "Pending", IF(AL12&lt;0.5, "Complete", "In Progress"))</f>
        <v>In Progress</v>
      </c>
      <c r="AN12" s="22">
        <v>0</v>
      </c>
      <c r="AO12" s="22">
        <f t="shared" si="34"/>
        <v>0.5</v>
      </c>
      <c r="AP12" s="23" t="str">
        <f>IF(SUMPRODUCT($J$73:AO$73,$J12:AO12)&lt;0.5, "Pending", IF(AO12&lt;0.5, "Complete", "In Progress"))</f>
        <v>In Progress</v>
      </c>
      <c r="AQ12" s="22">
        <v>0</v>
      </c>
      <c r="AR12" s="22">
        <f t="shared" si="35"/>
        <v>0.5</v>
      </c>
      <c r="AS12" s="23" t="str">
        <f>IF(SUMPRODUCT($J$73:AR$73,$J12:AR12)&lt;0.5, "Pending", IF(AR12&lt;0.5, "Complete", "In Progress"))</f>
        <v>In Progress</v>
      </c>
      <c r="AT12" s="22">
        <v>0</v>
      </c>
      <c r="AU12" s="22">
        <f t="shared" si="36"/>
        <v>0.5</v>
      </c>
      <c r="AV12" s="23" t="str">
        <f>IF(SUMPRODUCT($J$73:AU$73,$J12:AU12)&lt;0.5, "Pending", IF(AU12&lt;0.5, "Complete", "In Progress"))</f>
        <v>In Progress</v>
      </c>
      <c r="AW12" s="22">
        <v>0</v>
      </c>
      <c r="AX12" s="22">
        <f t="shared" si="37"/>
        <v>0.5</v>
      </c>
      <c r="AY12" s="23" t="str">
        <f>IF(SUMPRODUCT($J$73:AX$73,$J12:AX12)&lt;0.5, "Pending", IF(AX12&lt;0.5, "Complete", "In Progress"))</f>
        <v>In Progress</v>
      </c>
      <c r="AZ12" s="22">
        <v>0</v>
      </c>
      <c r="BA12" s="22" t="e">
        <f>MAX(#REF!-AZ12,0)</f>
        <v>#REF!</v>
      </c>
      <c r="BB12" s="23" t="e">
        <f>IF(SUMPRODUCT($J$73:BA$73,$J12:BA12)&lt;0.5,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IF(SUMPRODUCT($J$73:BD$73,$J12:BD12)&lt;0.5,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IF(SUMPRODUCT($J$73:BG$73,$J12:BG12)&lt;0.5,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IF(SUMPRODUCT($J$73:BJ$73,$J12:BJ12)&lt;0.5,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IF(SUMPRODUCT($J$73:BM$73,$J12:BM12)&lt;0.5,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IF(SUMPRODUCT($J$73:BP$73,$J12:BP12)&lt;0.5,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IF(SUMPRODUCT($J$73:BS$73,$J12:BS12)&lt;0.5,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IF(SUMPRODUCT($J$73:BV$73,$J12:BV12)&lt;0.5,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IF(SUMPRODUCT($J$73:BY$73,$J12:BY12)&lt;0.5,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IF(SUMPRODUCT($J$73:CB$73,$J12:CB12)&lt;0.5, "Pending", IF(CB12&lt;0.5, "Complete", "In Progress"))</f>
        <v>#REF!</v>
      </c>
      <c r="CD12" s="24"/>
      <c r="CE12" s="25">
        <f>SUMPRODUCT($H$73:AY$73,$H12:AY12)</f>
        <v>1.5</v>
      </c>
    </row>
    <row r="13" spans="1:83" x14ac:dyDescent="0.2">
      <c r="A13" s="16"/>
      <c r="B13" s="16" t="s">
        <v>125</v>
      </c>
      <c r="C13" s="16" t="s">
        <v>150</v>
      </c>
      <c r="D13" s="17" t="s">
        <v>160</v>
      </c>
      <c r="E13" s="178" t="s">
        <v>158</v>
      </c>
      <c r="F13" s="18" t="s">
        <v>121</v>
      </c>
      <c r="G13" s="19" t="str">
        <f t="shared" ca="1" si="0"/>
        <v>Pending</v>
      </c>
      <c r="H13" s="20">
        <v>1</v>
      </c>
      <c r="I13" s="21">
        <v>2</v>
      </c>
      <c r="J13" s="22">
        <v>0</v>
      </c>
      <c r="K13" s="22">
        <f t="shared" ref="K13:K15" si="47">MAX(I13-J13, 0)</f>
        <v>2</v>
      </c>
      <c r="L13" s="23" t="str">
        <f>IF(SUMPRODUCT($J$73:K$73,$J13:K13)&lt;0.5, "Pending", IF(K13&lt;0.5, "Complete", "In Progress"))</f>
        <v>Pending</v>
      </c>
      <c r="M13" s="22">
        <v>0</v>
      </c>
      <c r="N13" s="22">
        <f t="shared" ref="N13:N15" si="48">MAX(K13-M13,0)</f>
        <v>2</v>
      </c>
      <c r="O13" s="23" t="str">
        <f>IF(SUMPRODUCT($J$73:N$73,$J13:N13)&lt;0.5, "Pending", IF(N13&lt;0.5, "Complete", "In Progress"))</f>
        <v>Pending</v>
      </c>
      <c r="P13" s="22">
        <v>0</v>
      </c>
      <c r="Q13" s="22">
        <f t="shared" ref="Q13:Q15" si="49">MAX(N13-P13,0)</f>
        <v>2</v>
      </c>
      <c r="R13" s="23" t="str">
        <f>IF(SUMPRODUCT($J$73:Q$73,$J13:Q13)&lt;0.5, "Pending", IF(Q13&lt;0.5, "Complete", "In Progress"))</f>
        <v>Pending</v>
      </c>
      <c r="S13" s="22">
        <v>0</v>
      </c>
      <c r="T13" s="22">
        <f t="shared" ref="T13:T15" si="50">MAX(Q13-S13,0)</f>
        <v>2</v>
      </c>
      <c r="U13" s="23" t="str">
        <f>IF(SUMPRODUCT($J$73:T$73,$J13:T13)&lt;0.5, "Pending", IF(T13&lt;0.5, "Complete", "In Progress"))</f>
        <v>Pending</v>
      </c>
      <c r="V13" s="22">
        <v>0</v>
      </c>
      <c r="W13" s="22">
        <f t="shared" ref="W13:W15" si="51">MAX(T13-V13,0)</f>
        <v>2</v>
      </c>
      <c r="X13" s="23" t="str">
        <f>IF(SUMPRODUCT($J$73:W$73,$J13:W13)&lt;0.5, "Pending", IF(W13&lt;0.5, "Complete", "In Progress"))</f>
        <v>Pending</v>
      </c>
      <c r="Y13" s="22">
        <v>0</v>
      </c>
      <c r="Z13" s="22">
        <f t="shared" ref="Z13:Z15" si="52">MAX(W13-Y13,0)</f>
        <v>2</v>
      </c>
      <c r="AA13" s="23" t="str">
        <f>IF(SUMPRODUCT($J$73:Z$73,$J13:Z13)&lt;0.5, "Pending", IF(Z13&lt;0.5, "Complete", "In Progress"))</f>
        <v>Pending</v>
      </c>
      <c r="AB13" s="22">
        <v>0</v>
      </c>
      <c r="AC13" s="22">
        <f t="shared" ref="AC13:AC15" si="53">MAX(Z13-AB13,0)</f>
        <v>2</v>
      </c>
      <c r="AD13" s="23" t="str">
        <f>IF(SUMPRODUCT($J$73:AC$73,$J13:AC13)&lt;0.5, "Pending", IF(AC13&lt;0.5, "Complete", "In Progress"))</f>
        <v>Pending</v>
      </c>
      <c r="AE13" s="22">
        <v>0</v>
      </c>
      <c r="AF13" s="22">
        <f t="shared" ref="AF13:AF15" si="54">MAX(AC13-AE13,0)</f>
        <v>2</v>
      </c>
      <c r="AG13" s="23" t="str">
        <f>IF(SUMPRODUCT($J$73:AF$73,$J13:AF13)&lt;0.5, "Pending", IF(AF13&lt;0.5, "Complete", "In Progress"))</f>
        <v>Pending</v>
      </c>
      <c r="AH13" s="22">
        <v>0</v>
      </c>
      <c r="AI13" s="22">
        <f t="shared" ref="AI13:AI15" si="55">MAX(AF13-AH13,0)</f>
        <v>2</v>
      </c>
      <c r="AJ13" s="23" t="str">
        <f>IF(SUMPRODUCT($J$73:AI$73,$J13:AI13)&lt;0.5, "Pending", IF(AI13&lt;0.5, "Complete", "In Progress"))</f>
        <v>Pending</v>
      </c>
      <c r="AK13" s="22">
        <v>0</v>
      </c>
      <c r="AL13" s="22">
        <f t="shared" ref="AL13:AL15" si="56">MAX(AI13-AK13,0)</f>
        <v>2</v>
      </c>
      <c r="AM13" s="23" t="str">
        <f>IF(SUMPRODUCT($J$73:AL$73,$J13:AL13)&lt;0.5, "Pending", IF(AL13&lt;0.5, "Complete", "In Progress"))</f>
        <v>Pending</v>
      </c>
      <c r="AN13" s="22">
        <v>0</v>
      </c>
      <c r="AO13" s="22">
        <f t="shared" ref="AO13:AO15" si="57">MAX(AL13-AN13,0)</f>
        <v>2</v>
      </c>
      <c r="AP13" s="23" t="str">
        <f>IF(SUMPRODUCT($J$73:AO$73,$J13:AO13)&lt;0.5, "Pending", IF(AO13&lt;0.5, "Complete", "In Progress"))</f>
        <v>Pending</v>
      </c>
      <c r="AQ13" s="22">
        <v>0</v>
      </c>
      <c r="AR13" s="22">
        <f t="shared" ref="AR13:AR15" si="58">MAX(AO13-AQ13,0)</f>
        <v>2</v>
      </c>
      <c r="AS13" s="23" t="str">
        <f>IF(SUMPRODUCT($J$73:AR$73,$J13:AR13)&lt;0.5, "Pending", IF(AR13&lt;0.5, "Complete", "In Progress"))</f>
        <v>Pending</v>
      </c>
      <c r="AT13" s="22">
        <v>0</v>
      </c>
      <c r="AU13" s="22">
        <f t="shared" ref="AU13:AU15" si="59">MAX(AR13-AT13,0)</f>
        <v>2</v>
      </c>
      <c r="AV13" s="23" t="str">
        <f>IF(SUMPRODUCT($J$73:AU$73,$J13:AU13)&lt;0.5, "Pending", IF(AU13&lt;0.5, "Complete", "In Progress"))</f>
        <v>Pending</v>
      </c>
      <c r="AW13" s="22">
        <v>0</v>
      </c>
      <c r="AX13" s="22">
        <f t="shared" ref="AX13:AX15" si="60">MAX(AU13-AW13,0)</f>
        <v>2</v>
      </c>
      <c r="AY13" s="23" t="str">
        <f>IF(SUMPRODUCT($J$73:AX$73,$J13:AX13)&lt;0.5,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IF(SUMPRODUCT($J$73:BA$73,$J13:BA13)&lt;0.5,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IF(SUMPRODUCT($J$73:BD$73,$J13:BD13)&lt;0.5,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IF(SUMPRODUCT($J$73:BG$73,$J13:BG13)&lt;0.5,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IF(SUMPRODUCT($J$73:BJ$73,$J13:BJ13)&lt;0.5,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IF(SUMPRODUCT($J$73:BM$73,$J13:BM13)&lt;0.5,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IF(SUMPRODUCT($J$73:BP$73,$J13:BP13)&lt;0.5,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IF(SUMPRODUCT($J$73:BS$73,$J13:BS13)&lt;0.5,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IF(SUMPRODUCT($J$73:BV$73,$J13:BV13)&lt;0.5,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IF(SUMPRODUCT($J$73:BY$73,$J13:BY13)&lt;0.5,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IF(SUMPRODUCT($J$73:CB$73,$J13:CB13)&lt;0.5, "Pending", IF(CB13&lt;0.5, "Complete", "In Progress"))</f>
        <v>#REF!</v>
      </c>
      <c r="CD13" s="24"/>
      <c r="CE13" s="25">
        <f>SUMPRODUCT($H$73:AY$73,$H13:AY13)</f>
        <v>0</v>
      </c>
    </row>
    <row r="14" spans="1:83" x14ac:dyDescent="0.2">
      <c r="A14" s="16"/>
      <c r="B14" s="16" t="s">
        <v>177</v>
      </c>
      <c r="C14" s="16" t="s">
        <v>161</v>
      </c>
      <c r="D14" s="17" t="s">
        <v>162</v>
      </c>
      <c r="E14" s="178" t="s">
        <v>178</v>
      </c>
      <c r="F14" s="18" t="s">
        <v>163</v>
      </c>
      <c r="G14" s="19" t="str">
        <f t="shared" ca="1" si="0"/>
        <v>Complete</v>
      </c>
      <c r="H14" s="20">
        <v>1</v>
      </c>
      <c r="I14" s="21">
        <v>2</v>
      </c>
      <c r="J14" s="22">
        <v>2</v>
      </c>
      <c r="K14" s="22">
        <f t="shared" ref="K14" si="70">MAX(I14-J14, 0)</f>
        <v>0</v>
      </c>
      <c r="L14" s="23" t="str">
        <f>IF(SUMPRODUCT($J$73:K$73,$J14:K14)&lt;0.5, "Pending", IF(K14&lt;0.5, "Complete", "In Progress"))</f>
        <v>Complete</v>
      </c>
      <c r="M14" s="22">
        <v>0</v>
      </c>
      <c r="N14" s="22">
        <f t="shared" ref="N14" si="71">MAX(K14-M14,0)</f>
        <v>0</v>
      </c>
      <c r="O14" s="23" t="str">
        <f>IF(SUMPRODUCT($J$73:N$73,$J14:N14)&lt;0.5, "Pending", IF(N14&lt;0.5, "Complete", "In Progress"))</f>
        <v>Complete</v>
      </c>
      <c r="P14" s="22">
        <v>0</v>
      </c>
      <c r="Q14" s="22">
        <f t="shared" ref="Q14" si="72">MAX(N14-P14,0)</f>
        <v>0</v>
      </c>
      <c r="R14" s="23" t="str">
        <f>IF(SUMPRODUCT($J$73:Q$73,$J14:Q14)&lt;0.5, "Pending", IF(Q14&lt;0.5, "Complete", "In Progress"))</f>
        <v>Complete</v>
      </c>
      <c r="S14" s="22">
        <v>0</v>
      </c>
      <c r="T14" s="22">
        <f t="shared" ref="T14" si="73">MAX(Q14-S14,0)</f>
        <v>0</v>
      </c>
      <c r="U14" s="23" t="str">
        <f>IF(SUMPRODUCT($J$73:T$73,$J14:T14)&lt;0.5, "Pending", IF(T14&lt;0.5, "Complete", "In Progress"))</f>
        <v>Complete</v>
      </c>
      <c r="V14" s="22">
        <v>0</v>
      </c>
      <c r="W14" s="22">
        <f t="shared" ref="W14" si="74">MAX(T14-V14,0)</f>
        <v>0</v>
      </c>
      <c r="X14" s="23" t="str">
        <f>IF(SUMPRODUCT($J$73:W$73,$J14:W14)&lt;0.5, "Pending", IF(W14&lt;0.5, "Complete", "In Progress"))</f>
        <v>Complete</v>
      </c>
      <c r="Y14" s="22">
        <v>0</v>
      </c>
      <c r="Z14" s="22">
        <f t="shared" ref="Z14" si="75">MAX(W14-Y14,0)</f>
        <v>0</v>
      </c>
      <c r="AA14" s="23" t="str">
        <f>IF(SUMPRODUCT($J$73:Z$73,$J14:Z14)&lt;0.5, "Pending", IF(Z14&lt;0.5, "Complete", "In Progress"))</f>
        <v>Complete</v>
      </c>
      <c r="AB14" s="22">
        <v>0</v>
      </c>
      <c r="AC14" s="22">
        <f t="shared" ref="AC14" si="76">MAX(Z14-AB14,0)</f>
        <v>0</v>
      </c>
      <c r="AD14" s="23" t="str">
        <f>IF(SUMPRODUCT($J$73:AC$73,$J14:AC14)&lt;0.5, "Pending", IF(AC14&lt;0.5, "Complete", "In Progress"))</f>
        <v>Complete</v>
      </c>
      <c r="AE14" s="22">
        <v>0</v>
      </c>
      <c r="AF14" s="22">
        <f t="shared" ref="AF14" si="77">MAX(AC14-AE14,0)</f>
        <v>0</v>
      </c>
      <c r="AG14" s="23" t="str">
        <f>IF(SUMPRODUCT($J$73:AF$73,$J14:AF14)&lt;0.5, "Pending", IF(AF14&lt;0.5, "Complete", "In Progress"))</f>
        <v>Complete</v>
      </c>
      <c r="AH14" s="22">
        <v>0</v>
      </c>
      <c r="AI14" s="22">
        <f t="shared" ref="AI14" si="78">MAX(AF14-AH14,0)</f>
        <v>0</v>
      </c>
      <c r="AJ14" s="23" t="str">
        <f>IF(SUMPRODUCT($J$73:AI$73,$J14:AI14)&lt;0.5, "Pending", IF(AI14&lt;0.5, "Complete", "In Progress"))</f>
        <v>Complete</v>
      </c>
      <c r="AK14" s="22">
        <v>0</v>
      </c>
      <c r="AL14" s="22">
        <f t="shared" ref="AL14" si="79">MAX(AI14-AK14,0)</f>
        <v>0</v>
      </c>
      <c r="AM14" s="23" t="str">
        <f>IF(SUMPRODUCT($J$73:AL$73,$J14:AL14)&lt;0.5, "Pending", IF(AL14&lt;0.5, "Complete", "In Progress"))</f>
        <v>Complete</v>
      </c>
      <c r="AN14" s="22">
        <v>0</v>
      </c>
      <c r="AO14" s="22">
        <f t="shared" ref="AO14" si="80">MAX(AL14-AN14,0)</f>
        <v>0</v>
      </c>
      <c r="AP14" s="23" t="str">
        <f>IF(SUMPRODUCT($J$73:AO$73,$J14:AO14)&lt;0.5, "Pending", IF(AO14&lt;0.5, "Complete", "In Progress"))</f>
        <v>Complete</v>
      </c>
      <c r="AQ14" s="22">
        <v>0</v>
      </c>
      <c r="AR14" s="22">
        <f t="shared" ref="AR14" si="81">MAX(AO14-AQ14,0)</f>
        <v>0</v>
      </c>
      <c r="AS14" s="23" t="str">
        <f>IF(SUMPRODUCT($J$73:AR$73,$J14:AR14)&lt;0.5, "Pending", IF(AR14&lt;0.5, "Complete", "In Progress"))</f>
        <v>Complete</v>
      </c>
      <c r="AT14" s="22">
        <v>0</v>
      </c>
      <c r="AU14" s="22">
        <f t="shared" ref="AU14" si="82">MAX(AR14-AT14,0)</f>
        <v>0</v>
      </c>
      <c r="AV14" s="23" t="str">
        <f>IF(SUMPRODUCT($J$73:AU$73,$J14:AU14)&lt;0.5, "Pending", IF(AU14&lt;0.5, "Complete", "In Progress"))</f>
        <v>Complete</v>
      </c>
      <c r="AW14" s="22">
        <v>0</v>
      </c>
      <c r="AX14" s="22">
        <f t="shared" ref="AX14" si="83">MAX(AU14-AW14,0)</f>
        <v>0</v>
      </c>
      <c r="AY14" s="23" t="str">
        <f>IF(SUMPRODUCT($J$73:AX$73,$J14:AX14)&lt;0.5,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IF(SUMPRODUCT($J$73:BA$73,$J14:BA14)&lt;0.5,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IF(SUMPRODUCT($J$73:BD$73,$J14:BD14)&lt;0.5,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IF(SUMPRODUCT($J$73:BG$73,$J14:BG14)&lt;0.5,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IF(SUMPRODUCT($J$73:BJ$73,$J14:BJ14)&lt;0.5,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IF(SUMPRODUCT($J$73:BM$73,$J14:BM14)&lt;0.5,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IF(SUMPRODUCT($J$73:BP$73,$J14:BP14)&lt;0.5,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IF(SUMPRODUCT($J$73:BS$73,$J14:BS14)&lt;0.5,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IF(SUMPRODUCT($J$73:BV$73,$J14:BV14)&lt;0.5,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IF(SUMPRODUCT($J$73:BY$73,$J14:BY14)&lt;0.5,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IF(SUMPRODUCT($J$73:CB$73,$J14:CB14)&lt;0.5, "Pending", IF(CB14&lt;0.5, "Complete", "In Progress"))</f>
        <v>#REF!</v>
      </c>
      <c r="CD14" s="24"/>
      <c r="CE14" s="25">
        <f>SUMPRODUCT($H$73:AY$73,$H14:AY14)</f>
        <v>2</v>
      </c>
    </row>
    <row r="15" spans="1:83" x14ac:dyDescent="0.2">
      <c r="A15" s="16"/>
      <c r="B15" s="16" t="s">
        <v>177</v>
      </c>
      <c r="C15" s="16" t="s">
        <v>161</v>
      </c>
      <c r="D15" s="17" t="s">
        <v>165</v>
      </c>
      <c r="E15" s="178" t="s">
        <v>176</v>
      </c>
      <c r="F15" s="18" t="s">
        <v>163</v>
      </c>
      <c r="G15" s="19" t="str">
        <f t="shared" ca="1" si="0"/>
        <v>Complete</v>
      </c>
      <c r="H15" s="20">
        <v>1</v>
      </c>
      <c r="I15" s="21">
        <v>2.5</v>
      </c>
      <c r="J15" s="22">
        <v>3</v>
      </c>
      <c r="K15" s="22">
        <f t="shared" si="47"/>
        <v>0</v>
      </c>
      <c r="L15" s="23" t="str">
        <f>IF(SUMPRODUCT($J$73:K$73,$J15:K15)&lt;0.5, "Pending", IF(K15&lt;0.5, "Complete", "In Progress"))</f>
        <v>Complete</v>
      </c>
      <c r="M15" s="22">
        <v>0</v>
      </c>
      <c r="N15" s="22">
        <f t="shared" si="48"/>
        <v>0</v>
      </c>
      <c r="O15" s="23" t="str">
        <f>IF(SUMPRODUCT($J$73:N$73,$J15:N15)&lt;0.5, "Pending", IF(N15&lt;0.5, "Complete", "In Progress"))</f>
        <v>Complete</v>
      </c>
      <c r="P15" s="22">
        <v>0</v>
      </c>
      <c r="Q15" s="22">
        <f t="shared" si="49"/>
        <v>0</v>
      </c>
      <c r="R15" s="23" t="str">
        <f>IF(SUMPRODUCT($J$73:Q$73,$J15:Q15)&lt;0.5, "Pending", IF(Q15&lt;0.5, "Complete", "In Progress"))</f>
        <v>Complete</v>
      </c>
      <c r="S15" s="22">
        <v>0</v>
      </c>
      <c r="T15" s="22">
        <f t="shared" si="50"/>
        <v>0</v>
      </c>
      <c r="U15" s="23" t="str">
        <f>IF(SUMPRODUCT($J$73:T$73,$J15:T15)&lt;0.5, "Pending", IF(T15&lt;0.5, "Complete", "In Progress"))</f>
        <v>Complete</v>
      </c>
      <c r="V15" s="22">
        <v>0</v>
      </c>
      <c r="W15" s="22">
        <f t="shared" si="51"/>
        <v>0</v>
      </c>
      <c r="X15" s="23" t="str">
        <f>IF(SUMPRODUCT($J$73:W$73,$J15:W15)&lt;0.5, "Pending", IF(W15&lt;0.5, "Complete", "In Progress"))</f>
        <v>Complete</v>
      </c>
      <c r="Y15" s="22">
        <v>0</v>
      </c>
      <c r="Z15" s="22">
        <f t="shared" si="52"/>
        <v>0</v>
      </c>
      <c r="AA15" s="23" t="str">
        <f>IF(SUMPRODUCT($J$73:Z$73,$J15:Z15)&lt;0.5, "Pending", IF(Z15&lt;0.5, "Complete", "In Progress"))</f>
        <v>Complete</v>
      </c>
      <c r="AB15" s="22">
        <v>0</v>
      </c>
      <c r="AC15" s="22">
        <f t="shared" si="53"/>
        <v>0</v>
      </c>
      <c r="AD15" s="23" t="str">
        <f>IF(SUMPRODUCT($J$73:AC$73,$J15:AC15)&lt;0.5, "Pending", IF(AC15&lt;0.5, "Complete", "In Progress"))</f>
        <v>Complete</v>
      </c>
      <c r="AE15" s="22">
        <v>0</v>
      </c>
      <c r="AF15" s="22">
        <f t="shared" si="54"/>
        <v>0</v>
      </c>
      <c r="AG15" s="23" t="str">
        <f>IF(SUMPRODUCT($J$73:AF$73,$J15:AF15)&lt;0.5, "Pending", IF(AF15&lt;0.5, "Complete", "In Progress"))</f>
        <v>Complete</v>
      </c>
      <c r="AH15" s="22">
        <v>0</v>
      </c>
      <c r="AI15" s="22">
        <f t="shared" si="55"/>
        <v>0</v>
      </c>
      <c r="AJ15" s="23" t="str">
        <f>IF(SUMPRODUCT($J$73:AI$73,$J15:AI15)&lt;0.5, "Pending", IF(AI15&lt;0.5, "Complete", "In Progress"))</f>
        <v>Complete</v>
      </c>
      <c r="AK15" s="22">
        <v>0</v>
      </c>
      <c r="AL15" s="22">
        <f t="shared" si="56"/>
        <v>0</v>
      </c>
      <c r="AM15" s="23" t="str">
        <f>IF(SUMPRODUCT($J$73:AL$73,$J15:AL15)&lt;0.5, "Pending", IF(AL15&lt;0.5, "Complete", "In Progress"))</f>
        <v>Complete</v>
      </c>
      <c r="AN15" s="22">
        <v>0</v>
      </c>
      <c r="AO15" s="22">
        <f t="shared" si="57"/>
        <v>0</v>
      </c>
      <c r="AP15" s="23" t="str">
        <f>IF(SUMPRODUCT($J$73:AO$73,$J15:AO15)&lt;0.5, "Pending", IF(AO15&lt;0.5, "Complete", "In Progress"))</f>
        <v>Complete</v>
      </c>
      <c r="AQ15" s="22">
        <v>0</v>
      </c>
      <c r="AR15" s="22">
        <f t="shared" si="58"/>
        <v>0</v>
      </c>
      <c r="AS15" s="23" t="str">
        <f>IF(SUMPRODUCT($J$73:AR$73,$J15:AR15)&lt;0.5, "Pending", IF(AR15&lt;0.5, "Complete", "In Progress"))</f>
        <v>Complete</v>
      </c>
      <c r="AT15" s="22">
        <v>0</v>
      </c>
      <c r="AU15" s="22">
        <f t="shared" si="59"/>
        <v>0</v>
      </c>
      <c r="AV15" s="23" t="str">
        <f>IF(SUMPRODUCT($J$73:AU$73,$J15:AU15)&lt;0.5, "Pending", IF(AU15&lt;0.5, "Complete", "In Progress"))</f>
        <v>Complete</v>
      </c>
      <c r="AW15" s="22">
        <v>0</v>
      </c>
      <c r="AX15" s="22">
        <f t="shared" si="60"/>
        <v>0</v>
      </c>
      <c r="AY15" s="23" t="str">
        <f>IF(SUMPRODUCT($J$73:AX$73,$J15:AX15)&lt;0.5,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IF(SUMPRODUCT($J$73:BA$73,$J15:BA15)&lt;0.5,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IF(SUMPRODUCT($J$73:BD$73,$J15:BD15)&lt;0.5,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IF(SUMPRODUCT($J$73:BG$73,$J15:BG15)&lt;0.5,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IF(SUMPRODUCT($J$73:BJ$73,$J15:BJ15)&lt;0.5,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IF(SUMPRODUCT($J$73:BM$73,$J15:BM15)&lt;0.5,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IF(SUMPRODUCT($J$73:BP$73,$J15:BP15)&lt;0.5,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IF(SUMPRODUCT($J$73:BS$73,$J15:BS15)&lt;0.5,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IF(SUMPRODUCT($J$73:BV$73,$J15:BV15)&lt;0.5,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IF(SUMPRODUCT($J$73:BY$73,$J15:BY15)&lt;0.5,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IF(SUMPRODUCT($J$73:CB$73,$J15:CB15)&lt;0.5, "Pending", IF(CB15&lt;0.5, "Complete", "In Progress"))</f>
        <v>#REF!</v>
      </c>
      <c r="CD15" s="24"/>
      <c r="CE15" s="25">
        <f>SUMPRODUCT($H$73:AY$73,$H15:AY15)</f>
        <v>3</v>
      </c>
    </row>
    <row r="16" spans="1:83" x14ac:dyDescent="0.2">
      <c r="A16" s="16"/>
      <c r="B16" s="16" t="s">
        <v>123</v>
      </c>
      <c r="C16" s="16" t="s">
        <v>161</v>
      </c>
      <c r="D16" s="17" t="s">
        <v>166</v>
      </c>
      <c r="E16" s="178" t="s">
        <v>141</v>
      </c>
      <c r="F16" s="18" t="s">
        <v>116</v>
      </c>
      <c r="G16" s="19" t="str">
        <f t="shared" ca="1" si="0"/>
        <v>Pending</v>
      </c>
      <c r="H16" s="20">
        <v>1</v>
      </c>
      <c r="I16" s="21">
        <v>1</v>
      </c>
      <c r="J16" s="22">
        <v>0</v>
      </c>
      <c r="K16" s="22">
        <f t="shared" si="24"/>
        <v>1</v>
      </c>
      <c r="L16" s="23" t="str">
        <f>IF(SUMPRODUCT($J$73:K$73,$J16:K16)&lt;0.5, "Pending", IF(K16&lt;0.5, "Complete", "In Progress"))</f>
        <v>Pending</v>
      </c>
      <c r="M16" s="22">
        <v>0</v>
      </c>
      <c r="N16" s="22">
        <f t="shared" si="25"/>
        <v>1</v>
      </c>
      <c r="O16" s="23" t="str">
        <f>IF(SUMPRODUCT($J$73:N$73,$J16:N16)&lt;0.5, "Pending", IF(N16&lt;0.5, "Complete", "In Progress"))</f>
        <v>Pending</v>
      </c>
      <c r="P16" s="22">
        <v>0</v>
      </c>
      <c r="Q16" s="22">
        <f t="shared" si="26"/>
        <v>1</v>
      </c>
      <c r="R16" s="23" t="str">
        <f>IF(SUMPRODUCT($J$73:Q$73,$J16:Q16)&lt;0.5, "Pending", IF(Q16&lt;0.5, "Complete", "In Progress"))</f>
        <v>Pending</v>
      </c>
      <c r="S16" s="22">
        <v>0</v>
      </c>
      <c r="T16" s="22">
        <f t="shared" si="27"/>
        <v>1</v>
      </c>
      <c r="U16" s="23" t="str">
        <f>IF(SUMPRODUCT($J$73:T$73,$J16:T16)&lt;0.5, "Pending", IF(T16&lt;0.5, "Complete", "In Progress"))</f>
        <v>Pending</v>
      </c>
      <c r="V16" s="22">
        <v>0</v>
      </c>
      <c r="W16" s="22">
        <f t="shared" si="28"/>
        <v>1</v>
      </c>
      <c r="X16" s="23" t="str">
        <f>IF(SUMPRODUCT($J$73:W$73,$J16:W16)&lt;0.5, "Pending", IF(W16&lt;0.5, "Complete", "In Progress"))</f>
        <v>Pending</v>
      </c>
      <c r="Y16" s="22">
        <v>0</v>
      </c>
      <c r="Z16" s="22">
        <f t="shared" si="29"/>
        <v>1</v>
      </c>
      <c r="AA16" s="23" t="str">
        <f>IF(SUMPRODUCT($J$73:Z$73,$J16:Z16)&lt;0.5, "Pending", IF(Z16&lt;0.5, "Complete", "In Progress"))</f>
        <v>Pending</v>
      </c>
      <c r="AB16" s="22">
        <v>0</v>
      </c>
      <c r="AC16" s="22">
        <f t="shared" si="30"/>
        <v>1</v>
      </c>
      <c r="AD16" s="23" t="str">
        <f>IF(SUMPRODUCT($J$73:AC$73,$J16:AC16)&lt;0.5, "Pending", IF(AC16&lt;0.5, "Complete", "In Progress"))</f>
        <v>Pending</v>
      </c>
      <c r="AE16" s="22">
        <v>0</v>
      </c>
      <c r="AF16" s="22">
        <f t="shared" si="31"/>
        <v>1</v>
      </c>
      <c r="AG16" s="23" t="str">
        <f>IF(SUMPRODUCT($J$73:AF$73,$J16:AF16)&lt;0.5, "Pending", IF(AF16&lt;0.5, "Complete", "In Progress"))</f>
        <v>Pending</v>
      </c>
      <c r="AH16" s="22">
        <v>0</v>
      </c>
      <c r="AI16" s="22">
        <f t="shared" si="32"/>
        <v>1</v>
      </c>
      <c r="AJ16" s="23" t="str">
        <f>IF(SUMPRODUCT($J$73:AI$73,$J16:AI16)&lt;0.5, "Pending", IF(AI16&lt;0.5, "Complete", "In Progress"))</f>
        <v>Pending</v>
      </c>
      <c r="AK16" s="22">
        <v>0</v>
      </c>
      <c r="AL16" s="22">
        <f t="shared" si="33"/>
        <v>1</v>
      </c>
      <c r="AM16" s="23" t="str">
        <f>IF(SUMPRODUCT($J$73:AL$73,$J16:AL16)&lt;0.5, "Pending", IF(AL16&lt;0.5, "Complete", "In Progress"))</f>
        <v>Pending</v>
      </c>
      <c r="AN16" s="22">
        <v>0</v>
      </c>
      <c r="AO16" s="22">
        <f t="shared" si="34"/>
        <v>1</v>
      </c>
      <c r="AP16" s="23" t="str">
        <f>IF(SUMPRODUCT($J$73:AO$73,$J16:AO16)&lt;0.5, "Pending", IF(AO16&lt;0.5, "Complete", "In Progress"))</f>
        <v>Pending</v>
      </c>
      <c r="AQ16" s="22">
        <v>0</v>
      </c>
      <c r="AR16" s="22">
        <f t="shared" si="35"/>
        <v>1</v>
      </c>
      <c r="AS16" s="23" t="str">
        <f>IF(SUMPRODUCT($J$73:AR$73,$J16:AR16)&lt;0.5, "Pending", IF(AR16&lt;0.5, "Complete", "In Progress"))</f>
        <v>Pending</v>
      </c>
      <c r="AT16" s="22">
        <v>0</v>
      </c>
      <c r="AU16" s="22">
        <f t="shared" si="36"/>
        <v>1</v>
      </c>
      <c r="AV16" s="23" t="str">
        <f>IF(SUMPRODUCT($J$73:AU$73,$J16:AU16)&lt;0.5, "Pending", IF(AU16&lt;0.5, "Complete", "In Progress"))</f>
        <v>Pending</v>
      </c>
      <c r="AW16" s="22">
        <v>0</v>
      </c>
      <c r="AX16" s="22">
        <f t="shared" si="37"/>
        <v>1</v>
      </c>
      <c r="AY16" s="23" t="str">
        <f>IF(SUMPRODUCT($J$73:AX$73,$J16:AX16)&lt;0.5,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IF(SUMPRODUCT($J$73:BA$73,$J16:BA16)&lt;0.5,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IF(SUMPRODUCT($J$73:BD$73,$J16:BD16)&lt;0.5,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IF(SUMPRODUCT($J$73:BG$73,$J16:BG16)&lt;0.5,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IF(SUMPRODUCT($J$73:BJ$73,$J16:BJ16)&lt;0.5,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IF(SUMPRODUCT($J$73:BM$73,$J16:BM16)&lt;0.5,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IF(SUMPRODUCT($J$73:BP$73,$J16:BP16)&lt;0.5,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IF(SUMPRODUCT($J$73:BS$73,$J16:BS16)&lt;0.5,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IF(SUMPRODUCT($J$73:BV$73,$J16:BV16)&lt;0.5,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IF(SUMPRODUCT($J$73:BY$73,$J16:BY16)&lt;0.5,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IF(SUMPRODUCT($J$73:CB$73,$J16:CB16)&lt;0.5, "Pending", IF(CB16&lt;0.5, "Complete", "In Progress"))</f>
        <v>#REF!</v>
      </c>
      <c r="CD16" s="24"/>
      <c r="CE16" s="25">
        <f>SUMPRODUCT($H$73:AY$73,$H16:AY16)</f>
        <v>0</v>
      </c>
    </row>
    <row r="17" spans="1:83" x14ac:dyDescent="0.2">
      <c r="A17" s="16"/>
      <c r="B17" s="16" t="s">
        <v>123</v>
      </c>
      <c r="C17" s="16" t="s">
        <v>161</v>
      </c>
      <c r="D17" s="17" t="s">
        <v>167</v>
      </c>
      <c r="E17" s="178" t="s">
        <v>142</v>
      </c>
      <c r="F17" s="18" t="s">
        <v>115</v>
      </c>
      <c r="G17" s="19" t="str">
        <f t="shared" ca="1" si="0"/>
        <v>Complete</v>
      </c>
      <c r="H17" s="20">
        <v>1</v>
      </c>
      <c r="I17" s="21">
        <v>2</v>
      </c>
      <c r="J17" s="22">
        <v>2</v>
      </c>
      <c r="K17" s="22">
        <f t="shared" si="24"/>
        <v>0</v>
      </c>
      <c r="L17" s="23" t="str">
        <f>IF(SUMPRODUCT($J$73:K$73,$J17:K17)&lt;0.5, "Pending", IF(K17&lt;0.5, "Complete", "In Progress"))</f>
        <v>Complete</v>
      </c>
      <c r="M17" s="22">
        <v>0</v>
      </c>
      <c r="N17" s="22">
        <f t="shared" si="25"/>
        <v>0</v>
      </c>
      <c r="O17" s="23" t="str">
        <f>IF(SUMPRODUCT($J$73:N$73,$J17:N17)&lt;0.5, "Pending", IF(N17&lt;0.5, "Complete", "In Progress"))</f>
        <v>Complete</v>
      </c>
      <c r="P17" s="22">
        <v>2</v>
      </c>
      <c r="Q17" s="22">
        <f t="shared" si="26"/>
        <v>0</v>
      </c>
      <c r="R17" s="23" t="str">
        <f>IF(SUMPRODUCT($J$73:Q$73,$J17:Q17)&lt;0.5, "Pending", IF(Q17&lt;0.5, "Complete", "In Progress"))</f>
        <v>Complete</v>
      </c>
      <c r="S17" s="22">
        <v>0</v>
      </c>
      <c r="T17" s="22">
        <f t="shared" si="27"/>
        <v>0</v>
      </c>
      <c r="U17" s="23" t="str">
        <f>IF(SUMPRODUCT($J$73:T$73,$J17:T17)&lt;0.5, "Pending", IF(T17&lt;0.5, "Complete", "In Progress"))</f>
        <v>Complete</v>
      </c>
      <c r="V17" s="22">
        <v>0</v>
      </c>
      <c r="W17" s="22">
        <f t="shared" si="28"/>
        <v>0</v>
      </c>
      <c r="X17" s="23" t="str">
        <f>IF(SUMPRODUCT($J$73:W$73,$J17:W17)&lt;0.5, "Pending", IF(W17&lt;0.5, "Complete", "In Progress"))</f>
        <v>Complete</v>
      </c>
      <c r="Y17" s="22">
        <v>0</v>
      </c>
      <c r="Z17" s="22">
        <f t="shared" si="29"/>
        <v>0</v>
      </c>
      <c r="AA17" s="23" t="str">
        <f>IF(SUMPRODUCT($J$73:Z$73,$J17:Z17)&lt;0.5, "Pending", IF(Z17&lt;0.5, "Complete", "In Progress"))</f>
        <v>Complete</v>
      </c>
      <c r="AB17" s="22">
        <v>0</v>
      </c>
      <c r="AC17" s="22">
        <f t="shared" si="30"/>
        <v>0</v>
      </c>
      <c r="AD17" s="23" t="str">
        <f>IF(SUMPRODUCT($J$73:AC$73,$J17:AC17)&lt;0.5, "Pending", IF(AC17&lt;0.5, "Complete", "In Progress"))</f>
        <v>Complete</v>
      </c>
      <c r="AE17" s="22">
        <v>0</v>
      </c>
      <c r="AF17" s="22">
        <f t="shared" si="31"/>
        <v>0</v>
      </c>
      <c r="AG17" s="23" t="str">
        <f>IF(SUMPRODUCT($J$73:AF$73,$J17:AF17)&lt;0.5, "Pending", IF(AF17&lt;0.5, "Complete", "In Progress"))</f>
        <v>Complete</v>
      </c>
      <c r="AH17" s="22">
        <v>0</v>
      </c>
      <c r="AI17" s="22">
        <f t="shared" si="32"/>
        <v>0</v>
      </c>
      <c r="AJ17" s="23" t="str">
        <f>IF(SUMPRODUCT($J$73:AI$73,$J17:AI17)&lt;0.5, "Pending", IF(AI17&lt;0.5, "Complete", "In Progress"))</f>
        <v>Complete</v>
      </c>
      <c r="AK17" s="22">
        <v>0</v>
      </c>
      <c r="AL17" s="22">
        <f t="shared" si="33"/>
        <v>0</v>
      </c>
      <c r="AM17" s="23" t="str">
        <f>IF(SUMPRODUCT($J$73:AL$73,$J17:AL17)&lt;0.5, "Pending", IF(AL17&lt;0.5, "Complete", "In Progress"))</f>
        <v>Complete</v>
      </c>
      <c r="AN17" s="22">
        <v>0</v>
      </c>
      <c r="AO17" s="22">
        <f t="shared" si="34"/>
        <v>0</v>
      </c>
      <c r="AP17" s="23" t="str">
        <f>IF(SUMPRODUCT($J$73:AO$73,$J17:AO17)&lt;0.5, "Pending", IF(AO17&lt;0.5, "Complete", "In Progress"))</f>
        <v>Complete</v>
      </c>
      <c r="AQ17" s="22">
        <v>0</v>
      </c>
      <c r="AR17" s="22">
        <f t="shared" si="35"/>
        <v>0</v>
      </c>
      <c r="AS17" s="23" t="str">
        <f>IF(SUMPRODUCT($J$73:AR$73,$J17:AR17)&lt;0.5, "Pending", IF(AR17&lt;0.5, "Complete", "In Progress"))</f>
        <v>Complete</v>
      </c>
      <c r="AT17" s="22">
        <v>0</v>
      </c>
      <c r="AU17" s="22">
        <f t="shared" si="36"/>
        <v>0</v>
      </c>
      <c r="AV17" s="23" t="str">
        <f>IF(SUMPRODUCT($J$73:AU$73,$J17:AU17)&lt;0.5, "Pending", IF(AU17&lt;0.5, "Complete", "In Progress"))</f>
        <v>Complete</v>
      </c>
      <c r="AW17" s="22">
        <v>0</v>
      </c>
      <c r="AX17" s="22">
        <f t="shared" si="37"/>
        <v>0</v>
      </c>
      <c r="AY17" s="23" t="str">
        <f>IF(SUMPRODUCT($J$73:AX$73,$J17:AX17)&lt;0.5,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IF(SUMPRODUCT($J$73:BA$73,$J17:BA17)&lt;0.5,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IF(SUMPRODUCT($J$73:BD$73,$J17:BD17)&lt;0.5,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IF(SUMPRODUCT($J$73:BG$73,$J17:BG17)&lt;0.5,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IF(SUMPRODUCT($J$73:BJ$73,$J17:BJ17)&lt;0.5,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IF(SUMPRODUCT($J$73:BM$73,$J17:BM17)&lt;0.5,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IF(SUMPRODUCT($J$73:BP$73,$J17:BP17)&lt;0.5,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IF(SUMPRODUCT($J$73:BS$73,$J17:BS17)&lt;0.5,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IF(SUMPRODUCT($J$73:BV$73,$J17:BV17)&lt;0.5,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IF(SUMPRODUCT($J$73:BY$73,$J17:BY17)&lt;0.5,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IF(SUMPRODUCT($J$73:CB$73,$J17:CB17)&lt;0.5, "Pending", IF(CB17&lt;0.5, "Complete", "In Progress"))</f>
        <v>#REF!</v>
      </c>
      <c r="CD17" s="24"/>
      <c r="CE17" s="25">
        <f>SUMPRODUCT($H$73:AY$73,$H17:AY17)</f>
        <v>4</v>
      </c>
    </row>
    <row r="18" spans="1:83" x14ac:dyDescent="0.2">
      <c r="A18" s="16"/>
      <c r="B18" s="16" t="s">
        <v>123</v>
      </c>
      <c r="C18" s="16" t="s">
        <v>161</v>
      </c>
      <c r="D18" s="17" t="s">
        <v>174</v>
      </c>
      <c r="E18" s="178" t="s">
        <v>143</v>
      </c>
      <c r="F18" s="18" t="s">
        <v>116</v>
      </c>
      <c r="G18" s="19" t="str">
        <f t="shared" ca="1" si="0"/>
        <v>Complete</v>
      </c>
      <c r="H18" s="20">
        <v>1</v>
      </c>
      <c r="I18" s="21">
        <v>2</v>
      </c>
      <c r="J18" s="22">
        <v>2</v>
      </c>
      <c r="K18" s="22">
        <f t="shared" si="24"/>
        <v>0</v>
      </c>
      <c r="L18" s="23" t="str">
        <f>IF(SUMPRODUCT($J$73:K$73,$J18:K18)&lt;0.5, "Pending", IF(K18&lt;0.5, "Complete", "In Progress"))</f>
        <v>Complete</v>
      </c>
      <c r="M18" s="22">
        <v>0</v>
      </c>
      <c r="N18" s="22">
        <f t="shared" si="25"/>
        <v>0</v>
      </c>
      <c r="O18" s="23" t="str">
        <f>IF(SUMPRODUCT($J$73:N$73,$J18:N18)&lt;0.5, "Pending", IF(N18&lt;0.5, "Complete", "In Progress"))</f>
        <v>Complete</v>
      </c>
      <c r="P18" s="22">
        <v>0</v>
      </c>
      <c r="Q18" s="22">
        <f t="shared" si="26"/>
        <v>0</v>
      </c>
      <c r="R18" s="23" t="str">
        <f>IF(SUMPRODUCT($J$73:Q$73,$J18:Q18)&lt;0.5, "Pending", IF(Q18&lt;0.5, "Complete", "In Progress"))</f>
        <v>Complete</v>
      </c>
      <c r="S18" s="22">
        <v>0</v>
      </c>
      <c r="T18" s="22">
        <f t="shared" si="27"/>
        <v>0</v>
      </c>
      <c r="U18" s="23" t="str">
        <f>IF(SUMPRODUCT($J$73:T$73,$J18:T18)&lt;0.5, "Pending", IF(T18&lt;0.5, "Complete", "In Progress"))</f>
        <v>Complete</v>
      </c>
      <c r="V18" s="22">
        <v>0</v>
      </c>
      <c r="W18" s="22">
        <f t="shared" si="28"/>
        <v>0</v>
      </c>
      <c r="X18" s="23" t="str">
        <f>IF(SUMPRODUCT($J$73:W$73,$J18:W18)&lt;0.5, "Pending", IF(W18&lt;0.5, "Complete", "In Progress"))</f>
        <v>Complete</v>
      </c>
      <c r="Y18" s="22">
        <v>0</v>
      </c>
      <c r="Z18" s="22">
        <f t="shared" si="29"/>
        <v>0</v>
      </c>
      <c r="AA18" s="23" t="str">
        <f>IF(SUMPRODUCT($J$73:Z$73,$J18:Z18)&lt;0.5, "Pending", IF(Z18&lt;0.5, "Complete", "In Progress"))</f>
        <v>Complete</v>
      </c>
      <c r="AB18" s="22">
        <v>0</v>
      </c>
      <c r="AC18" s="22">
        <f t="shared" si="30"/>
        <v>0</v>
      </c>
      <c r="AD18" s="23" t="str">
        <f>IF(SUMPRODUCT($J$73:AC$73,$J18:AC18)&lt;0.5, "Pending", IF(AC18&lt;0.5, "Complete", "In Progress"))</f>
        <v>Complete</v>
      </c>
      <c r="AE18" s="22">
        <v>0</v>
      </c>
      <c r="AF18" s="22">
        <f t="shared" si="31"/>
        <v>0</v>
      </c>
      <c r="AG18" s="23" t="str">
        <f>IF(SUMPRODUCT($J$73:AF$73,$J18:AF18)&lt;0.5, "Pending", IF(AF18&lt;0.5, "Complete", "In Progress"))</f>
        <v>Complete</v>
      </c>
      <c r="AH18" s="22">
        <v>0</v>
      </c>
      <c r="AI18" s="22">
        <f t="shared" si="32"/>
        <v>0</v>
      </c>
      <c r="AJ18" s="23" t="str">
        <f>IF(SUMPRODUCT($J$73:AI$73,$J18:AI18)&lt;0.5, "Pending", IF(AI18&lt;0.5, "Complete", "In Progress"))</f>
        <v>Complete</v>
      </c>
      <c r="AK18" s="22">
        <v>0</v>
      </c>
      <c r="AL18" s="22">
        <f t="shared" si="33"/>
        <v>0</v>
      </c>
      <c r="AM18" s="23" t="str">
        <f>IF(SUMPRODUCT($J$73:AL$73,$J18:AL18)&lt;0.5, "Pending", IF(AL18&lt;0.5, "Complete", "In Progress"))</f>
        <v>Complete</v>
      </c>
      <c r="AN18" s="22">
        <v>0</v>
      </c>
      <c r="AO18" s="22">
        <f t="shared" si="34"/>
        <v>0</v>
      </c>
      <c r="AP18" s="23" t="str">
        <f>IF(SUMPRODUCT($J$73:AO$73,$J18:AO18)&lt;0.5, "Pending", IF(AO18&lt;0.5, "Complete", "In Progress"))</f>
        <v>Complete</v>
      </c>
      <c r="AQ18" s="22">
        <v>0</v>
      </c>
      <c r="AR18" s="22">
        <f t="shared" si="35"/>
        <v>0</v>
      </c>
      <c r="AS18" s="23" t="str">
        <f>IF(SUMPRODUCT($J$73:AR$73,$J18:AR18)&lt;0.5, "Pending", IF(AR18&lt;0.5, "Complete", "In Progress"))</f>
        <v>Complete</v>
      </c>
      <c r="AT18" s="22">
        <v>0</v>
      </c>
      <c r="AU18" s="22">
        <f t="shared" si="36"/>
        <v>0</v>
      </c>
      <c r="AV18" s="23" t="str">
        <f>IF(SUMPRODUCT($J$73:AU$73,$J18:AU18)&lt;0.5, "Pending", IF(AU18&lt;0.5, "Complete", "In Progress"))</f>
        <v>Complete</v>
      </c>
      <c r="AW18" s="22">
        <v>0</v>
      </c>
      <c r="AX18" s="22">
        <f t="shared" si="37"/>
        <v>0</v>
      </c>
      <c r="AY18" s="23" t="str">
        <f>IF(SUMPRODUCT($J$73:AX$73,$J18:AX18)&lt;0.5,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IF(SUMPRODUCT($J$73:BA$73,$J18:BA18)&lt;0.5,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IF(SUMPRODUCT($J$73:BD$73,$J18:BD18)&lt;0.5,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IF(SUMPRODUCT($J$73:BG$73,$J18:BG18)&lt;0.5,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IF(SUMPRODUCT($J$73:BJ$73,$J18:BJ18)&lt;0.5,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IF(SUMPRODUCT($J$73:BM$73,$J18:BM18)&lt;0.5,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IF(SUMPRODUCT($J$73:BP$73,$J18:BP18)&lt;0.5,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IF(SUMPRODUCT($J$73:BS$73,$J18:BS18)&lt;0.5,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IF(SUMPRODUCT($J$73:BV$73,$J18:BV18)&lt;0.5,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IF(SUMPRODUCT($J$73:BY$73,$J18:BY18)&lt;0.5,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IF(SUMPRODUCT($J$73:CB$73,$J18:CB18)&lt;0.5, "Pending", IF(CB18&lt;0.5, "Complete", "In Progress"))</f>
        <v>#REF!</v>
      </c>
      <c r="CD18" s="24"/>
      <c r="CE18" s="25">
        <f>SUMPRODUCT($H$73:AY$73,$H18:AY18)</f>
        <v>2</v>
      </c>
    </row>
    <row r="19" spans="1:83" x14ac:dyDescent="0.2">
      <c r="A19" s="16"/>
      <c r="B19" s="16" t="s">
        <v>126</v>
      </c>
      <c r="C19" s="16" t="s">
        <v>161</v>
      </c>
      <c r="D19" s="17" t="s">
        <v>179</v>
      </c>
      <c r="E19" s="178" t="s">
        <v>144</v>
      </c>
      <c r="F19" s="18" t="s">
        <v>115</v>
      </c>
      <c r="G19" s="19" t="str">
        <f t="shared" ca="1" si="0"/>
        <v>Complete</v>
      </c>
      <c r="H19" s="20">
        <v>1</v>
      </c>
      <c r="I19" s="21">
        <v>2</v>
      </c>
      <c r="J19" s="22">
        <v>2</v>
      </c>
      <c r="K19" s="22">
        <f t="shared" ref="K19" si="93">MAX(I19-J19, 0)</f>
        <v>0</v>
      </c>
      <c r="L19" s="23" t="str">
        <f>IF(SUMPRODUCT($J$73:K$73,$J19:K19)&lt;0.5, "Pending", IF(K19&lt;0.5, "Complete", "In Progress"))</f>
        <v>Complete</v>
      </c>
      <c r="M19" s="22">
        <v>0</v>
      </c>
      <c r="N19" s="22">
        <f t="shared" ref="N19" si="94">MAX(K19-M19,0)</f>
        <v>0</v>
      </c>
      <c r="O19" s="23" t="str">
        <f>IF(SUMPRODUCT($J$73:N$73,$J19:N19)&lt;0.5, "Pending", IF(N19&lt;0.5, "Complete", "In Progress"))</f>
        <v>Complete</v>
      </c>
      <c r="P19" s="22">
        <v>0</v>
      </c>
      <c r="Q19" s="22">
        <f t="shared" ref="Q19" si="95">MAX(N19-P19,0)</f>
        <v>0</v>
      </c>
      <c r="R19" s="23" t="str">
        <f>IF(SUMPRODUCT($J$73:Q$73,$J19:Q19)&lt;0.5, "Pending", IF(Q19&lt;0.5, "Complete", "In Progress"))</f>
        <v>Complete</v>
      </c>
      <c r="S19" s="22">
        <v>0</v>
      </c>
      <c r="T19" s="22">
        <f t="shared" ref="T19" si="96">MAX(Q19-S19,0)</f>
        <v>0</v>
      </c>
      <c r="U19" s="23" t="str">
        <f>IF(SUMPRODUCT($J$73:T$73,$J19:T19)&lt;0.5, "Pending", IF(T19&lt;0.5, "Complete", "In Progress"))</f>
        <v>Complete</v>
      </c>
      <c r="V19" s="22">
        <v>0</v>
      </c>
      <c r="W19" s="22">
        <f t="shared" ref="W19" si="97">MAX(T19-V19,0)</f>
        <v>0</v>
      </c>
      <c r="X19" s="23" t="str">
        <f>IF(SUMPRODUCT($J$73:W$73,$J19:W19)&lt;0.5, "Pending", IF(W19&lt;0.5, "Complete", "In Progress"))</f>
        <v>Complete</v>
      </c>
      <c r="Y19" s="22">
        <v>0</v>
      </c>
      <c r="Z19" s="22">
        <f t="shared" ref="Z19" si="98">MAX(W19-Y19,0)</f>
        <v>0</v>
      </c>
      <c r="AA19" s="23" t="str">
        <f>IF(SUMPRODUCT($J$73:Z$73,$J19:Z19)&lt;0.5, "Pending", IF(Z19&lt;0.5, "Complete", "In Progress"))</f>
        <v>Complete</v>
      </c>
      <c r="AB19" s="22">
        <v>0</v>
      </c>
      <c r="AC19" s="22">
        <f t="shared" ref="AC19" si="99">MAX(Z19-AB19,0)</f>
        <v>0</v>
      </c>
      <c r="AD19" s="23" t="str">
        <f>IF(SUMPRODUCT($J$73:AC$73,$J19:AC19)&lt;0.5, "Pending", IF(AC19&lt;0.5, "Complete", "In Progress"))</f>
        <v>Complete</v>
      </c>
      <c r="AE19" s="22">
        <v>0</v>
      </c>
      <c r="AF19" s="22">
        <f t="shared" ref="AF19" si="100">MAX(AC19-AE19,0)</f>
        <v>0</v>
      </c>
      <c r="AG19" s="23" t="str">
        <f>IF(SUMPRODUCT($J$73:AF$73,$J19:AF19)&lt;0.5, "Pending", IF(AF19&lt;0.5, "Complete", "In Progress"))</f>
        <v>Complete</v>
      </c>
      <c r="AH19" s="22">
        <v>0</v>
      </c>
      <c r="AI19" s="22">
        <f t="shared" ref="AI19" si="101">MAX(AF19-AH19,0)</f>
        <v>0</v>
      </c>
      <c r="AJ19" s="23" t="str">
        <f>IF(SUMPRODUCT($J$73:AI$73,$J19:AI19)&lt;0.5, "Pending", IF(AI19&lt;0.5, "Complete", "In Progress"))</f>
        <v>Complete</v>
      </c>
      <c r="AK19" s="22">
        <v>0</v>
      </c>
      <c r="AL19" s="22">
        <f t="shared" ref="AL19" si="102">MAX(AI19-AK19,0)</f>
        <v>0</v>
      </c>
      <c r="AM19" s="23" t="str">
        <f>IF(SUMPRODUCT($J$73:AL$73,$J19:AL19)&lt;0.5, "Pending", IF(AL19&lt;0.5, "Complete", "In Progress"))</f>
        <v>Complete</v>
      </c>
      <c r="AN19" s="22">
        <v>0</v>
      </c>
      <c r="AO19" s="22">
        <f t="shared" ref="AO19" si="103">MAX(AL19-AN19,0)</f>
        <v>0</v>
      </c>
      <c r="AP19" s="23" t="str">
        <f>IF(SUMPRODUCT($J$73:AO$73,$J19:AO19)&lt;0.5, "Pending", IF(AO19&lt;0.5, "Complete", "In Progress"))</f>
        <v>Complete</v>
      </c>
      <c r="AQ19" s="22">
        <v>0</v>
      </c>
      <c r="AR19" s="22">
        <f t="shared" ref="AR19" si="104">MAX(AO19-AQ19,0)</f>
        <v>0</v>
      </c>
      <c r="AS19" s="23" t="str">
        <f>IF(SUMPRODUCT($J$73:AR$73,$J19:AR19)&lt;0.5, "Pending", IF(AR19&lt;0.5, "Complete", "In Progress"))</f>
        <v>Complete</v>
      </c>
      <c r="AT19" s="22">
        <v>0</v>
      </c>
      <c r="AU19" s="22">
        <f t="shared" ref="AU19" si="105">MAX(AR19-AT19,0)</f>
        <v>0</v>
      </c>
      <c r="AV19" s="23" t="str">
        <f>IF(SUMPRODUCT($J$73:AU$73,$J19:AU19)&lt;0.5, "Pending", IF(AU19&lt;0.5, "Complete", "In Progress"))</f>
        <v>Complete</v>
      </c>
      <c r="AW19" s="22">
        <v>0</v>
      </c>
      <c r="AX19" s="22">
        <f t="shared" ref="AX19" si="106">MAX(AU19-AW19,0)</f>
        <v>0</v>
      </c>
      <c r="AY19" s="23" t="str">
        <f>IF(SUMPRODUCT($J$73:AX$73,$J19:AX19)&lt;0.5,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IF(SUMPRODUCT($J$73:BA$73,$J19:BA19)&lt;0.5,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IF(SUMPRODUCT($J$73:BD$73,$J19:BD19)&lt;0.5,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IF(SUMPRODUCT($J$73:BG$73,$J19:BG19)&lt;0.5,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IF(SUMPRODUCT($J$73:BJ$73,$J19:BJ19)&lt;0.5,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IF(SUMPRODUCT($J$73:BM$73,$J19:BM19)&lt;0.5,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IF(SUMPRODUCT($J$73:BP$73,$J19:BP19)&lt;0.5,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IF(SUMPRODUCT($J$73:BS$73,$J19:BS19)&lt;0.5,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IF(SUMPRODUCT($J$73:BV$73,$J19:BV19)&lt;0.5,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IF(SUMPRODUCT($J$73:BY$73,$J19:BY19)&lt;0.5,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IF(SUMPRODUCT($J$73:CB$73,$J19:CB19)&lt;0.5, "Pending", IF(CB19&lt;0.5, "Complete", "In Progress"))</f>
        <v>#REF!</v>
      </c>
      <c r="CD19" s="24"/>
      <c r="CE19" s="25">
        <f>SUMPRODUCT($H$73:AY$73,$H19:AY19)</f>
        <v>2</v>
      </c>
    </row>
    <row r="20" spans="1:83" x14ac:dyDescent="0.2">
      <c r="A20" s="16"/>
      <c r="B20" s="16" t="s">
        <v>124</v>
      </c>
      <c r="C20" s="16" t="s">
        <v>161</v>
      </c>
      <c r="D20" s="17" t="s">
        <v>180</v>
      </c>
      <c r="E20" s="178" t="s">
        <v>164</v>
      </c>
      <c r="F20" s="18" t="s">
        <v>118</v>
      </c>
      <c r="G20" s="19" t="str">
        <f t="shared" ca="1" si="0"/>
        <v>In Progress</v>
      </c>
      <c r="H20" s="20">
        <v>1</v>
      </c>
      <c r="I20" s="21">
        <v>14</v>
      </c>
      <c r="J20" s="22">
        <v>12</v>
      </c>
      <c r="K20" s="22">
        <f t="shared" si="24"/>
        <v>2</v>
      </c>
      <c r="L20" s="23" t="str">
        <f>IF(SUMPRODUCT($J$73:K$73,$J20:K20)&lt;0.5, "Pending", IF(K20&lt;0.5, "Complete", "In Progress"))</f>
        <v>In Progress</v>
      </c>
      <c r="M20" s="22">
        <v>0</v>
      </c>
      <c r="N20" s="22">
        <f t="shared" si="25"/>
        <v>2</v>
      </c>
      <c r="O20" s="23" t="str">
        <f>IF(SUMPRODUCT($J$73:N$73,$J20:N20)&lt;0.5, "Pending", IF(N20&lt;0.5, "Complete", "In Progress"))</f>
        <v>In Progress</v>
      </c>
      <c r="P20" s="22">
        <v>0</v>
      </c>
      <c r="Q20" s="22">
        <f t="shared" si="26"/>
        <v>2</v>
      </c>
      <c r="R20" s="23" t="str">
        <f>IF(SUMPRODUCT($J$73:Q$73,$J20:Q20)&lt;0.5, "Pending", IF(Q20&lt;0.5, "Complete", "In Progress"))</f>
        <v>In Progress</v>
      </c>
      <c r="S20" s="22">
        <v>0</v>
      </c>
      <c r="T20" s="22">
        <f t="shared" si="27"/>
        <v>2</v>
      </c>
      <c r="U20" s="23" t="str">
        <f>IF(SUMPRODUCT($J$73:T$73,$J20:T20)&lt;0.5, "Pending", IF(T20&lt;0.5, "Complete", "In Progress"))</f>
        <v>In Progress</v>
      </c>
      <c r="V20" s="22">
        <v>0</v>
      </c>
      <c r="W20" s="22">
        <f t="shared" si="28"/>
        <v>2</v>
      </c>
      <c r="X20" s="23" t="str">
        <f>IF(SUMPRODUCT($J$73:W$73,$J20:W20)&lt;0.5, "Pending", IF(W20&lt;0.5, "Complete", "In Progress"))</f>
        <v>In Progress</v>
      </c>
      <c r="Y20" s="22">
        <v>0</v>
      </c>
      <c r="Z20" s="22">
        <f t="shared" si="29"/>
        <v>2</v>
      </c>
      <c r="AA20" s="23" t="str">
        <f>IF(SUMPRODUCT($J$73:Z$73,$J20:Z20)&lt;0.5, "Pending", IF(Z20&lt;0.5, "Complete", "In Progress"))</f>
        <v>In Progress</v>
      </c>
      <c r="AB20" s="22">
        <v>0</v>
      </c>
      <c r="AC20" s="22">
        <f t="shared" si="30"/>
        <v>2</v>
      </c>
      <c r="AD20" s="23" t="str">
        <f>IF(SUMPRODUCT($J$73:AC$73,$J20:AC20)&lt;0.5, "Pending", IF(AC20&lt;0.5, "Complete", "In Progress"))</f>
        <v>In Progress</v>
      </c>
      <c r="AE20" s="22">
        <v>0</v>
      </c>
      <c r="AF20" s="22">
        <f t="shared" si="31"/>
        <v>2</v>
      </c>
      <c r="AG20" s="23" t="str">
        <f>IF(SUMPRODUCT($J$73:AF$73,$J20:AF20)&lt;0.5, "Pending", IF(AF20&lt;0.5, "Complete", "In Progress"))</f>
        <v>In Progress</v>
      </c>
      <c r="AH20" s="22">
        <v>0</v>
      </c>
      <c r="AI20" s="22">
        <f t="shared" si="32"/>
        <v>2</v>
      </c>
      <c r="AJ20" s="23" t="str">
        <f>IF(SUMPRODUCT($J$73:AI$73,$J20:AI20)&lt;0.5, "Pending", IF(AI20&lt;0.5, "Complete", "In Progress"))</f>
        <v>In Progress</v>
      </c>
      <c r="AK20" s="22">
        <v>0</v>
      </c>
      <c r="AL20" s="22">
        <f t="shared" si="33"/>
        <v>2</v>
      </c>
      <c r="AM20" s="23" t="str">
        <f>IF(SUMPRODUCT($J$73:AL$73,$J20:AL20)&lt;0.5, "Pending", IF(AL20&lt;0.5, "Complete", "In Progress"))</f>
        <v>In Progress</v>
      </c>
      <c r="AN20" s="22">
        <v>0</v>
      </c>
      <c r="AO20" s="22">
        <f t="shared" si="34"/>
        <v>2</v>
      </c>
      <c r="AP20" s="23" t="str">
        <f>IF(SUMPRODUCT($J$73:AO$73,$J20:AO20)&lt;0.5, "Pending", IF(AO20&lt;0.5, "Complete", "In Progress"))</f>
        <v>In Progress</v>
      </c>
      <c r="AQ20" s="22">
        <v>0</v>
      </c>
      <c r="AR20" s="22">
        <f t="shared" si="35"/>
        <v>2</v>
      </c>
      <c r="AS20" s="23" t="str">
        <f>IF(SUMPRODUCT($J$73:AR$73,$J20:AR20)&lt;0.5, "Pending", IF(AR20&lt;0.5, "Complete", "In Progress"))</f>
        <v>In Progress</v>
      </c>
      <c r="AT20" s="22">
        <v>0</v>
      </c>
      <c r="AU20" s="22">
        <f t="shared" si="36"/>
        <v>2</v>
      </c>
      <c r="AV20" s="23" t="str">
        <f>IF(SUMPRODUCT($J$73:AU$73,$J20:AU20)&lt;0.5, "Pending", IF(AU20&lt;0.5, "Complete", "In Progress"))</f>
        <v>In Progress</v>
      </c>
      <c r="AW20" s="22">
        <v>0</v>
      </c>
      <c r="AX20" s="22">
        <f t="shared" si="37"/>
        <v>2</v>
      </c>
      <c r="AY20" s="23" t="str">
        <f>IF(SUMPRODUCT($J$73:AX$73,$J20:AX20)&lt;0.5, "Pending", IF(AX20&lt;0.5, "Complete", "In Progress"))</f>
        <v>In Progress</v>
      </c>
      <c r="AZ20" s="22">
        <v>0</v>
      </c>
      <c r="BA20" s="22" t="e">
        <f>MAX(#REF!-AZ20,0)</f>
        <v>#REF!</v>
      </c>
      <c r="BB20" s="23" t="e">
        <f>IF(SUMPRODUCT($J$73:BA$73,$J20:BA20)&lt;0.5,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IF(SUMPRODUCT($J$73:BD$73,$J20:BD20)&lt;0.5,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IF(SUMPRODUCT($J$73:BG$73,$J20:BG20)&lt;0.5,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IF(SUMPRODUCT($J$73:BJ$73,$J20:BJ20)&lt;0.5,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IF(SUMPRODUCT($J$73:BM$73,$J20:BM20)&lt;0.5,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IF(SUMPRODUCT($J$73:BP$73,$J20:BP20)&lt;0.5,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IF(SUMPRODUCT($J$73:BS$73,$J20:BS20)&lt;0.5,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IF(SUMPRODUCT($J$73:BV$73,$J20:BV20)&lt;0.5,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IF(SUMPRODUCT($J$73:BY$73,$J20:BY20)&lt;0.5,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IF(SUMPRODUCT($J$73:CB$73,$J20:CB20)&lt;0.5, "Pending", IF(CB20&lt;0.5, "Complete", "In Progress"))</f>
        <v>#REF!</v>
      </c>
      <c r="CD20" s="24"/>
      <c r="CE20" s="25">
        <f>SUMPRODUCT($H$73:AY$73,$H20:AY20)</f>
        <v>12</v>
      </c>
    </row>
    <row r="21" spans="1:83" x14ac:dyDescent="0.2">
      <c r="A21" s="16"/>
      <c r="B21" s="16" t="s">
        <v>123</v>
      </c>
      <c r="C21" s="16" t="s">
        <v>161</v>
      </c>
      <c r="D21" s="17" t="s">
        <v>169</v>
      </c>
      <c r="E21" s="178" t="s">
        <v>141</v>
      </c>
      <c r="F21" s="18" t="s">
        <v>116</v>
      </c>
      <c r="G21" s="19" t="str">
        <f t="shared" ca="1" si="0"/>
        <v>Pending</v>
      </c>
      <c r="H21" s="20">
        <v>1</v>
      </c>
      <c r="I21" s="21">
        <v>1</v>
      </c>
      <c r="J21" s="22">
        <v>0</v>
      </c>
      <c r="K21" s="22">
        <f t="shared" ref="K21:K22" si="116">MAX(I21-J21, 0)</f>
        <v>1</v>
      </c>
      <c r="L21" s="23" t="str">
        <f>IF(SUMPRODUCT($J$73:K$73,$J21:K21)&lt;0.5, "Pending", IF(K21&lt;0.5, "Complete", "In Progress"))</f>
        <v>Pending</v>
      </c>
      <c r="M21" s="22">
        <v>0</v>
      </c>
      <c r="N21" s="22">
        <f t="shared" ref="N21:N22" si="117">MAX(K21-M21,0)</f>
        <v>1</v>
      </c>
      <c r="O21" s="23" t="str">
        <f>IF(SUMPRODUCT($J$73:N$73,$J21:N21)&lt;0.5, "Pending", IF(N21&lt;0.5, "Complete", "In Progress"))</f>
        <v>Pending</v>
      </c>
      <c r="P21" s="22">
        <v>0</v>
      </c>
      <c r="Q21" s="22">
        <f t="shared" ref="Q21:Q22" si="118">MAX(N21-P21,0)</f>
        <v>1</v>
      </c>
      <c r="R21" s="23" t="str">
        <f>IF(SUMPRODUCT($J$73:Q$73,$J21:Q21)&lt;0.5, "Pending", IF(Q21&lt;0.5, "Complete", "In Progress"))</f>
        <v>Pending</v>
      </c>
      <c r="S21" s="22">
        <v>0</v>
      </c>
      <c r="T21" s="22">
        <f t="shared" ref="T21:T22" si="119">MAX(Q21-S21,0)</f>
        <v>1</v>
      </c>
      <c r="U21" s="23" t="str">
        <f>IF(SUMPRODUCT($J$73:T$73,$J21:T21)&lt;0.5, "Pending", IF(T21&lt;0.5, "Complete", "In Progress"))</f>
        <v>Pending</v>
      </c>
      <c r="V21" s="22">
        <v>0</v>
      </c>
      <c r="W21" s="22">
        <f t="shared" ref="W21:W22" si="120">MAX(T21-V21,0)</f>
        <v>1</v>
      </c>
      <c r="X21" s="23" t="str">
        <f>IF(SUMPRODUCT($J$73:W$73,$J21:W21)&lt;0.5, "Pending", IF(W21&lt;0.5, "Complete", "In Progress"))</f>
        <v>Pending</v>
      </c>
      <c r="Y21" s="22">
        <v>0</v>
      </c>
      <c r="Z21" s="22">
        <f t="shared" ref="Z21:Z22" si="121">MAX(W21-Y21,0)</f>
        <v>1</v>
      </c>
      <c r="AA21" s="23" t="str">
        <f>IF(SUMPRODUCT($J$73:Z$73,$J21:Z21)&lt;0.5, "Pending", IF(Z21&lt;0.5, "Complete", "In Progress"))</f>
        <v>Pending</v>
      </c>
      <c r="AB21" s="22">
        <v>0</v>
      </c>
      <c r="AC21" s="22">
        <f t="shared" ref="AC21:AC22" si="122">MAX(Z21-AB21,0)</f>
        <v>1</v>
      </c>
      <c r="AD21" s="23" t="str">
        <f>IF(SUMPRODUCT($J$73:AC$73,$J21:AC21)&lt;0.5, "Pending", IF(AC21&lt;0.5, "Complete", "In Progress"))</f>
        <v>Pending</v>
      </c>
      <c r="AE21" s="22">
        <v>0</v>
      </c>
      <c r="AF21" s="22">
        <f t="shared" ref="AF21:AF22" si="123">MAX(AC21-AE21,0)</f>
        <v>1</v>
      </c>
      <c r="AG21" s="23" t="str">
        <f>IF(SUMPRODUCT($J$73:AF$73,$J21:AF21)&lt;0.5, "Pending", IF(AF21&lt;0.5, "Complete", "In Progress"))</f>
        <v>Pending</v>
      </c>
      <c r="AH21" s="22">
        <v>0</v>
      </c>
      <c r="AI21" s="22">
        <f t="shared" ref="AI21:AI22" si="124">MAX(AF21-AH21,0)</f>
        <v>1</v>
      </c>
      <c r="AJ21" s="23" t="str">
        <f>IF(SUMPRODUCT($J$73:AI$73,$J21:AI21)&lt;0.5, "Pending", IF(AI21&lt;0.5, "Complete", "In Progress"))</f>
        <v>Pending</v>
      </c>
      <c r="AK21" s="22">
        <v>0</v>
      </c>
      <c r="AL21" s="22">
        <f t="shared" ref="AL21:AL22" si="125">MAX(AI21-AK21,0)</f>
        <v>1</v>
      </c>
      <c r="AM21" s="23" t="str">
        <f>IF(SUMPRODUCT($J$73:AL$73,$J21:AL21)&lt;0.5, "Pending", IF(AL21&lt;0.5, "Complete", "In Progress"))</f>
        <v>Pending</v>
      </c>
      <c r="AN21" s="22">
        <v>0</v>
      </c>
      <c r="AO21" s="22">
        <f t="shared" ref="AO21:AO22" si="126">MAX(AL21-AN21,0)</f>
        <v>1</v>
      </c>
      <c r="AP21" s="23" t="str">
        <f>IF(SUMPRODUCT($J$73:AO$73,$J21:AO21)&lt;0.5, "Pending", IF(AO21&lt;0.5, "Complete", "In Progress"))</f>
        <v>Pending</v>
      </c>
      <c r="AQ21" s="22">
        <v>0</v>
      </c>
      <c r="AR21" s="22">
        <f t="shared" ref="AR21:AR22" si="127">MAX(AO21-AQ21,0)</f>
        <v>1</v>
      </c>
      <c r="AS21" s="23" t="str">
        <f>IF(SUMPRODUCT($J$73:AR$73,$J21:AR21)&lt;0.5, "Pending", IF(AR21&lt;0.5, "Complete", "In Progress"))</f>
        <v>Pending</v>
      </c>
      <c r="AT21" s="22">
        <v>0</v>
      </c>
      <c r="AU21" s="22">
        <f t="shared" ref="AU21:AU22" si="128">MAX(AR21-AT21,0)</f>
        <v>1</v>
      </c>
      <c r="AV21" s="23" t="str">
        <f>IF(SUMPRODUCT($J$73:AU$73,$J21:AU21)&lt;0.5, "Pending", IF(AU21&lt;0.5, "Complete", "In Progress"))</f>
        <v>Pending</v>
      </c>
      <c r="AW21" s="22">
        <v>0</v>
      </c>
      <c r="AX21" s="22">
        <f t="shared" ref="AX21:AX22" si="129">MAX(AU21-AW21,0)</f>
        <v>1</v>
      </c>
      <c r="AY21" s="23" t="str">
        <f>IF(SUMPRODUCT($J$73:AX$73,$J21:AX21)&lt;0.5,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IF(SUMPRODUCT($J$73:BA$73,$J21:BA21)&lt;0.5,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IF(SUMPRODUCT($J$73:BD$73,$J21:BD21)&lt;0.5,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IF(SUMPRODUCT($J$73:BG$73,$J21:BG21)&lt;0.5,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IF(SUMPRODUCT($J$73:BJ$73,$J21:BJ21)&lt;0.5,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IF(SUMPRODUCT($J$73:BM$73,$J21:BM21)&lt;0.5,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IF(SUMPRODUCT($J$73:BP$73,$J21:BP21)&lt;0.5,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IF(SUMPRODUCT($J$73:BS$73,$J21:BS21)&lt;0.5,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IF(SUMPRODUCT($J$73:BV$73,$J21:BV21)&lt;0.5,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IF(SUMPRODUCT($J$73:BY$73,$J21:BY21)&lt;0.5,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IF(SUMPRODUCT($J$73:CB$73,$J21:CB21)&lt;0.5, "Pending", IF(CB21&lt;0.5, "Complete", "In Progress"))</f>
        <v>#REF!</v>
      </c>
      <c r="CD21" s="24"/>
      <c r="CE21" s="25">
        <f>SUMPRODUCT($H$73:AY$73,$H21:AY21)</f>
        <v>0</v>
      </c>
    </row>
    <row r="22" spans="1:83" x14ac:dyDescent="0.2">
      <c r="A22" s="16"/>
      <c r="B22" s="16" t="s">
        <v>124</v>
      </c>
      <c r="C22" s="16" t="s">
        <v>168</v>
      </c>
      <c r="D22" s="17" t="s">
        <v>170</v>
      </c>
      <c r="E22" s="178" t="s">
        <v>181</v>
      </c>
      <c r="F22" s="18" t="s">
        <v>163</v>
      </c>
      <c r="G22" s="19" t="str">
        <f t="shared" ca="1" si="0"/>
        <v>Complete</v>
      </c>
      <c r="H22" s="20">
        <v>1</v>
      </c>
      <c r="I22" s="21">
        <v>4</v>
      </c>
      <c r="J22" s="22">
        <v>4</v>
      </c>
      <c r="K22" s="22">
        <f t="shared" si="116"/>
        <v>0</v>
      </c>
      <c r="L22" s="23" t="str">
        <f>IF(SUMPRODUCT($J$73:K$73,$J22:K22)&lt;0.5, "Pending", IF(K22&lt;0.5, "Complete", "In Progress"))</f>
        <v>Complete</v>
      </c>
      <c r="M22" s="22">
        <v>0</v>
      </c>
      <c r="N22" s="22">
        <f t="shared" si="117"/>
        <v>0</v>
      </c>
      <c r="O22" s="23" t="str">
        <f>IF(SUMPRODUCT($J$73:N$73,$J22:N22)&lt;0.5, "Pending", IF(N22&lt;0.5, "Complete", "In Progress"))</f>
        <v>Complete</v>
      </c>
      <c r="P22" s="22">
        <v>0</v>
      </c>
      <c r="Q22" s="22">
        <f t="shared" si="118"/>
        <v>0</v>
      </c>
      <c r="R22" s="23" t="str">
        <f>IF(SUMPRODUCT($J$73:Q$73,$J22:Q22)&lt;0.5, "Pending", IF(Q22&lt;0.5, "Complete", "In Progress"))</f>
        <v>Complete</v>
      </c>
      <c r="S22" s="22">
        <v>0</v>
      </c>
      <c r="T22" s="22">
        <f t="shared" si="119"/>
        <v>0</v>
      </c>
      <c r="U22" s="23" t="str">
        <f>IF(SUMPRODUCT($J$73:T$73,$J22:T22)&lt;0.5, "Pending", IF(T22&lt;0.5, "Complete", "In Progress"))</f>
        <v>Complete</v>
      </c>
      <c r="V22" s="22">
        <v>0</v>
      </c>
      <c r="W22" s="22">
        <f t="shared" si="120"/>
        <v>0</v>
      </c>
      <c r="X22" s="23" t="str">
        <f>IF(SUMPRODUCT($J$73:W$73,$J22:W22)&lt;0.5, "Pending", IF(W22&lt;0.5, "Complete", "In Progress"))</f>
        <v>Complete</v>
      </c>
      <c r="Y22" s="22">
        <v>0</v>
      </c>
      <c r="Z22" s="22">
        <f t="shared" si="121"/>
        <v>0</v>
      </c>
      <c r="AA22" s="23" t="str">
        <f>IF(SUMPRODUCT($J$73:Z$73,$J22:Z22)&lt;0.5, "Pending", IF(Z22&lt;0.5, "Complete", "In Progress"))</f>
        <v>Complete</v>
      </c>
      <c r="AB22" s="22">
        <v>0</v>
      </c>
      <c r="AC22" s="22">
        <f t="shared" si="122"/>
        <v>0</v>
      </c>
      <c r="AD22" s="23" t="str">
        <f>IF(SUMPRODUCT($J$73:AC$73,$J22:AC22)&lt;0.5, "Pending", IF(AC22&lt;0.5, "Complete", "In Progress"))</f>
        <v>Complete</v>
      </c>
      <c r="AE22" s="22">
        <v>0</v>
      </c>
      <c r="AF22" s="22">
        <f t="shared" si="123"/>
        <v>0</v>
      </c>
      <c r="AG22" s="23" t="str">
        <f>IF(SUMPRODUCT($J$73:AF$73,$J22:AF22)&lt;0.5, "Pending", IF(AF22&lt;0.5, "Complete", "In Progress"))</f>
        <v>Complete</v>
      </c>
      <c r="AH22" s="22">
        <v>0</v>
      </c>
      <c r="AI22" s="22">
        <f t="shared" si="124"/>
        <v>0</v>
      </c>
      <c r="AJ22" s="23" t="str">
        <f>IF(SUMPRODUCT($J$73:AI$73,$J22:AI22)&lt;0.5, "Pending", IF(AI22&lt;0.5, "Complete", "In Progress"))</f>
        <v>Complete</v>
      </c>
      <c r="AK22" s="22">
        <v>0</v>
      </c>
      <c r="AL22" s="22">
        <f t="shared" si="125"/>
        <v>0</v>
      </c>
      <c r="AM22" s="23" t="str">
        <f>IF(SUMPRODUCT($J$73:AL$73,$J22:AL22)&lt;0.5, "Pending", IF(AL22&lt;0.5, "Complete", "In Progress"))</f>
        <v>Complete</v>
      </c>
      <c r="AN22" s="22">
        <v>0</v>
      </c>
      <c r="AO22" s="22">
        <f t="shared" si="126"/>
        <v>0</v>
      </c>
      <c r="AP22" s="23" t="str">
        <f>IF(SUMPRODUCT($J$73:AO$73,$J22:AO22)&lt;0.5, "Pending", IF(AO22&lt;0.5, "Complete", "In Progress"))</f>
        <v>Complete</v>
      </c>
      <c r="AQ22" s="22">
        <v>0</v>
      </c>
      <c r="AR22" s="22">
        <f t="shared" si="127"/>
        <v>0</v>
      </c>
      <c r="AS22" s="23" t="str">
        <f>IF(SUMPRODUCT($J$73:AR$73,$J22:AR22)&lt;0.5, "Pending", IF(AR22&lt;0.5, "Complete", "In Progress"))</f>
        <v>Complete</v>
      </c>
      <c r="AT22" s="22">
        <v>0</v>
      </c>
      <c r="AU22" s="22">
        <f t="shared" si="128"/>
        <v>0</v>
      </c>
      <c r="AV22" s="23" t="str">
        <f>IF(SUMPRODUCT($J$73:AU$73,$J22:AU22)&lt;0.5, "Pending", IF(AU22&lt;0.5, "Complete", "In Progress"))</f>
        <v>Complete</v>
      </c>
      <c r="AW22" s="22">
        <v>0</v>
      </c>
      <c r="AX22" s="22">
        <f t="shared" si="129"/>
        <v>0</v>
      </c>
      <c r="AY22" s="23" t="str">
        <f>IF(SUMPRODUCT($J$73:AX$73,$J22:AX22)&lt;0.5,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IF(SUMPRODUCT($J$73:BA$73,$J22:BA22)&lt;0.5,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IF(SUMPRODUCT($J$73:BD$73,$J22:BD22)&lt;0.5,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IF(SUMPRODUCT($J$73:BG$73,$J22:BG22)&lt;0.5,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IF(SUMPRODUCT($J$73:BJ$73,$J22:BJ22)&lt;0.5,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IF(SUMPRODUCT($J$73:BM$73,$J22:BM22)&lt;0.5,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IF(SUMPRODUCT($J$73:BP$73,$J22:BP22)&lt;0.5,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IF(SUMPRODUCT($J$73:BS$73,$J22:BS22)&lt;0.5,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IF(SUMPRODUCT($J$73:BV$73,$J22:BV22)&lt;0.5,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IF(SUMPRODUCT($J$73:BY$73,$J22:BY22)&lt;0.5,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IF(SUMPRODUCT($J$73:CB$73,$J22:CB22)&lt;0.5, "Pending", IF(CB22&lt;0.5, "Complete", "In Progress"))</f>
        <v>#REF!</v>
      </c>
      <c r="CD22" s="24"/>
      <c r="CE22" s="25">
        <f>SUMPRODUCT($H$73:AY$73,$H22:AY22)</f>
        <v>4</v>
      </c>
    </row>
    <row r="23" spans="1:83" x14ac:dyDescent="0.2">
      <c r="A23" s="16"/>
      <c r="B23" s="16" t="s">
        <v>124</v>
      </c>
      <c r="C23" s="16" t="s">
        <v>168</v>
      </c>
      <c r="D23" s="17" t="s">
        <v>171</v>
      </c>
      <c r="E23" s="178" t="s">
        <v>182</v>
      </c>
      <c r="F23" s="18" t="s">
        <v>119</v>
      </c>
      <c r="G23" s="19" t="str">
        <f t="shared" ca="1" si="0"/>
        <v>Complete</v>
      </c>
      <c r="H23" s="20">
        <v>1</v>
      </c>
      <c r="I23" s="21">
        <v>3</v>
      </c>
      <c r="J23" s="22">
        <v>3</v>
      </c>
      <c r="K23" s="22">
        <f t="shared" si="24"/>
        <v>0</v>
      </c>
      <c r="L23" s="23" t="str">
        <f>IF(SUMPRODUCT($J$73:K$73,$J23:K23)&lt;0.5, "Pending", IF(K23&lt;0.5, "Complete", "In Progress"))</f>
        <v>Complete</v>
      </c>
      <c r="M23" s="22">
        <v>0</v>
      </c>
      <c r="N23" s="22">
        <f t="shared" si="25"/>
        <v>0</v>
      </c>
      <c r="O23" s="23" t="str">
        <f>IF(SUMPRODUCT($J$73:N$73,$J23:N23)&lt;0.5, "Pending", IF(N23&lt;0.5, "Complete", "In Progress"))</f>
        <v>Complete</v>
      </c>
      <c r="P23" s="22">
        <v>0</v>
      </c>
      <c r="Q23" s="22">
        <f t="shared" si="26"/>
        <v>0</v>
      </c>
      <c r="R23" s="23" t="str">
        <f>IF(SUMPRODUCT($J$73:Q$73,$J23:Q23)&lt;0.5, "Pending", IF(Q23&lt;0.5, "Complete", "In Progress"))</f>
        <v>Complete</v>
      </c>
      <c r="S23" s="22">
        <v>0</v>
      </c>
      <c r="T23" s="22">
        <f t="shared" si="27"/>
        <v>0</v>
      </c>
      <c r="U23" s="23" t="str">
        <f>IF(SUMPRODUCT($J$73:T$73,$J23:T23)&lt;0.5, "Pending", IF(T23&lt;0.5, "Complete", "In Progress"))</f>
        <v>Complete</v>
      </c>
      <c r="V23" s="22">
        <v>0</v>
      </c>
      <c r="W23" s="22">
        <f t="shared" si="28"/>
        <v>0</v>
      </c>
      <c r="X23" s="23" t="str">
        <f>IF(SUMPRODUCT($J$73:W$73,$J23:W23)&lt;0.5, "Pending", IF(W23&lt;0.5, "Complete", "In Progress"))</f>
        <v>Complete</v>
      </c>
      <c r="Y23" s="22">
        <v>0</v>
      </c>
      <c r="Z23" s="22">
        <f t="shared" si="29"/>
        <v>0</v>
      </c>
      <c r="AA23" s="23" t="str">
        <f>IF(SUMPRODUCT($J$73:Z$73,$J23:Z23)&lt;0.5, "Pending", IF(Z23&lt;0.5, "Complete", "In Progress"))</f>
        <v>Complete</v>
      </c>
      <c r="AB23" s="22">
        <v>0</v>
      </c>
      <c r="AC23" s="22">
        <f t="shared" si="30"/>
        <v>0</v>
      </c>
      <c r="AD23" s="23" t="str">
        <f>IF(SUMPRODUCT($J$73:AC$73,$J23:AC23)&lt;0.5, "Pending", IF(AC23&lt;0.5, "Complete", "In Progress"))</f>
        <v>Complete</v>
      </c>
      <c r="AE23" s="22">
        <v>0</v>
      </c>
      <c r="AF23" s="22">
        <f t="shared" si="31"/>
        <v>0</v>
      </c>
      <c r="AG23" s="23" t="str">
        <f>IF(SUMPRODUCT($J$73:AF$73,$J23:AF23)&lt;0.5, "Pending", IF(AF23&lt;0.5, "Complete", "In Progress"))</f>
        <v>Complete</v>
      </c>
      <c r="AH23" s="22">
        <v>0</v>
      </c>
      <c r="AI23" s="22">
        <f t="shared" si="32"/>
        <v>0</v>
      </c>
      <c r="AJ23" s="23" t="str">
        <f>IF(SUMPRODUCT($J$73:AI$73,$J23:AI23)&lt;0.5, "Pending", IF(AI23&lt;0.5, "Complete", "In Progress"))</f>
        <v>Complete</v>
      </c>
      <c r="AK23" s="22">
        <v>0</v>
      </c>
      <c r="AL23" s="22">
        <f t="shared" si="33"/>
        <v>0</v>
      </c>
      <c r="AM23" s="23" t="str">
        <f>IF(SUMPRODUCT($J$73:AL$73,$J23:AL23)&lt;0.5, "Pending", IF(AL23&lt;0.5, "Complete", "In Progress"))</f>
        <v>Complete</v>
      </c>
      <c r="AN23" s="22">
        <v>0</v>
      </c>
      <c r="AO23" s="22">
        <f t="shared" si="34"/>
        <v>0</v>
      </c>
      <c r="AP23" s="23" t="str">
        <f>IF(SUMPRODUCT($J$73:AO$73,$J23:AO23)&lt;0.5, "Pending", IF(AO23&lt;0.5, "Complete", "In Progress"))</f>
        <v>Complete</v>
      </c>
      <c r="AQ23" s="22">
        <v>0</v>
      </c>
      <c r="AR23" s="22">
        <f t="shared" si="35"/>
        <v>0</v>
      </c>
      <c r="AS23" s="23" t="str">
        <f>IF(SUMPRODUCT($J$73:AR$73,$J23:AR23)&lt;0.5, "Pending", IF(AR23&lt;0.5, "Complete", "In Progress"))</f>
        <v>Complete</v>
      </c>
      <c r="AT23" s="22">
        <v>0</v>
      </c>
      <c r="AU23" s="22">
        <f t="shared" si="36"/>
        <v>0</v>
      </c>
      <c r="AV23" s="23" t="str">
        <f>IF(SUMPRODUCT($J$73:AU$73,$J23:AU23)&lt;0.5, "Pending", IF(AU23&lt;0.5, "Complete", "In Progress"))</f>
        <v>Complete</v>
      </c>
      <c r="AW23" s="22">
        <v>0</v>
      </c>
      <c r="AX23" s="22">
        <f t="shared" si="37"/>
        <v>0</v>
      </c>
      <c r="AY23" s="23" t="str">
        <f>IF(SUMPRODUCT($J$73:AX$73,$J23:AX23)&lt;0.5,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IF(SUMPRODUCT($J$73:BA$73,$J23:BA23)&lt;0.5,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IF(SUMPRODUCT($J$73:BD$73,$J23:BD23)&lt;0.5,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IF(SUMPRODUCT($J$73:BG$73,$J23:BG23)&lt;0.5,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IF(SUMPRODUCT($J$73:BJ$73,$J23:BJ23)&lt;0.5,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IF(SUMPRODUCT($J$73:BM$73,$J23:BM23)&lt;0.5,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IF(SUMPRODUCT($J$73:BP$73,$J23:BP23)&lt;0.5,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IF(SUMPRODUCT($J$73:BS$73,$J23:BS23)&lt;0.5,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IF(SUMPRODUCT($J$73:BV$73,$J23:BV23)&lt;0.5,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IF(SUMPRODUCT($J$73:BY$73,$J23:BY23)&lt;0.5,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IF(SUMPRODUCT($J$73:CB$73,$J23:CB23)&lt;0.5, "Pending", IF(CB23&lt;0.5, "Complete", "In Progress"))</f>
        <v>#REF!</v>
      </c>
      <c r="CD23" s="24"/>
      <c r="CE23" s="25">
        <f>SUMPRODUCT($H$73:AY$73,$H23:AY23)</f>
        <v>3</v>
      </c>
    </row>
    <row r="24" spans="1:83" x14ac:dyDescent="0.2">
      <c r="A24" s="16"/>
      <c r="B24" s="16" t="s">
        <v>123</v>
      </c>
      <c r="C24" s="16" t="s">
        <v>168</v>
      </c>
      <c r="D24" s="17" t="s">
        <v>173</v>
      </c>
      <c r="E24" s="178" t="s">
        <v>142</v>
      </c>
      <c r="F24" s="18" t="s">
        <v>115</v>
      </c>
      <c r="G24" s="19" t="str">
        <f t="shared" ca="1" si="0"/>
        <v>Complete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IF(SUMPRODUCT($J$73:K$73,$J24:K24)&lt;0.5, "Pending", IF(K24&lt;0.5, "Complete", "In Progress"))</f>
        <v>Pending</v>
      </c>
      <c r="M24" s="22">
        <v>2</v>
      </c>
      <c r="N24" s="22">
        <f t="shared" si="25"/>
        <v>0</v>
      </c>
      <c r="O24" s="23" t="str">
        <f>IF(SUMPRODUCT($J$73:N$73,$J24:N24)&lt;0.5, "Pending", IF(N24&lt;0.5, "Complete", "In Progress"))</f>
        <v>Complete</v>
      </c>
      <c r="P24" s="22">
        <v>0</v>
      </c>
      <c r="Q24" s="22">
        <f t="shared" si="26"/>
        <v>0</v>
      </c>
      <c r="R24" s="23" t="str">
        <f>IF(SUMPRODUCT($J$73:Q$73,$J24:Q24)&lt;0.5, "Pending", IF(Q24&lt;0.5, "Complete", "In Progress"))</f>
        <v>Complete</v>
      </c>
      <c r="S24" s="22">
        <v>0</v>
      </c>
      <c r="T24" s="22">
        <f t="shared" si="27"/>
        <v>0</v>
      </c>
      <c r="U24" s="23" t="str">
        <f>IF(SUMPRODUCT($J$73:T$73,$J24:T24)&lt;0.5,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IF(SUMPRODUCT($J$73:W$73,$J24:W24)&lt;0.5,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IF(SUMPRODUCT($J$73:Z$73,$J24:Z24)&lt;0.5,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IF(SUMPRODUCT($J$73:AC$73,$J24:AC24)&lt;0.5,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IF(SUMPRODUCT($J$73:AF$73,$J24:AF24)&lt;0.5,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IF(SUMPRODUCT($J$73:AI$73,$J24:AI24)&lt;0.5,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IF(SUMPRODUCT($J$73:AL$73,$J24:AL24)&lt;0.5,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IF(SUMPRODUCT($J$73:AO$73,$J24:AO24)&lt;0.5,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IF(SUMPRODUCT($J$73:AR$73,$J24:AR24)&lt;0.5,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IF(SUMPRODUCT($J$73:AU$73,$J24:AU24)&lt;0.5,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IF(SUMPRODUCT($J$73:AX$73,$J24:AX24)&lt;0.5,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IF(SUMPRODUCT($J$73:BA$73,$J24:BA24)&lt;0.5,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IF(SUMPRODUCT($J$73:BD$73,$J24:BD24)&lt;0.5,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IF(SUMPRODUCT($J$73:BG$73,$J24:BG24)&lt;0.5,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IF(SUMPRODUCT($J$73:BJ$73,$J24:BJ24)&lt;0.5,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IF(SUMPRODUCT($J$73:BM$73,$J24:BM24)&lt;0.5,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IF(SUMPRODUCT($J$73:BP$73,$J24:BP24)&lt;0.5,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IF(SUMPRODUCT($J$73:BS$73,$J24:BS24)&lt;0.5,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IF(SUMPRODUCT($J$73:BV$73,$J24:BV24)&lt;0.5,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IF(SUMPRODUCT($J$73:BY$73,$J24:BY24)&lt;0.5,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IF(SUMPRODUCT($J$73:CB$73,$J24:CB24)&lt;0.5, "Pending", IF(CB24&lt;0.5, "Complete", "In Progress"))</f>
        <v>#REF!</v>
      </c>
      <c r="CD24" s="24"/>
      <c r="CE24" s="25">
        <f>SUMPRODUCT($H$73:AY$73,$H24:AY24)</f>
        <v>2</v>
      </c>
    </row>
    <row r="25" spans="1:83" x14ac:dyDescent="0.2">
      <c r="A25" s="16"/>
      <c r="B25" s="16" t="s">
        <v>123</v>
      </c>
      <c r="C25" s="16" t="s">
        <v>168</v>
      </c>
      <c r="D25" s="17" t="s">
        <v>175</v>
      </c>
      <c r="E25" s="178" t="s">
        <v>143</v>
      </c>
      <c r="F25" s="18" t="s">
        <v>116</v>
      </c>
      <c r="G25" s="19" t="str">
        <f t="shared" ca="1" si="0"/>
        <v>Complete</v>
      </c>
      <c r="H25" s="20">
        <v>1</v>
      </c>
      <c r="I25" s="21">
        <v>2</v>
      </c>
      <c r="J25" s="22">
        <v>2</v>
      </c>
      <c r="K25" s="22">
        <f t="shared" si="24"/>
        <v>0</v>
      </c>
      <c r="L25" s="23" t="str">
        <f>IF(SUMPRODUCT($J$73:K$73,$J25:K25)&lt;0.5, "Pending", IF(K25&lt;0.5, "Complete", "In Progress"))</f>
        <v>Complete</v>
      </c>
      <c r="M25" s="22">
        <v>0</v>
      </c>
      <c r="N25" s="22">
        <f t="shared" si="25"/>
        <v>0</v>
      </c>
      <c r="O25" s="23" t="str">
        <f>IF(SUMPRODUCT($J$73:N$73,$J25:N25)&lt;0.5, "Pending", IF(N25&lt;0.5, "Complete", "In Progress"))</f>
        <v>Complete</v>
      </c>
      <c r="P25" s="22">
        <v>0</v>
      </c>
      <c r="Q25" s="22">
        <f t="shared" si="26"/>
        <v>0</v>
      </c>
      <c r="R25" s="23" t="str">
        <f>IF(SUMPRODUCT($J$73:Q$73,$J25:Q25)&lt;0.5, "Pending", IF(Q25&lt;0.5, "Complete", "In Progress"))</f>
        <v>Complete</v>
      </c>
      <c r="S25" s="22">
        <v>0</v>
      </c>
      <c r="T25" s="22">
        <f t="shared" si="27"/>
        <v>0</v>
      </c>
      <c r="U25" s="23" t="str">
        <f>IF(SUMPRODUCT($J$73:T$73,$J25:T25)&lt;0.5, "Pending", IF(T25&lt;0.5, "Complete", "In Progress"))</f>
        <v>Complete</v>
      </c>
      <c r="V25" s="22">
        <v>0</v>
      </c>
      <c r="W25" s="22">
        <f t="shared" si="28"/>
        <v>0</v>
      </c>
      <c r="X25" s="23" t="str">
        <f>IF(SUMPRODUCT($J$73:W$73,$J25:W25)&lt;0.5,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IF(SUMPRODUCT($J$73:Z$73,$J25:Z25)&lt;0.5,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IF(SUMPRODUCT($J$73:AC$73,$J25:AC25)&lt;0.5,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IF(SUMPRODUCT($J$73:AF$73,$J25:AF25)&lt;0.5,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IF(SUMPRODUCT($J$73:AI$73,$J25:AI25)&lt;0.5,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IF(SUMPRODUCT($J$73:AL$73,$J25:AL25)&lt;0.5,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IF(SUMPRODUCT($J$73:AO$73,$J25:AO25)&lt;0.5,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IF(SUMPRODUCT($J$73:AR$73,$J25:AR25)&lt;0.5,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IF(SUMPRODUCT($J$73:AU$73,$J25:AU25)&lt;0.5,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IF(SUMPRODUCT($J$73:AX$73,$J25:AX25)&lt;0.5,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IF(SUMPRODUCT($J$73:BA$73,$J25:BA25)&lt;0.5,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IF(SUMPRODUCT($J$73:BD$73,$J25:BD25)&lt;0.5,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IF(SUMPRODUCT($J$73:BG$73,$J25:BG25)&lt;0.5,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IF(SUMPRODUCT($J$73:BJ$73,$J25:BJ25)&lt;0.5,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IF(SUMPRODUCT($J$73:BM$73,$J25:BM25)&lt;0.5,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IF(SUMPRODUCT($J$73:BP$73,$J25:BP25)&lt;0.5,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IF(SUMPRODUCT($J$73:BS$73,$J25:BS25)&lt;0.5,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IF(SUMPRODUCT($J$73:BV$73,$J25:BV25)&lt;0.5,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IF(SUMPRODUCT($J$73:BY$73,$J25:BY25)&lt;0.5,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IF(SUMPRODUCT($J$73:CB$73,$J25:CB25)&lt;0.5, "Pending", IF(CB25&lt;0.5, "Complete", "In Progress"))</f>
        <v>#REF!</v>
      </c>
      <c r="CD25" s="24"/>
      <c r="CE25" s="25">
        <f>SUMPRODUCT($H$73:AY$73,$H25:AY25)</f>
        <v>2</v>
      </c>
    </row>
    <row r="26" spans="1:83" x14ac:dyDescent="0.2">
      <c r="A26" s="16"/>
      <c r="B26" s="16" t="s">
        <v>126</v>
      </c>
      <c r="C26" s="16" t="s">
        <v>168</v>
      </c>
      <c r="D26" s="17" t="s">
        <v>183</v>
      </c>
      <c r="E26" s="178" t="s">
        <v>144</v>
      </c>
      <c r="F26" s="18" t="s">
        <v>115</v>
      </c>
      <c r="G26" s="19" t="str">
        <f t="shared" ca="1" si="0"/>
        <v>Complete</v>
      </c>
      <c r="H26" s="20">
        <v>1</v>
      </c>
      <c r="I26" s="21">
        <v>1</v>
      </c>
      <c r="J26" s="22">
        <v>1</v>
      </c>
      <c r="K26" s="22">
        <f t="shared" ref="K26:K28" si="139">MAX(I26-J26, 0)</f>
        <v>0</v>
      </c>
      <c r="L26" s="23" t="str">
        <f>IF(SUMPRODUCT($J$73:K$73,$J26:K26)&lt;0.5, "Pending", IF(K26&lt;0.5, "Complete", "In Progress"))</f>
        <v>Complete</v>
      </c>
      <c r="M26" s="22">
        <v>0</v>
      </c>
      <c r="N26" s="22">
        <f t="shared" ref="N26:N28" si="140">MAX(K26-M26,0)</f>
        <v>0</v>
      </c>
      <c r="O26" s="23" t="str">
        <f>IF(SUMPRODUCT($J$73:N$73,$J26:N26)&lt;0.5, "Pending", IF(N26&lt;0.5, "Complete", "In Progress"))</f>
        <v>Complete</v>
      </c>
      <c r="P26" s="22">
        <v>0</v>
      </c>
      <c r="Q26" s="22">
        <f t="shared" ref="Q26:Q28" si="141">MAX(N26-P26,0)</f>
        <v>0</v>
      </c>
      <c r="R26" s="23" t="str">
        <f>IF(SUMPRODUCT($J$73:Q$73,$J26:Q26)&lt;0.5, "Pending", IF(Q26&lt;0.5, "Complete", "In Progress"))</f>
        <v>Complete</v>
      </c>
      <c r="S26" s="22">
        <v>0</v>
      </c>
      <c r="T26" s="22">
        <f t="shared" ref="T26:T28" si="142">MAX(Q26-S26,0)</f>
        <v>0</v>
      </c>
      <c r="U26" s="23" t="str">
        <f>IF(SUMPRODUCT($J$73:T$73,$J26:T26)&lt;0.5, "Pending", IF(T26&lt;0.5, "Complete", "In Progress"))</f>
        <v>Complete</v>
      </c>
      <c r="V26" s="22">
        <v>0</v>
      </c>
      <c r="W26" s="22">
        <f t="shared" ref="W26:W28" si="143">MAX(T26-V26,0)</f>
        <v>0</v>
      </c>
      <c r="X26" s="23" t="str">
        <f>IF(SUMPRODUCT($J$73:W$73,$J26:W26)&lt;0.5, "Pending", IF(W26&lt;0.5, "Complete", "In Progress"))</f>
        <v>Complete</v>
      </c>
      <c r="Y26" s="22">
        <v>0</v>
      </c>
      <c r="Z26" s="22">
        <f t="shared" ref="Z26:Z28" si="144">MAX(W26-Y26,0)</f>
        <v>0</v>
      </c>
      <c r="AA26" s="23" t="str">
        <f>IF(SUMPRODUCT($J$73:Z$73,$J26:Z26)&lt;0.5, "Pending", IF(Z26&lt;0.5, "Complete", "In Progress"))</f>
        <v>Complete</v>
      </c>
      <c r="AB26" s="22">
        <v>0</v>
      </c>
      <c r="AC26" s="22">
        <f t="shared" ref="AC26:AC28" si="145">MAX(Z26-AB26,0)</f>
        <v>0</v>
      </c>
      <c r="AD26" s="23" t="str">
        <f>IF(SUMPRODUCT($J$73:AC$73,$J26:AC26)&lt;0.5, "Pending", IF(AC26&lt;0.5, "Complete", "In Progress"))</f>
        <v>Complete</v>
      </c>
      <c r="AE26" s="22">
        <v>0</v>
      </c>
      <c r="AF26" s="22">
        <f t="shared" ref="AF26:AF28" si="146">MAX(AC26-AE26,0)</f>
        <v>0</v>
      </c>
      <c r="AG26" s="23" t="str">
        <f>IF(SUMPRODUCT($J$73:AF$73,$J26:AF26)&lt;0.5, "Pending", IF(AF26&lt;0.5, "Complete", "In Progress"))</f>
        <v>Complete</v>
      </c>
      <c r="AH26" s="22">
        <v>0</v>
      </c>
      <c r="AI26" s="22">
        <f t="shared" ref="AI26:AI28" si="147">MAX(AF26-AH26,0)</f>
        <v>0</v>
      </c>
      <c r="AJ26" s="23" t="str">
        <f>IF(SUMPRODUCT($J$73:AI$73,$J26:AI26)&lt;0.5, "Pending", IF(AI26&lt;0.5, "Complete", "In Progress"))</f>
        <v>Complete</v>
      </c>
      <c r="AK26" s="22">
        <v>0</v>
      </c>
      <c r="AL26" s="22">
        <f t="shared" ref="AL26:AL28" si="148">MAX(AI26-AK26,0)</f>
        <v>0</v>
      </c>
      <c r="AM26" s="23" t="str">
        <f>IF(SUMPRODUCT($J$73:AL$73,$J26:AL26)&lt;0.5, "Pending", IF(AL26&lt;0.5, "Complete", "In Progress"))</f>
        <v>Complete</v>
      </c>
      <c r="AN26" s="22">
        <v>0</v>
      </c>
      <c r="AO26" s="22">
        <f t="shared" ref="AO26:AO28" si="149">MAX(AL26-AN26,0)</f>
        <v>0</v>
      </c>
      <c r="AP26" s="23" t="str">
        <f>IF(SUMPRODUCT($J$73:AO$73,$J26:AO26)&lt;0.5, "Pending", IF(AO26&lt;0.5, "Complete", "In Progress"))</f>
        <v>Complete</v>
      </c>
      <c r="AQ26" s="22">
        <v>0</v>
      </c>
      <c r="AR26" s="22">
        <f t="shared" ref="AR26:AR28" si="150">MAX(AO26-AQ26,0)</f>
        <v>0</v>
      </c>
      <c r="AS26" s="23" t="str">
        <f>IF(SUMPRODUCT($J$73:AR$73,$J26:AR26)&lt;0.5, "Pending", IF(AR26&lt;0.5, "Complete", "In Progress"))</f>
        <v>Complete</v>
      </c>
      <c r="AT26" s="22">
        <v>0</v>
      </c>
      <c r="AU26" s="22">
        <f t="shared" ref="AU26:AU28" si="151">MAX(AR26-AT26,0)</f>
        <v>0</v>
      </c>
      <c r="AV26" s="23" t="str">
        <f>IF(SUMPRODUCT($J$73:AU$73,$J26:AU26)&lt;0.5, "Pending", IF(AU26&lt;0.5, "Complete", "In Progress"))</f>
        <v>Complete</v>
      </c>
      <c r="AW26" s="22">
        <v>0</v>
      </c>
      <c r="AX26" s="22">
        <f t="shared" ref="AX26:AX28" si="152">MAX(AU26-AW26,0)</f>
        <v>0</v>
      </c>
      <c r="AY26" s="23" t="str">
        <f>IF(SUMPRODUCT($J$73:AX$73,$J26:AX26)&lt;0.5,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IF(SUMPRODUCT($J$73:BA$73,$J26:BA26)&lt;0.5, "Pending", IF(BA26&lt;0.5, "Complete", "In Progress"))</f>
        <v>#REF!</v>
      </c>
      <c r="BC26" s="22">
        <v>0</v>
      </c>
      <c r="BD26" s="22" t="e">
        <f t="shared" ref="BD26:BD28" si="153">MAX(BA26-BC26,0)</f>
        <v>#REF!</v>
      </c>
      <c r="BE26" s="23" t="e">
        <f>IF(SUMPRODUCT($J$73:BD$73,$J26:BD26)&lt;0.5, "Pending", IF(BD26&lt;0.5, "Complete", "In Progress"))</f>
        <v>#REF!</v>
      </c>
      <c r="BF26" s="22">
        <v>0</v>
      </c>
      <c r="BG26" s="22" t="e">
        <f t="shared" ref="BG26:BG28" si="154">MAX(BD26-BF26,0)</f>
        <v>#REF!</v>
      </c>
      <c r="BH26" s="23" t="e">
        <f>IF(SUMPRODUCT($J$73:BG$73,$J26:BG26)&lt;0.5, "Pending", IF(BG26&lt;0.5, "Complete", "In Progress"))</f>
        <v>#REF!</v>
      </c>
      <c r="BI26" s="22">
        <v>0</v>
      </c>
      <c r="BJ26" s="22" t="e">
        <f t="shared" ref="BJ26:BJ28" si="155">MAX(BG26-BI26,0)</f>
        <v>#REF!</v>
      </c>
      <c r="BK26" s="23" t="e">
        <f>IF(SUMPRODUCT($J$73:BJ$73,$J26:BJ26)&lt;0.5, "Pending", IF(BJ26&lt;0.5, "Complete", "In Progress"))</f>
        <v>#REF!</v>
      </c>
      <c r="BL26" s="22">
        <v>0</v>
      </c>
      <c r="BM26" s="22" t="e">
        <f t="shared" ref="BM26:BM28" si="156">MAX(BJ26-BL26,0)</f>
        <v>#REF!</v>
      </c>
      <c r="BN26" s="23" t="e">
        <f>IF(SUMPRODUCT($J$73:BM$73,$J26:BM26)&lt;0.5, "Pending", IF(BM26&lt;0.5, "Complete", "In Progress"))</f>
        <v>#REF!</v>
      </c>
      <c r="BO26" s="22">
        <v>0</v>
      </c>
      <c r="BP26" s="22" t="e">
        <f t="shared" ref="BP26:BP28" si="157">MAX(BM26-BO26,0)</f>
        <v>#REF!</v>
      </c>
      <c r="BQ26" s="23" t="e">
        <f>IF(SUMPRODUCT($J$73:BP$73,$J26:BP26)&lt;0.5, "Pending", IF(BP26&lt;0.5, "Complete", "In Progress"))</f>
        <v>#REF!</v>
      </c>
      <c r="BR26" s="22">
        <v>0</v>
      </c>
      <c r="BS26" s="22" t="e">
        <f t="shared" ref="BS26:BS28" si="158">MAX(BP26-BR26,0)</f>
        <v>#REF!</v>
      </c>
      <c r="BT26" s="23" t="e">
        <f>IF(SUMPRODUCT($J$73:BS$73,$J26:BS26)&lt;0.5, "Pending", IF(BS26&lt;0.5, "Complete", "In Progress"))</f>
        <v>#REF!</v>
      </c>
      <c r="BU26" s="22">
        <v>0</v>
      </c>
      <c r="BV26" s="22" t="e">
        <f t="shared" ref="BV26:BV28" si="159">MAX(BS26-BU26,0)</f>
        <v>#REF!</v>
      </c>
      <c r="BW26" s="23" t="e">
        <f>IF(SUMPRODUCT($J$73:BV$73,$J26:BV26)&lt;0.5, "Pending", IF(BV26&lt;0.5, "Complete", "In Progress"))</f>
        <v>#REF!</v>
      </c>
      <c r="BX26" s="22">
        <v>0</v>
      </c>
      <c r="BY26" s="22" t="e">
        <f t="shared" ref="BY26:BY28" si="160">MAX(BV26-BX26,0)</f>
        <v>#REF!</v>
      </c>
      <c r="BZ26" s="23" t="e">
        <f>IF(SUMPRODUCT($J$73:BY$73,$J26:BY26)&lt;0.5, "Pending", IF(BY26&lt;0.5, "Complete", "In Progress"))</f>
        <v>#REF!</v>
      </c>
      <c r="CA26" s="22">
        <v>0</v>
      </c>
      <c r="CB26" s="22" t="e">
        <f t="shared" ref="CB26:CB28" si="161">MAX(BY26-CA26,0)</f>
        <v>#REF!</v>
      </c>
      <c r="CC26" s="23" t="e">
        <f>IF(SUMPRODUCT($J$73:CB$73,$J26:CB26)&lt;0.5, "Pending", IF(CB26&lt;0.5, "Complete", "In Progress"))</f>
        <v>#REF!</v>
      </c>
      <c r="CD26" s="24"/>
      <c r="CE26" s="25">
        <f>SUMPRODUCT($H$73:AY$73,$H26:AY26)</f>
        <v>1</v>
      </c>
    </row>
    <row r="27" spans="1:83" x14ac:dyDescent="0.2">
      <c r="A27" s="16"/>
      <c r="B27" s="16" t="s">
        <v>124</v>
      </c>
      <c r="C27" s="16" t="s">
        <v>168</v>
      </c>
      <c r="D27" s="17" t="s">
        <v>184</v>
      </c>
      <c r="E27" s="178" t="s">
        <v>172</v>
      </c>
      <c r="F27" s="18" t="s">
        <v>118</v>
      </c>
      <c r="G27" s="19" t="str">
        <f t="shared" ca="1" si="0"/>
        <v>In Progress</v>
      </c>
      <c r="H27" s="20">
        <v>1</v>
      </c>
      <c r="I27" s="21">
        <v>45</v>
      </c>
      <c r="J27" s="22">
        <v>38</v>
      </c>
      <c r="K27" s="22">
        <f t="shared" si="139"/>
        <v>7</v>
      </c>
      <c r="L27" s="23" t="str">
        <f>IF(SUMPRODUCT($J$73:K$73,$J27:K27)&lt;0.5, "Pending", IF(K27&lt;0.5, "Complete", "In Progress"))</f>
        <v>In Progress</v>
      </c>
      <c r="M27" s="22">
        <v>0</v>
      </c>
      <c r="N27" s="22">
        <f t="shared" si="140"/>
        <v>7</v>
      </c>
      <c r="O27" s="23" t="str">
        <f>IF(SUMPRODUCT($J$73:N$73,$J27:N27)&lt;0.5, "Pending", IF(N27&lt;0.5, "Complete", "In Progress"))</f>
        <v>In Progress</v>
      </c>
      <c r="P27" s="22">
        <v>0</v>
      </c>
      <c r="Q27" s="22">
        <f t="shared" si="141"/>
        <v>7</v>
      </c>
      <c r="R27" s="23" t="str">
        <f>IF(SUMPRODUCT($J$73:Q$73,$J27:Q27)&lt;0.5, "Pending", IF(Q27&lt;0.5, "Complete", "In Progress"))</f>
        <v>In Progress</v>
      </c>
      <c r="S27" s="22">
        <v>0</v>
      </c>
      <c r="T27" s="22">
        <f t="shared" si="142"/>
        <v>7</v>
      </c>
      <c r="U27" s="23" t="str">
        <f>IF(SUMPRODUCT($J$73:T$73,$J27:T27)&lt;0.5, "Pending", IF(T27&lt;0.5, "Complete", "In Progress"))</f>
        <v>In Progress</v>
      </c>
      <c r="V27" s="22">
        <v>0</v>
      </c>
      <c r="W27" s="22">
        <f t="shared" si="143"/>
        <v>7</v>
      </c>
      <c r="X27" s="23" t="str">
        <f>IF(SUMPRODUCT($J$73:W$73,$J27:W27)&lt;0.5, "Pending", IF(W27&lt;0.5, "Complete", "In Progress"))</f>
        <v>In Progress</v>
      </c>
      <c r="Y27" s="22">
        <v>0</v>
      </c>
      <c r="Z27" s="22">
        <f t="shared" si="144"/>
        <v>7</v>
      </c>
      <c r="AA27" s="23" t="str">
        <f>IF(SUMPRODUCT($J$73:Z$73,$J27:Z27)&lt;0.5, "Pending", IF(Z27&lt;0.5, "Complete", "In Progress"))</f>
        <v>In Progress</v>
      </c>
      <c r="AB27" s="22">
        <v>0</v>
      </c>
      <c r="AC27" s="22">
        <f t="shared" si="145"/>
        <v>7</v>
      </c>
      <c r="AD27" s="23" t="str">
        <f>IF(SUMPRODUCT($J$73:AC$73,$J27:AC27)&lt;0.5, "Pending", IF(AC27&lt;0.5, "Complete", "In Progress"))</f>
        <v>In Progress</v>
      </c>
      <c r="AE27" s="22">
        <v>0</v>
      </c>
      <c r="AF27" s="22">
        <f t="shared" si="146"/>
        <v>7</v>
      </c>
      <c r="AG27" s="23" t="str">
        <f>IF(SUMPRODUCT($J$73:AF$73,$J27:AF27)&lt;0.5, "Pending", IF(AF27&lt;0.5, "Complete", "In Progress"))</f>
        <v>In Progress</v>
      </c>
      <c r="AH27" s="22">
        <v>0</v>
      </c>
      <c r="AI27" s="22">
        <f t="shared" si="147"/>
        <v>7</v>
      </c>
      <c r="AJ27" s="23" t="str">
        <f>IF(SUMPRODUCT($J$73:AI$73,$J27:AI27)&lt;0.5, "Pending", IF(AI27&lt;0.5, "Complete", "In Progress"))</f>
        <v>In Progress</v>
      </c>
      <c r="AK27" s="22">
        <v>0</v>
      </c>
      <c r="AL27" s="22">
        <f t="shared" si="148"/>
        <v>7</v>
      </c>
      <c r="AM27" s="23" t="str">
        <f>IF(SUMPRODUCT($J$73:AL$73,$J27:AL27)&lt;0.5, "Pending", IF(AL27&lt;0.5, "Complete", "In Progress"))</f>
        <v>In Progress</v>
      </c>
      <c r="AN27" s="22">
        <v>0</v>
      </c>
      <c r="AO27" s="22">
        <f t="shared" si="149"/>
        <v>7</v>
      </c>
      <c r="AP27" s="23" t="str">
        <f>IF(SUMPRODUCT($J$73:AO$73,$J27:AO27)&lt;0.5, "Pending", IF(AO27&lt;0.5, "Complete", "In Progress"))</f>
        <v>In Progress</v>
      </c>
      <c r="AQ27" s="22">
        <v>0</v>
      </c>
      <c r="AR27" s="22">
        <f t="shared" si="150"/>
        <v>7</v>
      </c>
      <c r="AS27" s="23" t="str">
        <f>IF(SUMPRODUCT($J$73:AR$73,$J27:AR27)&lt;0.5, "Pending", IF(AR27&lt;0.5, "Complete", "In Progress"))</f>
        <v>In Progress</v>
      </c>
      <c r="AT27" s="22">
        <v>0</v>
      </c>
      <c r="AU27" s="22">
        <f t="shared" si="151"/>
        <v>7</v>
      </c>
      <c r="AV27" s="23" t="str">
        <f>IF(SUMPRODUCT($J$73:AU$73,$J27:AU27)&lt;0.5, "Pending", IF(AU27&lt;0.5, "Complete", "In Progress"))</f>
        <v>In Progress</v>
      </c>
      <c r="AW27" s="22">
        <v>0</v>
      </c>
      <c r="AX27" s="22">
        <f t="shared" si="152"/>
        <v>7</v>
      </c>
      <c r="AY27" s="23" t="str">
        <f>IF(SUMPRODUCT($J$73:AX$73,$J27:AX27)&lt;0.5,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IF(SUMPRODUCT($J$73:BA$73,$J27:BA27)&lt;0.5, "Pending", IF(BA27&lt;0.5, "Complete", "In Progress"))</f>
        <v>#REF!</v>
      </c>
      <c r="BC27" s="22">
        <v>0</v>
      </c>
      <c r="BD27" s="22" t="e">
        <f t="shared" si="153"/>
        <v>#REF!</v>
      </c>
      <c r="BE27" s="23" t="e">
        <f>IF(SUMPRODUCT($J$73:BD$73,$J27:BD27)&lt;0.5, "Pending", IF(BD27&lt;0.5, "Complete", "In Progress"))</f>
        <v>#REF!</v>
      </c>
      <c r="BF27" s="22">
        <v>0</v>
      </c>
      <c r="BG27" s="22" t="e">
        <f t="shared" si="154"/>
        <v>#REF!</v>
      </c>
      <c r="BH27" s="23" t="e">
        <f>IF(SUMPRODUCT($J$73:BG$73,$J27:BG27)&lt;0.5, "Pending", IF(BG27&lt;0.5, "Complete", "In Progress"))</f>
        <v>#REF!</v>
      </c>
      <c r="BI27" s="22">
        <v>0</v>
      </c>
      <c r="BJ27" s="22" t="e">
        <f t="shared" si="155"/>
        <v>#REF!</v>
      </c>
      <c r="BK27" s="23" t="e">
        <f>IF(SUMPRODUCT($J$73:BJ$73,$J27:BJ27)&lt;0.5, "Pending", IF(BJ27&lt;0.5, "Complete", "In Progress"))</f>
        <v>#REF!</v>
      </c>
      <c r="BL27" s="22">
        <v>0</v>
      </c>
      <c r="BM27" s="22" t="e">
        <f t="shared" si="156"/>
        <v>#REF!</v>
      </c>
      <c r="BN27" s="23" t="e">
        <f>IF(SUMPRODUCT($J$73:BM$73,$J27:BM27)&lt;0.5, "Pending", IF(BM27&lt;0.5, "Complete", "In Progress"))</f>
        <v>#REF!</v>
      </c>
      <c r="BO27" s="22">
        <v>0</v>
      </c>
      <c r="BP27" s="22" t="e">
        <f t="shared" si="157"/>
        <v>#REF!</v>
      </c>
      <c r="BQ27" s="23" t="e">
        <f>IF(SUMPRODUCT($J$73:BP$73,$J27:BP27)&lt;0.5, "Pending", IF(BP27&lt;0.5, "Complete", "In Progress"))</f>
        <v>#REF!</v>
      </c>
      <c r="BR27" s="22">
        <v>0</v>
      </c>
      <c r="BS27" s="22" t="e">
        <f t="shared" si="158"/>
        <v>#REF!</v>
      </c>
      <c r="BT27" s="23" t="e">
        <f>IF(SUMPRODUCT($J$73:BS$73,$J27:BS27)&lt;0.5, "Pending", IF(BS27&lt;0.5, "Complete", "In Progress"))</f>
        <v>#REF!</v>
      </c>
      <c r="BU27" s="22">
        <v>0</v>
      </c>
      <c r="BV27" s="22" t="e">
        <f t="shared" si="159"/>
        <v>#REF!</v>
      </c>
      <c r="BW27" s="23" t="e">
        <f>IF(SUMPRODUCT($J$73:BV$73,$J27:BV27)&lt;0.5, "Pending", IF(BV27&lt;0.5, "Complete", "In Progress"))</f>
        <v>#REF!</v>
      </c>
      <c r="BX27" s="22">
        <v>0</v>
      </c>
      <c r="BY27" s="22" t="e">
        <f t="shared" si="160"/>
        <v>#REF!</v>
      </c>
      <c r="BZ27" s="23" t="e">
        <f>IF(SUMPRODUCT($J$73:BY$73,$J27:BY27)&lt;0.5, "Pending", IF(BY27&lt;0.5, "Complete", "In Progress"))</f>
        <v>#REF!</v>
      </c>
      <c r="CA27" s="22">
        <v>0</v>
      </c>
      <c r="CB27" s="22" t="e">
        <f t="shared" si="161"/>
        <v>#REF!</v>
      </c>
      <c r="CC27" s="23" t="e">
        <f>IF(SUMPRODUCT($J$73:CB$73,$J27:CB27)&lt;0.5, "Pending", IF(CB27&lt;0.5, "Complete", "In Progress"))</f>
        <v>#REF!</v>
      </c>
      <c r="CD27" s="24"/>
      <c r="CE27" s="25">
        <f>SUMPRODUCT($H$73:AY$73,$H27:AY27)</f>
        <v>38</v>
      </c>
    </row>
    <row r="28" spans="1:83" x14ac:dyDescent="0.2">
      <c r="A28" s="16"/>
      <c r="B28" s="16" t="s">
        <v>619</v>
      </c>
      <c r="C28" s="16" t="s">
        <v>168</v>
      </c>
      <c r="D28" s="17" t="s">
        <v>615</v>
      </c>
      <c r="E28" s="178" t="s">
        <v>616</v>
      </c>
      <c r="F28" s="18" t="s">
        <v>115</v>
      </c>
      <c r="G28" s="19" t="str">
        <f t="shared" ca="1" si="0"/>
        <v>Complete</v>
      </c>
      <c r="H28" s="20">
        <v>1</v>
      </c>
      <c r="I28" s="21">
        <v>7</v>
      </c>
      <c r="J28" s="22">
        <v>7</v>
      </c>
      <c r="K28" s="22">
        <f t="shared" si="139"/>
        <v>0</v>
      </c>
      <c r="L28" s="23" t="str">
        <f>IF(SUMPRODUCT($J$73:K$73,$J28:K28)&lt;0.5, "Pending", IF(K28&lt;0.5, "Complete", "In Progress"))</f>
        <v>Complete</v>
      </c>
      <c r="M28" s="22">
        <v>0</v>
      </c>
      <c r="N28" s="22">
        <f t="shared" si="140"/>
        <v>0</v>
      </c>
      <c r="O28" s="23" t="str">
        <f>IF(SUMPRODUCT($J$73:N$73,$J28:N28)&lt;0.5, "Pending", IF(N28&lt;0.5, "Complete", "In Progress"))</f>
        <v>Complete</v>
      </c>
      <c r="P28" s="22">
        <v>0</v>
      </c>
      <c r="Q28" s="22">
        <f t="shared" si="141"/>
        <v>0</v>
      </c>
      <c r="R28" s="23" t="str">
        <f>IF(SUMPRODUCT($J$73:Q$73,$J28:Q28)&lt;0.5, "Pending", IF(Q28&lt;0.5, "Complete", "In Progress"))</f>
        <v>Complete</v>
      </c>
      <c r="S28" s="22">
        <v>0</v>
      </c>
      <c r="T28" s="22">
        <f t="shared" si="142"/>
        <v>0</v>
      </c>
      <c r="U28" s="23" t="str">
        <f>IF(SUMPRODUCT($J$73:T$73,$J28:T28)&lt;0.5, "Pending", IF(T28&lt;0.5, "Complete", "In Progress"))</f>
        <v>Complete</v>
      </c>
      <c r="V28" s="22">
        <v>0</v>
      </c>
      <c r="W28" s="22">
        <f t="shared" si="143"/>
        <v>0</v>
      </c>
      <c r="X28" s="23" t="str">
        <f>IF(SUMPRODUCT($J$73:W$73,$J28:W28)&lt;0.5, "Pending", IF(W28&lt;0.5, "Complete", "In Progress"))</f>
        <v>Complete</v>
      </c>
      <c r="Y28" s="22">
        <v>0</v>
      </c>
      <c r="Z28" s="22">
        <f t="shared" si="144"/>
        <v>0</v>
      </c>
      <c r="AA28" s="23" t="str">
        <f>IF(SUMPRODUCT($J$73:Z$73,$J28:Z28)&lt;0.5, "Pending", IF(Z28&lt;0.5, "Complete", "In Progress"))</f>
        <v>Complete</v>
      </c>
      <c r="AB28" s="22">
        <v>0</v>
      </c>
      <c r="AC28" s="22">
        <f t="shared" si="145"/>
        <v>0</v>
      </c>
      <c r="AD28" s="23" t="str">
        <f>IF(SUMPRODUCT($J$73:AC$73,$J28:AC28)&lt;0.5, "Pending", IF(AC28&lt;0.5, "Complete", "In Progress"))</f>
        <v>Complete</v>
      </c>
      <c r="AE28" s="22">
        <v>0</v>
      </c>
      <c r="AF28" s="22">
        <f t="shared" si="146"/>
        <v>0</v>
      </c>
      <c r="AG28" s="23" t="str">
        <f>IF(SUMPRODUCT($J$73:AF$73,$J28:AF28)&lt;0.5, "Pending", IF(AF28&lt;0.5, "Complete", "In Progress"))</f>
        <v>Complete</v>
      </c>
      <c r="AH28" s="22">
        <v>0</v>
      </c>
      <c r="AI28" s="22">
        <f t="shared" si="147"/>
        <v>0</v>
      </c>
      <c r="AJ28" s="23" t="str">
        <f>IF(SUMPRODUCT($J$73:AI$73,$J28:AI28)&lt;0.5, "Pending", IF(AI28&lt;0.5, "Complete", "In Progress"))</f>
        <v>Complete</v>
      </c>
      <c r="AK28" s="22">
        <v>0</v>
      </c>
      <c r="AL28" s="22">
        <f t="shared" si="148"/>
        <v>0</v>
      </c>
      <c r="AM28" s="23" t="str">
        <f>IF(SUMPRODUCT($J$73:AL$73,$J28:AL28)&lt;0.5, "Pending", IF(AL28&lt;0.5, "Complete", "In Progress"))</f>
        <v>Complete</v>
      </c>
      <c r="AN28" s="22">
        <v>0</v>
      </c>
      <c r="AO28" s="22">
        <f t="shared" si="149"/>
        <v>0</v>
      </c>
      <c r="AP28" s="23" t="str">
        <f>IF(SUMPRODUCT($J$73:AO$73,$J28:AO28)&lt;0.5, "Pending", IF(AO28&lt;0.5, "Complete", "In Progress"))</f>
        <v>Complete</v>
      </c>
      <c r="AQ28" s="22">
        <v>0</v>
      </c>
      <c r="AR28" s="22">
        <f t="shared" si="150"/>
        <v>0</v>
      </c>
      <c r="AS28" s="23" t="str">
        <f>IF(SUMPRODUCT($J$73:AR$73,$J28:AR28)&lt;0.5, "Pending", IF(AR28&lt;0.5, "Complete", "In Progress"))</f>
        <v>Complete</v>
      </c>
      <c r="AT28" s="22">
        <v>0</v>
      </c>
      <c r="AU28" s="22">
        <f t="shared" si="151"/>
        <v>0</v>
      </c>
      <c r="AV28" s="23" t="str">
        <f>IF(SUMPRODUCT($J$73:AU$73,$J28:AU28)&lt;0.5, "Pending", IF(AU28&lt;0.5, "Complete", "In Progress"))</f>
        <v>Complete</v>
      </c>
      <c r="AW28" s="22">
        <v>0</v>
      </c>
      <c r="AX28" s="22">
        <f t="shared" si="152"/>
        <v>0</v>
      </c>
      <c r="AY28" s="23" t="str">
        <f>IF(SUMPRODUCT($J$73:AX$73,$J28:AX28)&lt;0.5,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IF(SUMPRODUCT($J$73:BA$73,$J28:BA28)&lt;0.5, "Pending", IF(BA28&lt;0.5, "Complete", "In Progress"))</f>
        <v>#REF!</v>
      </c>
      <c r="BC28" s="22">
        <v>0</v>
      </c>
      <c r="BD28" s="22" t="e">
        <f t="shared" si="153"/>
        <v>#REF!</v>
      </c>
      <c r="BE28" s="23" t="e">
        <f>IF(SUMPRODUCT($J$73:BD$73,$J28:BD28)&lt;0.5, "Pending", IF(BD28&lt;0.5, "Complete", "In Progress"))</f>
        <v>#REF!</v>
      </c>
      <c r="BF28" s="22">
        <v>0</v>
      </c>
      <c r="BG28" s="22" t="e">
        <f t="shared" si="154"/>
        <v>#REF!</v>
      </c>
      <c r="BH28" s="23" t="e">
        <f>IF(SUMPRODUCT($J$73:BG$73,$J28:BG28)&lt;0.5, "Pending", IF(BG28&lt;0.5, "Complete", "In Progress"))</f>
        <v>#REF!</v>
      </c>
      <c r="BI28" s="22">
        <v>0</v>
      </c>
      <c r="BJ28" s="22" t="e">
        <f t="shared" si="155"/>
        <v>#REF!</v>
      </c>
      <c r="BK28" s="23" t="e">
        <f>IF(SUMPRODUCT($J$73:BJ$73,$J28:BJ28)&lt;0.5, "Pending", IF(BJ28&lt;0.5, "Complete", "In Progress"))</f>
        <v>#REF!</v>
      </c>
      <c r="BL28" s="22">
        <v>0</v>
      </c>
      <c r="BM28" s="22" t="e">
        <f t="shared" si="156"/>
        <v>#REF!</v>
      </c>
      <c r="BN28" s="23" t="e">
        <f>IF(SUMPRODUCT($J$73:BM$73,$J28:BM28)&lt;0.5, "Pending", IF(BM28&lt;0.5, "Complete", "In Progress"))</f>
        <v>#REF!</v>
      </c>
      <c r="BO28" s="22">
        <v>0</v>
      </c>
      <c r="BP28" s="22" t="e">
        <f t="shared" si="157"/>
        <v>#REF!</v>
      </c>
      <c r="BQ28" s="23" t="e">
        <f>IF(SUMPRODUCT($J$73:BP$73,$J28:BP28)&lt;0.5, "Pending", IF(BP28&lt;0.5, "Complete", "In Progress"))</f>
        <v>#REF!</v>
      </c>
      <c r="BR28" s="22">
        <v>0</v>
      </c>
      <c r="BS28" s="22" t="e">
        <f t="shared" si="158"/>
        <v>#REF!</v>
      </c>
      <c r="BT28" s="23" t="e">
        <f>IF(SUMPRODUCT($J$73:BS$73,$J28:BS28)&lt;0.5, "Pending", IF(BS28&lt;0.5, "Complete", "In Progress"))</f>
        <v>#REF!</v>
      </c>
      <c r="BU28" s="22">
        <v>0</v>
      </c>
      <c r="BV28" s="22" t="e">
        <f t="shared" si="159"/>
        <v>#REF!</v>
      </c>
      <c r="BW28" s="23" t="e">
        <f>IF(SUMPRODUCT($J$73:BV$73,$J28:BV28)&lt;0.5, "Pending", IF(BV28&lt;0.5, "Complete", "In Progress"))</f>
        <v>#REF!</v>
      </c>
      <c r="BX28" s="22">
        <v>0</v>
      </c>
      <c r="BY28" s="22" t="e">
        <f t="shared" si="160"/>
        <v>#REF!</v>
      </c>
      <c r="BZ28" s="23" t="e">
        <f>IF(SUMPRODUCT($J$73:BY$73,$J28:BY28)&lt;0.5, "Pending", IF(BY28&lt;0.5, "Complete", "In Progress"))</f>
        <v>#REF!</v>
      </c>
      <c r="CA28" s="22">
        <v>0</v>
      </c>
      <c r="CB28" s="22" t="e">
        <f t="shared" si="161"/>
        <v>#REF!</v>
      </c>
      <c r="CC28" s="23" t="e">
        <f>IF(SUMPRODUCT($J$73:CB$73,$J28:CB28)&lt;0.5, "Pending", IF(CB28&lt;0.5, "Complete", "In Progress"))</f>
        <v>#REF!</v>
      </c>
      <c r="CD28" s="24"/>
      <c r="CE28" s="25">
        <f>SUMPRODUCT($H$73:AY$73,$H28:AY28)</f>
        <v>7</v>
      </c>
    </row>
    <row r="29" spans="1:83" x14ac:dyDescent="0.2">
      <c r="A29" s="16"/>
      <c r="B29" s="16" t="s">
        <v>619</v>
      </c>
      <c r="C29" s="16" t="s">
        <v>168</v>
      </c>
      <c r="D29" s="17" t="s">
        <v>615</v>
      </c>
      <c r="E29" s="178" t="s">
        <v>618</v>
      </c>
      <c r="F29" s="18" t="s">
        <v>119</v>
      </c>
      <c r="G29" s="19" t="str">
        <f t="shared" ca="1" si="0"/>
        <v>Complete</v>
      </c>
      <c r="H29" s="20">
        <v>1</v>
      </c>
      <c r="I29" s="21">
        <v>7</v>
      </c>
      <c r="J29" s="22">
        <v>7</v>
      </c>
      <c r="K29" s="22">
        <f t="shared" si="24"/>
        <v>0</v>
      </c>
      <c r="L29" s="23" t="str">
        <f>IF(SUMPRODUCT($J$73:K$73,$J29:K29)&lt;0.5, "Pending", IF(K29&lt;0.5, "Complete", "In Progress"))</f>
        <v>Complete</v>
      </c>
      <c r="M29" s="22">
        <v>0</v>
      </c>
      <c r="N29" s="22">
        <f t="shared" si="25"/>
        <v>0</v>
      </c>
      <c r="O29" s="23" t="str">
        <f>IF(SUMPRODUCT($J$73:N$73,$J29:N29)&lt;0.5, "Pending", IF(N29&lt;0.5, "Complete", "In Progress"))</f>
        <v>Complete</v>
      </c>
      <c r="P29" s="22">
        <v>0</v>
      </c>
      <c r="Q29" s="22">
        <f t="shared" si="26"/>
        <v>0</v>
      </c>
      <c r="R29" s="23" t="str">
        <f>IF(SUMPRODUCT($J$73:Q$73,$J29:Q29)&lt;0.5, "Pending", IF(Q29&lt;0.5, "Complete", "In Progress"))</f>
        <v>Complete</v>
      </c>
      <c r="S29" s="22">
        <v>0</v>
      </c>
      <c r="T29" s="22">
        <f t="shared" si="27"/>
        <v>0</v>
      </c>
      <c r="U29" s="23" t="str">
        <f>IF(SUMPRODUCT($J$73:T$73,$J29:T29)&lt;0.5, "Pending", IF(T29&lt;0.5, "Complete", "In Progress"))</f>
        <v>Complete</v>
      </c>
      <c r="V29" s="22">
        <v>0</v>
      </c>
      <c r="W29" s="22">
        <f t="shared" si="28"/>
        <v>0</v>
      </c>
      <c r="X29" s="23" t="str">
        <f>IF(SUMPRODUCT($J$73:W$73,$J29:W29)&lt;0.5, "Pending", IF(W29&lt;0.5, "Complete", "In Progress"))</f>
        <v>Complete</v>
      </c>
      <c r="Y29" s="22">
        <v>0</v>
      </c>
      <c r="Z29" s="22">
        <f t="shared" si="29"/>
        <v>0</v>
      </c>
      <c r="AA29" s="23" t="str">
        <f>IF(SUMPRODUCT($J$73:Z$73,$J29:Z29)&lt;0.5, "Pending", IF(Z29&lt;0.5, "Complete", "In Progress"))</f>
        <v>Complete</v>
      </c>
      <c r="AB29" s="22">
        <v>0</v>
      </c>
      <c r="AC29" s="22">
        <f t="shared" si="30"/>
        <v>0</v>
      </c>
      <c r="AD29" s="23" t="str">
        <f>IF(SUMPRODUCT($J$73:AC$73,$J29:AC29)&lt;0.5, "Pending", IF(AC29&lt;0.5, "Complete", "In Progress"))</f>
        <v>Complete</v>
      </c>
      <c r="AE29" s="22">
        <v>0</v>
      </c>
      <c r="AF29" s="22">
        <f t="shared" si="31"/>
        <v>0</v>
      </c>
      <c r="AG29" s="23" t="str">
        <f>IF(SUMPRODUCT($J$73:AF$73,$J29:AF29)&lt;0.5, "Pending", IF(AF29&lt;0.5, "Complete", "In Progress"))</f>
        <v>Complete</v>
      </c>
      <c r="AH29" s="22">
        <v>0</v>
      </c>
      <c r="AI29" s="22">
        <f t="shared" si="32"/>
        <v>0</v>
      </c>
      <c r="AJ29" s="23" t="str">
        <f>IF(SUMPRODUCT($J$73:AI$73,$J29:AI29)&lt;0.5, "Pending", IF(AI29&lt;0.5, "Complete", "In Progress"))</f>
        <v>Complete</v>
      </c>
      <c r="AK29" s="22">
        <v>0</v>
      </c>
      <c r="AL29" s="22">
        <f t="shared" si="33"/>
        <v>0</v>
      </c>
      <c r="AM29" s="23" t="str">
        <f>IF(SUMPRODUCT($J$73:AL$73,$J29:AL29)&lt;0.5, "Pending", IF(AL29&lt;0.5, "Complete", "In Progress"))</f>
        <v>Complete</v>
      </c>
      <c r="AN29" s="22">
        <v>0</v>
      </c>
      <c r="AO29" s="22">
        <f t="shared" si="34"/>
        <v>0</v>
      </c>
      <c r="AP29" s="23" t="str">
        <f>IF(SUMPRODUCT($J$73:AO$73,$J29:AO29)&lt;0.5, "Pending", IF(AO29&lt;0.5, "Complete", "In Progress"))</f>
        <v>Complete</v>
      </c>
      <c r="AQ29" s="22">
        <v>0</v>
      </c>
      <c r="AR29" s="22">
        <f t="shared" si="35"/>
        <v>0</v>
      </c>
      <c r="AS29" s="23" t="str">
        <f>IF(SUMPRODUCT($J$73:AR$73,$J29:AR29)&lt;0.5, "Pending", IF(AR29&lt;0.5, "Complete", "In Progress"))</f>
        <v>Complete</v>
      </c>
      <c r="AT29" s="22">
        <v>0</v>
      </c>
      <c r="AU29" s="22">
        <f t="shared" si="36"/>
        <v>0</v>
      </c>
      <c r="AV29" s="23" t="str">
        <f>IF(SUMPRODUCT($J$73:AU$73,$J29:AU29)&lt;0.5, "Pending", IF(AU29&lt;0.5, "Complete", "In Progress"))</f>
        <v>Complete</v>
      </c>
      <c r="AW29" s="22">
        <v>0</v>
      </c>
      <c r="AX29" s="22">
        <f t="shared" si="37"/>
        <v>0</v>
      </c>
      <c r="AY29" s="23" t="str">
        <f>IF(SUMPRODUCT($J$73:AX$73,$J29:AX29)&lt;0.5, "Pending", IF(AX29&lt;0.5, "Complete", "In Progress"))</f>
        <v>Complete</v>
      </c>
      <c r="AZ29" s="22">
        <v>0</v>
      </c>
      <c r="BA29" s="22" t="e">
        <f>MAX(#REF!-AZ29,0)</f>
        <v>#REF!</v>
      </c>
      <c r="BB29" s="23" t="e">
        <f>IF(SUMPRODUCT($J$73:BA$73,$J29:BA29)&lt;0.5,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IF(SUMPRODUCT($J$73:BD$73,$J29:BD29)&lt;0.5,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IF(SUMPRODUCT($J$73:BG$73,$J29:BG29)&lt;0.5,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IF(SUMPRODUCT($J$73:BJ$73,$J29:BJ29)&lt;0.5,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IF(SUMPRODUCT($J$73:BM$73,$J29:BM29)&lt;0.5,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IF(SUMPRODUCT($J$73:BP$73,$J29:BP29)&lt;0.5,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IF(SUMPRODUCT($J$73:BS$73,$J29:BS29)&lt;0.5,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IF(SUMPRODUCT($J$73:BV$73,$J29:BV29)&lt;0.5,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IF(SUMPRODUCT($J$73:BY$73,$J29:BY29)&lt;0.5,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IF(SUMPRODUCT($J$73:CB$73,$J29:CB29)&lt;0.5, "Pending", IF(CB29&lt;0.5, "Complete", "In Progress"))</f>
        <v>#REF!</v>
      </c>
      <c r="CD29" s="24"/>
      <c r="CE29" s="25">
        <f>SUMPRODUCT($H$73:AY$73,$H29:AY29)</f>
        <v>7</v>
      </c>
    </row>
    <row r="30" spans="1:83" x14ac:dyDescent="0.2">
      <c r="A30" s="16"/>
      <c r="C30" s="16"/>
      <c r="D30" s="17"/>
      <c r="F30" s="18" t="s">
        <v>114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IF(SUMPRODUCT($J$73:K$73,$J30:K30)&lt;0.5,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IF(SUMPRODUCT($J$73:N$73,$J30:N30)&lt;0.5,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IF(SUMPRODUCT($J$73:Q$73,$J30:Q30)&lt;0.5,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IF(SUMPRODUCT($J$73:T$73,$J30:T30)&lt;0.5,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IF(SUMPRODUCT($J$73:W$73,$J30:W30)&lt;0.5,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IF(SUMPRODUCT($J$73:Z$73,$J30:Z30)&lt;0.5,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IF(SUMPRODUCT($J$73:AC$73,$J30:AC30)&lt;0.5,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IF(SUMPRODUCT($J$73:AF$73,$J30:AF30)&lt;0.5,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IF(SUMPRODUCT($J$73:AI$73,$J30:AI30)&lt;0.5,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IF(SUMPRODUCT($J$73:AL$73,$J30:AL30)&lt;0.5,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IF(SUMPRODUCT($J$73:AO$73,$J30:AO30)&lt;0.5,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IF(SUMPRODUCT($J$73:AR$73,$J30:AR30)&lt;0.5,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IF(SUMPRODUCT($J$73:AU$73,$J30:AU30)&lt;0.5,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IF(SUMPRODUCT($J$73:AX$73,$J30:AX30)&lt;0.5,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IF(SUMPRODUCT($J$73:BA$73,$J30:BA30)&lt;0.5,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IF(SUMPRODUCT($J$73:BD$73,$J30:BD30)&lt;0.5,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IF(SUMPRODUCT($J$73:BG$73,$J30:BG30)&lt;0.5,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IF(SUMPRODUCT($J$73:BJ$73,$J30:BJ30)&lt;0.5,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IF(SUMPRODUCT($J$73:BM$73,$J30:BM30)&lt;0.5,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IF(SUMPRODUCT($J$73:BP$73,$J30:BP30)&lt;0.5,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IF(SUMPRODUCT($J$73:BS$73,$J30:BS30)&lt;0.5,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IF(SUMPRODUCT($J$73:BV$73,$J30:BV30)&lt;0.5,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IF(SUMPRODUCT($J$73:BY$73,$J30:BY30)&lt;0.5,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IF(SUMPRODUCT($J$73:CB$73,$J30:CB30)&lt;0.5, "Pending", IF(CB30&lt;0.5, "Complete", "In Progress"))</f>
        <v>#REF!</v>
      </c>
      <c r="CD30" s="24"/>
      <c r="CE30" s="25">
        <f>SUMPRODUCT($H$73:AY$73,$H30:AY30)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IF(SUMPRODUCT($J$73:K$73,$J31:K31)&lt;0.5,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IF(SUMPRODUCT($J$73:N$73,$J31:N31)&lt;0.5,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IF(SUMPRODUCT($J$73:Q$73,$J31:Q31)&lt;0.5,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IF(SUMPRODUCT($J$73:T$73,$J31:T31)&lt;0.5,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IF(SUMPRODUCT($J$73:W$73,$J31:W31)&lt;0.5,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IF(SUMPRODUCT($J$73:Z$73,$J31:Z31)&lt;0.5,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IF(SUMPRODUCT($J$73:AC$73,$J31:AC31)&lt;0.5,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IF(SUMPRODUCT($J$73:AF$73,$J31:AF31)&lt;0.5,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IF(SUMPRODUCT($J$73:AI$73,$J31:AI31)&lt;0.5,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IF(SUMPRODUCT($J$73:AL$73,$J31:AL31)&lt;0.5,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IF(SUMPRODUCT($J$73:AO$73,$J31:AO31)&lt;0.5,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IF(SUMPRODUCT($J$73:AR$73,$J31:AR31)&lt;0.5,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IF(SUMPRODUCT($J$73:AU$73,$J31:AU31)&lt;0.5,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IF(SUMPRODUCT($J$73:AX$73,$J31:AX31)&lt;0.5,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IF(SUMPRODUCT($J$73:BA$73,$J31:BA31)&lt;0.5,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IF(SUMPRODUCT($J$73:BD$73,$J31:BD31)&lt;0.5,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IF(SUMPRODUCT($J$73:BG$73,$J31:BG31)&lt;0.5,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IF(SUMPRODUCT($J$73:BJ$73,$J31:BJ31)&lt;0.5,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IF(SUMPRODUCT($J$73:BM$73,$J31:BM31)&lt;0.5,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IF(SUMPRODUCT($J$73:BP$73,$J31:BP31)&lt;0.5,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IF(SUMPRODUCT($J$73:BS$73,$J31:BS31)&lt;0.5,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IF(SUMPRODUCT($J$73:BV$73,$J31:BV31)&lt;0.5,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IF(SUMPRODUCT($J$73:BY$73,$J31:BY31)&lt;0.5,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IF(SUMPRODUCT($J$73:CB$73,$J31:CB31)&lt;0.5, "Pending", IF(CB31&lt;0.5, "Complete", "In Progress"))</f>
        <v>#REF!</v>
      </c>
      <c r="CD31" s="24"/>
      <c r="CE31" s="25">
        <f>SUMPRODUCT($H$73:AY$73,$H31:AY31)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IF(SUMPRODUCT($J$73:K$73,$J32:K32)&lt;0.5,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IF(SUMPRODUCT($J$73:N$73,$J32:N32)&lt;0.5,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IF(SUMPRODUCT($J$73:Q$73,$J32:Q32)&lt;0.5,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IF(SUMPRODUCT($J$73:T$73,$J32:T32)&lt;0.5,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IF(SUMPRODUCT($J$73:W$73,$J32:W32)&lt;0.5,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IF(SUMPRODUCT($J$73:Z$73,$J32:Z32)&lt;0.5,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IF(SUMPRODUCT($J$73:AC$73,$J32:AC32)&lt;0.5,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IF(SUMPRODUCT($J$73:AF$73,$J32:AF32)&lt;0.5,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IF(SUMPRODUCT($J$73:AI$73,$J32:AI32)&lt;0.5,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IF(SUMPRODUCT($J$73:AL$73,$J32:AL32)&lt;0.5,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IF(SUMPRODUCT($J$73:AO$73,$J32:AO32)&lt;0.5,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IF(SUMPRODUCT($J$73:AR$73,$J32:AR32)&lt;0.5,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IF(SUMPRODUCT($J$73:AU$73,$J32:AU32)&lt;0.5,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IF(SUMPRODUCT($J$73:AX$73,$J32:AX32)&lt;0.5,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IF(SUMPRODUCT($J$73:BA$73,$J32:BA32)&lt;0.5,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IF(SUMPRODUCT($J$73:BD$73,$J32:BD32)&lt;0.5,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IF(SUMPRODUCT($J$73:BG$73,$J32:BG32)&lt;0.5,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IF(SUMPRODUCT($J$73:BJ$73,$J32:BJ32)&lt;0.5,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IF(SUMPRODUCT($J$73:BM$73,$J32:BM32)&lt;0.5,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IF(SUMPRODUCT($J$73:BP$73,$J32:BP32)&lt;0.5,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IF(SUMPRODUCT($J$73:BS$73,$J32:BS32)&lt;0.5,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IF(SUMPRODUCT($J$73:BV$73,$J32:BV32)&lt;0.5,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IF(SUMPRODUCT($J$73:BY$73,$J32:BY32)&lt;0.5,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IF(SUMPRODUCT($J$73:CB$73,$J32:CB32)&lt;0.5, "Pending", IF(CB32&lt;0.5, "Complete", "In Progress"))</f>
        <v>#REF!</v>
      </c>
      <c r="CD32" s="24"/>
      <c r="CE32" s="25">
        <f>SUMPRODUCT($H$73:AY$73,$H32:AY32)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IF(SUMPRODUCT($J$73:K$73,$J33:K33)&lt;0.5,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IF(SUMPRODUCT($J$73:N$73,$J33:N33)&lt;0.5,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IF(SUMPRODUCT($J$73:Q$73,$J33:Q33)&lt;0.5,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IF(SUMPRODUCT($J$73:T$73,$J33:T33)&lt;0.5,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IF(SUMPRODUCT($J$73:W$73,$J33:W33)&lt;0.5,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IF(SUMPRODUCT($J$73:Z$73,$J33:Z33)&lt;0.5,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IF(SUMPRODUCT($J$73:AC$73,$J33:AC33)&lt;0.5,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IF(SUMPRODUCT($J$73:AF$73,$J33:AF33)&lt;0.5,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IF(SUMPRODUCT($J$73:AI$73,$J33:AI33)&lt;0.5,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IF(SUMPRODUCT($J$73:AL$73,$J33:AL33)&lt;0.5,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IF(SUMPRODUCT($J$73:AO$73,$J33:AO33)&lt;0.5,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IF(SUMPRODUCT($J$73:AR$73,$J33:AR33)&lt;0.5,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IF(SUMPRODUCT($J$73:AU$73,$J33:AU33)&lt;0.5,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IF(SUMPRODUCT($J$73:AX$73,$J33:AX33)&lt;0.5,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IF(SUMPRODUCT($J$73:BA$73,$J33:BA33)&lt;0.5,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IF(SUMPRODUCT($J$73:BD$73,$J33:BD33)&lt;0.5,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IF(SUMPRODUCT($J$73:BG$73,$J33:BG33)&lt;0.5,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IF(SUMPRODUCT($J$73:BJ$73,$J33:BJ33)&lt;0.5,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IF(SUMPRODUCT($J$73:BM$73,$J33:BM33)&lt;0.5,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IF(SUMPRODUCT($J$73:BP$73,$J33:BP33)&lt;0.5,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IF(SUMPRODUCT($J$73:BS$73,$J33:BS33)&lt;0.5,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IF(SUMPRODUCT($J$73:BV$73,$J33:BV33)&lt;0.5,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IF(SUMPRODUCT($J$73:BY$73,$J33:BY33)&lt;0.5,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IF(SUMPRODUCT($J$73:CB$73,$J33:CB33)&lt;0.5, "Pending", IF(CB33&lt;0.5, "Complete", "In Progress"))</f>
        <v>#REF!</v>
      </c>
      <c r="CD33" s="24"/>
      <c r="CE33" s="25">
        <f>SUMPRODUCT($H$73:AY$73,$H33:AY33)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IF(SUMPRODUCT($J$73:K$73,$J34:K34)&lt;0.5,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IF(SUMPRODUCT($J$73:N$73,$J34:N34)&lt;0.5,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IF(SUMPRODUCT($J$73:Q$73,$J34:Q34)&lt;0.5,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IF(SUMPRODUCT($J$73:T$73,$J34:T34)&lt;0.5,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IF(SUMPRODUCT($J$73:W$73,$J34:W34)&lt;0.5,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IF(SUMPRODUCT($J$73:Z$73,$J34:Z34)&lt;0.5,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IF(SUMPRODUCT($J$73:AC$73,$J34:AC34)&lt;0.5,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IF(SUMPRODUCT($J$73:AF$73,$J34:AF34)&lt;0.5,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IF(SUMPRODUCT($J$73:AI$73,$J34:AI34)&lt;0.5,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IF(SUMPRODUCT($J$73:AL$73,$J34:AL34)&lt;0.5,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IF(SUMPRODUCT($J$73:AO$73,$J34:AO34)&lt;0.5,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IF(SUMPRODUCT($J$73:AR$73,$J34:AR34)&lt;0.5,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IF(SUMPRODUCT($J$73:AU$73,$J34:AU34)&lt;0.5,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IF(SUMPRODUCT($J$73:AX$73,$J34:AX34)&lt;0.5,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IF(SUMPRODUCT($J$73:BA$73,$J34:BA34)&lt;0.5,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IF(SUMPRODUCT($J$73:BD$73,$J34:BD34)&lt;0.5,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IF(SUMPRODUCT($J$73:BG$73,$J34:BG34)&lt;0.5,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IF(SUMPRODUCT($J$73:BJ$73,$J34:BJ34)&lt;0.5,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IF(SUMPRODUCT($J$73:BM$73,$J34:BM34)&lt;0.5,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IF(SUMPRODUCT($J$73:BP$73,$J34:BP34)&lt;0.5,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IF(SUMPRODUCT($J$73:BS$73,$J34:BS34)&lt;0.5,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IF(SUMPRODUCT($J$73:BV$73,$J34:BV34)&lt;0.5,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IF(SUMPRODUCT($J$73:BY$73,$J34:BY34)&lt;0.5,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IF(SUMPRODUCT($J$73:CB$73,$J34:CB34)&lt;0.5, "Pending", IF(CB34&lt;0.5, "Complete", "In Progress"))</f>
        <v>#REF!</v>
      </c>
      <c r="CD34" s="24"/>
      <c r="CE34" s="25">
        <f>SUMPRODUCT($H$73:AY$73,$H34:AY34)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IF(SUMPRODUCT($J$73:K$73,$J35:K35)&lt;0.5,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IF(SUMPRODUCT($J$73:N$73,$J35:N35)&lt;0.5,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IF(SUMPRODUCT($J$73:Q$73,$J35:Q35)&lt;0.5,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IF(SUMPRODUCT($J$73:T$73,$J35:T35)&lt;0.5,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IF(SUMPRODUCT($J$73:W$73,$J35:W35)&lt;0.5,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IF(SUMPRODUCT($J$73:Z$73,$J35:Z35)&lt;0.5,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IF(SUMPRODUCT($J$73:AC$73,$J35:AC35)&lt;0.5,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IF(SUMPRODUCT($J$73:AF$73,$J35:AF35)&lt;0.5,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IF(SUMPRODUCT($J$73:AI$73,$J35:AI35)&lt;0.5,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IF(SUMPRODUCT($J$73:AL$73,$J35:AL35)&lt;0.5,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IF(SUMPRODUCT($J$73:AO$73,$J35:AO35)&lt;0.5,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IF(SUMPRODUCT($J$73:AR$73,$J35:AR35)&lt;0.5,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IF(SUMPRODUCT($J$73:AU$73,$J35:AU35)&lt;0.5,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IF(SUMPRODUCT($J$73:AX$73,$J35:AX35)&lt;0.5,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IF(SUMPRODUCT($J$73:BA$73,$J35:BA35)&lt;0.5,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IF(SUMPRODUCT($J$73:BD$73,$J35:BD35)&lt;0.5,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IF(SUMPRODUCT($J$73:BG$73,$J35:BG35)&lt;0.5,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IF(SUMPRODUCT($J$73:BJ$73,$J35:BJ35)&lt;0.5,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IF(SUMPRODUCT($J$73:BM$73,$J35:BM35)&lt;0.5,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IF(SUMPRODUCT($J$73:BP$73,$J35:BP35)&lt;0.5,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IF(SUMPRODUCT($J$73:BS$73,$J35:BS35)&lt;0.5,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IF(SUMPRODUCT($J$73:BV$73,$J35:BV35)&lt;0.5,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IF(SUMPRODUCT($J$73:BY$73,$J35:BY35)&lt;0.5,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IF(SUMPRODUCT($J$73:CB$73,$J35:CB35)&lt;0.5, "Pending", IF(CB35&lt;0.5, "Complete", "In Progress"))</f>
        <v>#REF!</v>
      </c>
      <c r="CD35" s="24"/>
      <c r="CE35" s="25">
        <f>SUMPRODUCT($H$73:AY$73,$H35:AY35)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IF(SUMPRODUCT($J$73:K$73,$J36:K36)&lt;0.5,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IF(SUMPRODUCT($J$73:N$73,$J36:N36)&lt;0.5,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IF(SUMPRODUCT($J$73:Q$73,$J36:Q36)&lt;0.5,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IF(SUMPRODUCT($J$73:T$73,$J36:T36)&lt;0.5,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IF(SUMPRODUCT($J$73:W$73,$J36:W36)&lt;0.5,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IF(SUMPRODUCT($J$73:Z$73,$J36:Z36)&lt;0.5,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IF(SUMPRODUCT($J$73:AC$73,$J36:AC36)&lt;0.5,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IF(SUMPRODUCT($J$73:AF$73,$J36:AF36)&lt;0.5,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IF(SUMPRODUCT($J$73:AI$73,$J36:AI36)&lt;0.5,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IF(SUMPRODUCT($J$73:AL$73,$J36:AL36)&lt;0.5,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IF(SUMPRODUCT($J$73:AO$73,$J36:AO36)&lt;0.5,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IF(SUMPRODUCT($J$73:AR$73,$J36:AR36)&lt;0.5,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IF(SUMPRODUCT($J$73:AU$73,$J36:AU36)&lt;0.5,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IF(SUMPRODUCT($J$73:AX$73,$J36:AX36)&lt;0.5,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IF(SUMPRODUCT($J$73:BA$73,$J36:BA36)&lt;0.5,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IF(SUMPRODUCT($J$73:BD$73,$J36:BD36)&lt;0.5,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IF(SUMPRODUCT($J$73:BG$73,$J36:BG36)&lt;0.5,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IF(SUMPRODUCT($J$73:BJ$73,$J36:BJ36)&lt;0.5,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IF(SUMPRODUCT($J$73:BM$73,$J36:BM36)&lt;0.5,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IF(SUMPRODUCT($J$73:BP$73,$J36:BP36)&lt;0.5,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IF(SUMPRODUCT($J$73:BS$73,$J36:BS36)&lt;0.5,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IF(SUMPRODUCT($J$73:BV$73,$J36:BV36)&lt;0.5,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IF(SUMPRODUCT($J$73:BY$73,$J36:BY36)&lt;0.5,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IF(SUMPRODUCT($J$73:CB$73,$J36:CB36)&lt;0.5, "Pending", IF(CB36&lt;0.5, "Complete", "In Progress"))</f>
        <v>#REF!</v>
      </c>
      <c r="CD36" s="24"/>
      <c r="CE36" s="25">
        <f>SUMPRODUCT($H$73:AY$73,$H36:AY36)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IF(SUMPRODUCT($J$73:K$73,$J37:K37)&lt;0.5,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IF(SUMPRODUCT($J$73:N$73,$J37:N37)&lt;0.5,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IF(SUMPRODUCT($J$73:Q$73,$J37:Q37)&lt;0.5,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IF(SUMPRODUCT($J$73:T$73,$J37:T37)&lt;0.5,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IF(SUMPRODUCT($J$73:W$73,$J37:W37)&lt;0.5,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IF(SUMPRODUCT($J$73:Z$73,$J37:Z37)&lt;0.5,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IF(SUMPRODUCT($J$73:AC$73,$J37:AC37)&lt;0.5,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IF(SUMPRODUCT($J$73:AF$73,$J37:AF37)&lt;0.5,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IF(SUMPRODUCT($J$73:AI$73,$J37:AI37)&lt;0.5,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IF(SUMPRODUCT($J$73:AL$73,$J37:AL37)&lt;0.5,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IF(SUMPRODUCT($J$73:AO$73,$J37:AO37)&lt;0.5,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IF(SUMPRODUCT($J$73:AR$73,$J37:AR37)&lt;0.5,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IF(SUMPRODUCT($J$73:AU$73,$J37:AU37)&lt;0.5,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IF(SUMPRODUCT($J$73:AX$73,$J37:AX37)&lt;0.5,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IF(SUMPRODUCT($J$73:BA$73,$J37:BA37)&lt;0.5,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IF(SUMPRODUCT($J$73:BD$73,$J37:BD37)&lt;0.5,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IF(SUMPRODUCT($J$73:BG$73,$J37:BG37)&lt;0.5,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IF(SUMPRODUCT($J$73:BJ$73,$J37:BJ37)&lt;0.5,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IF(SUMPRODUCT($J$73:BM$73,$J37:BM37)&lt;0.5,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IF(SUMPRODUCT($J$73:BP$73,$J37:BP37)&lt;0.5,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IF(SUMPRODUCT($J$73:BS$73,$J37:BS37)&lt;0.5,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IF(SUMPRODUCT($J$73:BV$73,$J37:BV37)&lt;0.5,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IF(SUMPRODUCT($J$73:BY$73,$J37:BY37)&lt;0.5,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IF(SUMPRODUCT($J$73:CB$73,$J37:CB37)&lt;0.5, "Pending", IF(CB37&lt;0.5, "Complete", "In Progress"))</f>
        <v>#REF!</v>
      </c>
      <c r="CD37" s="24"/>
      <c r="CE37" s="25">
        <f>SUMPRODUCT($H$73:AY$73,$H37:AY37)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IF(SUMPRODUCT($J$73:K$73,$J38:K38)&lt;0.5,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IF(SUMPRODUCT($J$73:N$73,$J38:N38)&lt;0.5,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IF(SUMPRODUCT($J$73:Q$73,$J38:Q38)&lt;0.5,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IF(SUMPRODUCT($J$73:T$73,$J38:T38)&lt;0.5,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IF(SUMPRODUCT($J$73:W$73,$J38:W38)&lt;0.5,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IF(SUMPRODUCT($J$73:Z$73,$J38:Z38)&lt;0.5,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IF(SUMPRODUCT($J$73:AC$73,$J38:AC38)&lt;0.5,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IF(SUMPRODUCT($J$73:AF$73,$J38:AF38)&lt;0.5,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IF(SUMPRODUCT($J$73:AI$73,$J38:AI38)&lt;0.5,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IF(SUMPRODUCT($J$73:AL$73,$J38:AL38)&lt;0.5,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IF(SUMPRODUCT($J$73:AO$73,$J38:AO38)&lt;0.5,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IF(SUMPRODUCT($J$73:AR$73,$J38:AR38)&lt;0.5,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IF(SUMPRODUCT($J$73:AU$73,$J38:AU38)&lt;0.5,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IF(SUMPRODUCT($J$73:AX$73,$J38:AX38)&lt;0.5,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IF(SUMPRODUCT($J$73:BA$73,$J38:BA38)&lt;0.5,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IF(SUMPRODUCT($J$73:BD$73,$J38:BD38)&lt;0.5,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IF(SUMPRODUCT($J$73:BG$73,$J38:BG38)&lt;0.5,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IF(SUMPRODUCT($J$73:BJ$73,$J38:BJ38)&lt;0.5,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IF(SUMPRODUCT($J$73:BM$73,$J38:BM38)&lt;0.5,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IF(SUMPRODUCT($J$73:BP$73,$J38:BP38)&lt;0.5,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IF(SUMPRODUCT($J$73:BS$73,$J38:BS38)&lt;0.5,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IF(SUMPRODUCT($J$73:BV$73,$J38:BV38)&lt;0.5,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IF(SUMPRODUCT($J$73:BY$73,$J38:BY38)&lt;0.5,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IF(SUMPRODUCT($J$73:CB$73,$J38:CB38)&lt;0.5, "Pending", IF(CB38&lt;0.5, "Complete", "In Progress"))</f>
        <v>#REF!</v>
      </c>
      <c r="CD38" s="24"/>
      <c r="CE38" s="25">
        <f>SUMPRODUCT($H$73:AY$73,$H38:AY38)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IF(SUMPRODUCT($J$73:K$73,$J39:K39)&lt;0.5,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IF(SUMPRODUCT($J$73:N$73,$J39:N39)&lt;0.5,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IF(SUMPRODUCT($J$73:Q$73,$J39:Q39)&lt;0.5,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IF(SUMPRODUCT($J$73:T$73,$J39:T39)&lt;0.5,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IF(SUMPRODUCT($J$73:W$73,$J39:W39)&lt;0.5,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IF(SUMPRODUCT($J$73:Z$73,$J39:Z39)&lt;0.5,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IF(SUMPRODUCT($J$73:AC$73,$J39:AC39)&lt;0.5,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IF(SUMPRODUCT($J$73:AF$73,$J39:AF39)&lt;0.5,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IF(SUMPRODUCT($J$73:AI$73,$J39:AI39)&lt;0.5,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IF(SUMPRODUCT($J$73:AL$73,$J39:AL39)&lt;0.5,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IF(SUMPRODUCT($J$73:AO$73,$J39:AO39)&lt;0.5,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IF(SUMPRODUCT($J$73:AR$73,$J39:AR39)&lt;0.5,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IF(SUMPRODUCT($J$73:AU$73,$J39:AU39)&lt;0.5,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IF(SUMPRODUCT($J$73:AX$73,$J39:AX39)&lt;0.5,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IF(SUMPRODUCT($J$73:BA$73,$J39:BA39)&lt;0.5,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IF(SUMPRODUCT($J$73:BD$73,$J39:BD39)&lt;0.5,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IF(SUMPRODUCT($J$73:BG$73,$J39:BG39)&lt;0.5,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IF(SUMPRODUCT($J$73:BJ$73,$J39:BJ39)&lt;0.5,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IF(SUMPRODUCT($J$73:BM$73,$J39:BM39)&lt;0.5,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IF(SUMPRODUCT($J$73:BP$73,$J39:BP39)&lt;0.5,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IF(SUMPRODUCT($J$73:BS$73,$J39:BS39)&lt;0.5,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IF(SUMPRODUCT($J$73:BV$73,$J39:BV39)&lt;0.5,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IF(SUMPRODUCT($J$73:BY$73,$J39:BY39)&lt;0.5,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IF(SUMPRODUCT($J$73:CB$73,$J39:CB39)&lt;0.5, "Pending", IF(CB39&lt;0.5, "Complete", "In Progress"))</f>
        <v>#REF!</v>
      </c>
      <c r="CD39" s="24"/>
      <c r="CE39" s="25">
        <f>SUMPRODUCT($H$73:AY$73,$H39:AY39)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IF(SUMPRODUCT($J$73:K$73,$J40:K40)&lt;0.5,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IF(SUMPRODUCT($J$73:N$73,$J40:N40)&lt;0.5,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IF(SUMPRODUCT($J$73:Q$73,$J40:Q40)&lt;0.5,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IF(SUMPRODUCT($J$73:T$73,$J40:T40)&lt;0.5,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IF(SUMPRODUCT($J$73:W$73,$J40:W40)&lt;0.5,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IF(SUMPRODUCT($J$73:Z$73,$J40:Z40)&lt;0.5,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IF(SUMPRODUCT($J$73:AC$73,$J40:AC40)&lt;0.5,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IF(SUMPRODUCT($J$73:AF$73,$J40:AF40)&lt;0.5,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IF(SUMPRODUCT($J$73:AI$73,$J40:AI40)&lt;0.5,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IF(SUMPRODUCT($J$73:AL$73,$J40:AL40)&lt;0.5,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IF(SUMPRODUCT($J$73:AO$73,$J40:AO40)&lt;0.5,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IF(SUMPRODUCT($J$73:AR$73,$J40:AR40)&lt;0.5,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IF(SUMPRODUCT($J$73:AU$73,$J40:AU40)&lt;0.5,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IF(SUMPRODUCT($J$73:AX$73,$J40:AX40)&lt;0.5,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IF(SUMPRODUCT($J$73:BA$73,$J40:BA40)&lt;0.5,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IF(SUMPRODUCT($J$73:BD$73,$J40:BD40)&lt;0.5,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IF(SUMPRODUCT($J$73:BG$73,$J40:BG40)&lt;0.5,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IF(SUMPRODUCT($J$73:BJ$73,$J40:BJ40)&lt;0.5,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IF(SUMPRODUCT($J$73:BM$73,$J40:BM40)&lt;0.5,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IF(SUMPRODUCT($J$73:BP$73,$J40:BP40)&lt;0.5,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IF(SUMPRODUCT($J$73:BS$73,$J40:BS40)&lt;0.5,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IF(SUMPRODUCT($J$73:BV$73,$J40:BV40)&lt;0.5,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IF(SUMPRODUCT($J$73:BY$73,$J40:BY40)&lt;0.5,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IF(SUMPRODUCT($J$73:CB$73,$J40:CB40)&lt;0.5, "Pending", IF(CB40&lt;0.5, "Complete", "In Progress"))</f>
        <v>#REF!</v>
      </c>
      <c r="CD40" s="24"/>
      <c r="CE40" s="25">
        <f>SUMPRODUCT($H$73:AY$73,$H40:AY40)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IF(SUMPRODUCT($J$73:K$73,$J41:K41)&lt;0.5,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IF(SUMPRODUCT($J$73:N$73,$J41:N41)&lt;0.5,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IF(SUMPRODUCT($J$73:Q$73,$J41:Q41)&lt;0.5,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IF(SUMPRODUCT($J$73:T$73,$J41:T41)&lt;0.5,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IF(SUMPRODUCT($J$73:W$73,$J41:W41)&lt;0.5,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IF(SUMPRODUCT($J$73:Z$73,$J41:Z41)&lt;0.5,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IF(SUMPRODUCT($J$73:AC$73,$J41:AC41)&lt;0.5,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IF(SUMPRODUCT($J$73:AF$73,$J41:AF41)&lt;0.5,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IF(SUMPRODUCT($J$73:AI$73,$J41:AI41)&lt;0.5,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IF(SUMPRODUCT($J$73:AL$73,$J41:AL41)&lt;0.5,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IF(SUMPRODUCT($J$73:AO$73,$J41:AO41)&lt;0.5,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IF(SUMPRODUCT($J$73:AR$73,$J41:AR41)&lt;0.5,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IF(SUMPRODUCT($J$73:AU$73,$J41:AU41)&lt;0.5,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IF(SUMPRODUCT($J$73:AX$73,$J41:AX41)&lt;0.5,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IF(SUMPRODUCT($J$73:BA$73,$J41:BA41)&lt;0.5,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IF(SUMPRODUCT($J$73:BD$73,$J41:BD41)&lt;0.5,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IF(SUMPRODUCT($J$73:BG$73,$J41:BG41)&lt;0.5,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IF(SUMPRODUCT($J$73:BJ$73,$J41:BJ41)&lt;0.5,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IF(SUMPRODUCT($J$73:BM$73,$J41:BM41)&lt;0.5,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IF(SUMPRODUCT($J$73:BP$73,$J41:BP41)&lt;0.5,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IF(SUMPRODUCT($J$73:BS$73,$J41:BS41)&lt;0.5,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IF(SUMPRODUCT($J$73:BV$73,$J41:BV41)&lt;0.5,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IF(SUMPRODUCT($J$73:BY$73,$J41:BY41)&lt;0.5,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IF(SUMPRODUCT($J$73:CB$73,$J41:CB41)&lt;0.5, "Pending", IF(CB41&lt;0.5, "Complete", "In Progress"))</f>
        <v>#REF!</v>
      </c>
      <c r="CD41" s="24"/>
      <c r="CE41" s="25">
        <f>SUMPRODUCT($H$73:AY$73,$H41:AY41)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IF(SUMPRODUCT($J$73:K$73,$J42:K42)&lt;0.5,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IF(SUMPRODUCT($J$73:N$73,$J42:N42)&lt;0.5,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IF(SUMPRODUCT($J$73:Q$73,$J42:Q42)&lt;0.5,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IF(SUMPRODUCT($J$73:T$73,$J42:T42)&lt;0.5,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IF(SUMPRODUCT($J$73:W$73,$J42:W42)&lt;0.5,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IF(SUMPRODUCT($J$73:Z$73,$J42:Z42)&lt;0.5,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IF(SUMPRODUCT($J$73:AC$73,$J42:AC42)&lt;0.5,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IF(SUMPRODUCT($J$73:AF$73,$J42:AF42)&lt;0.5,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IF(SUMPRODUCT($J$73:AI$73,$J42:AI42)&lt;0.5,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IF(SUMPRODUCT($J$73:AL$73,$J42:AL42)&lt;0.5,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IF(SUMPRODUCT($J$73:AO$73,$J42:AO42)&lt;0.5,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IF(SUMPRODUCT($J$73:AR$73,$J42:AR42)&lt;0.5,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IF(SUMPRODUCT($J$73:AU$73,$J42:AU42)&lt;0.5,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IF(SUMPRODUCT($J$73:AX$73,$J42:AX42)&lt;0.5,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IF(SUMPRODUCT($J$73:BA$73,$J42:BA42)&lt;0.5,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IF(SUMPRODUCT($J$73:BD$73,$J42:BD42)&lt;0.5,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IF(SUMPRODUCT($J$73:BG$73,$J42:BG42)&lt;0.5,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IF(SUMPRODUCT($J$73:BJ$73,$J42:BJ42)&lt;0.5,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IF(SUMPRODUCT($J$73:BM$73,$J42:BM42)&lt;0.5,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IF(SUMPRODUCT($J$73:BP$73,$J42:BP42)&lt;0.5,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IF(SUMPRODUCT($J$73:BS$73,$J42:BS42)&lt;0.5,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IF(SUMPRODUCT($J$73:BV$73,$J42:BV42)&lt;0.5,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IF(SUMPRODUCT($J$73:BY$73,$J42:BY42)&lt;0.5,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IF(SUMPRODUCT($J$73:CB$73,$J42:CB42)&lt;0.5, "Pending", IF(CB42&lt;0.5, "Complete", "In Progress"))</f>
        <v>#REF!</v>
      </c>
      <c r="CD42" s="24"/>
      <c r="CE42" s="25">
        <f>SUMPRODUCT($H$73:AY$73,$H42:AY42)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IF(SUMPRODUCT($J$73:K$73,$J43:K43)&lt;0.5,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IF(SUMPRODUCT($J$73:N$73,$J43:N43)&lt;0.5,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IF(SUMPRODUCT($J$73:Q$73,$J43:Q43)&lt;0.5,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IF(SUMPRODUCT($J$73:T$73,$J43:T43)&lt;0.5,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IF(SUMPRODUCT($J$73:W$73,$J43:W43)&lt;0.5,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IF(SUMPRODUCT($J$73:Z$73,$J43:Z43)&lt;0.5,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IF(SUMPRODUCT($J$73:AC$73,$J43:AC43)&lt;0.5,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IF(SUMPRODUCT($J$73:AF$73,$J43:AF43)&lt;0.5,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IF(SUMPRODUCT($J$73:AI$73,$J43:AI43)&lt;0.5,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IF(SUMPRODUCT($J$73:AL$73,$J43:AL43)&lt;0.5,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IF(SUMPRODUCT($J$73:AO$73,$J43:AO43)&lt;0.5,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IF(SUMPRODUCT($J$73:AR$73,$J43:AR43)&lt;0.5,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IF(SUMPRODUCT($J$73:AU$73,$J43:AU43)&lt;0.5,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IF(SUMPRODUCT($J$73:AX$73,$J43:AX43)&lt;0.5,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IF(SUMPRODUCT($J$73:BA$73,$J43:BA43)&lt;0.5,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IF(SUMPRODUCT($J$73:BD$73,$J43:BD43)&lt;0.5,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IF(SUMPRODUCT($J$73:BG$73,$J43:BG43)&lt;0.5,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IF(SUMPRODUCT($J$73:BJ$73,$J43:BJ43)&lt;0.5,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IF(SUMPRODUCT($J$73:BM$73,$J43:BM43)&lt;0.5,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IF(SUMPRODUCT($J$73:BP$73,$J43:BP43)&lt;0.5,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IF(SUMPRODUCT($J$73:BS$73,$J43:BS43)&lt;0.5,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IF(SUMPRODUCT($J$73:BV$73,$J43:BV43)&lt;0.5,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IF(SUMPRODUCT($J$73:BY$73,$J43:BY43)&lt;0.5,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IF(SUMPRODUCT($J$73:CB$73,$J43:CB43)&lt;0.5, "Pending", IF(CB43&lt;0.5, "Complete", "In Progress"))</f>
        <v>#REF!</v>
      </c>
      <c r="CD43" s="24"/>
      <c r="CE43" s="25">
        <f>SUMPRODUCT($H$73:AY$73,$H43:AY43)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IF(SUMPRODUCT($J$73:K$73,$J44:K44)&lt;0.5,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IF(SUMPRODUCT($J$73:N$73,$J44:N44)&lt;0.5,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IF(SUMPRODUCT($J$73:Q$73,$J44:Q44)&lt;0.5,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IF(SUMPRODUCT($J$73:T$73,$J44:T44)&lt;0.5,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IF(SUMPRODUCT($J$73:W$73,$J44:W44)&lt;0.5,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IF(SUMPRODUCT($J$73:Z$73,$J44:Z44)&lt;0.5,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IF(SUMPRODUCT($J$73:AC$73,$J44:AC44)&lt;0.5,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IF(SUMPRODUCT($J$73:AF$73,$J44:AF44)&lt;0.5,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IF(SUMPRODUCT($J$73:AI$73,$J44:AI44)&lt;0.5,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IF(SUMPRODUCT($J$73:AL$73,$J44:AL44)&lt;0.5,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IF(SUMPRODUCT($J$73:AO$73,$J44:AO44)&lt;0.5,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IF(SUMPRODUCT($J$73:AR$73,$J44:AR44)&lt;0.5,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IF(SUMPRODUCT($J$73:AU$73,$J44:AU44)&lt;0.5,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IF(SUMPRODUCT($J$73:AX$73,$J44:AX44)&lt;0.5,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IF(SUMPRODUCT($J$73:BA$73,$J44:BA44)&lt;0.5,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IF(SUMPRODUCT($J$73:BD$73,$J44:BD44)&lt;0.5,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IF(SUMPRODUCT($J$73:BG$73,$J44:BG44)&lt;0.5,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IF(SUMPRODUCT($J$73:BJ$73,$J44:BJ44)&lt;0.5,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IF(SUMPRODUCT($J$73:BM$73,$J44:BM44)&lt;0.5,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IF(SUMPRODUCT($J$73:BP$73,$J44:BP44)&lt;0.5,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IF(SUMPRODUCT($J$73:BS$73,$J44:BS44)&lt;0.5,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IF(SUMPRODUCT($J$73:BV$73,$J44:BV44)&lt;0.5,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IF(SUMPRODUCT($J$73:BY$73,$J44:BY44)&lt;0.5,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IF(SUMPRODUCT($J$73:CB$73,$J44:CB44)&lt;0.5, "Pending", IF(CB44&lt;0.5, "Complete", "In Progress"))</f>
        <v>#REF!</v>
      </c>
      <c r="CD44" s="24"/>
      <c r="CE44" s="25">
        <f>SUMPRODUCT($H$73:AY$73,$H44:AY44)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IF(SUMPRODUCT($J$73:K$73,$J45:K45)&lt;0.5,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IF(SUMPRODUCT($J$73:N$73,$J45:N45)&lt;0.5,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IF(SUMPRODUCT($J$73:Q$73,$J45:Q45)&lt;0.5,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IF(SUMPRODUCT($J$73:T$73,$J45:T45)&lt;0.5,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IF(SUMPRODUCT($J$73:W$73,$J45:W45)&lt;0.5,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IF(SUMPRODUCT($J$73:Z$73,$J45:Z45)&lt;0.5,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IF(SUMPRODUCT($J$73:AC$73,$J45:AC45)&lt;0.5,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IF(SUMPRODUCT($J$73:AF$73,$J45:AF45)&lt;0.5,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IF(SUMPRODUCT($J$73:AI$73,$J45:AI45)&lt;0.5,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IF(SUMPRODUCT($J$73:AL$73,$J45:AL45)&lt;0.5,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IF(SUMPRODUCT($J$73:AO$73,$J45:AO45)&lt;0.5,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IF(SUMPRODUCT($J$73:AR$73,$J45:AR45)&lt;0.5,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IF(SUMPRODUCT($J$73:AU$73,$J45:AU45)&lt;0.5,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IF(SUMPRODUCT($J$73:AX$73,$J45:AX45)&lt;0.5,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IF(SUMPRODUCT($J$73:BA$73,$J45:BA45)&lt;0.5,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IF(SUMPRODUCT($J$73:BD$73,$J45:BD45)&lt;0.5,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IF(SUMPRODUCT($J$73:BG$73,$J45:BG45)&lt;0.5,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IF(SUMPRODUCT($J$73:BJ$73,$J45:BJ45)&lt;0.5,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IF(SUMPRODUCT($J$73:BM$73,$J45:BM45)&lt;0.5,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IF(SUMPRODUCT($J$73:BP$73,$J45:BP45)&lt;0.5,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IF(SUMPRODUCT($J$73:BS$73,$J45:BS45)&lt;0.5,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IF(SUMPRODUCT($J$73:BV$73,$J45:BV45)&lt;0.5,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IF(SUMPRODUCT($J$73:BY$73,$J45:BY45)&lt;0.5,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IF(SUMPRODUCT($J$73:CB$73,$J45:CB45)&lt;0.5, "Pending", IF(CB45&lt;0.5, "Complete", "In Progress"))</f>
        <v>#REF!</v>
      </c>
      <c r="CD45" s="24"/>
      <c r="CE45" s="25">
        <f>SUMPRODUCT($H$73:AY$73,$H45:AY45)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IF(SUMPRODUCT($J$73:K$73,$J46:K46)&lt;0.5,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IF(SUMPRODUCT($J$73:N$73,$J46:N46)&lt;0.5,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IF(SUMPRODUCT($J$73:Q$73,$J46:Q46)&lt;0.5,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IF(SUMPRODUCT($J$73:T$73,$J46:T46)&lt;0.5,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IF(SUMPRODUCT($J$73:W$73,$J46:W46)&lt;0.5,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IF(SUMPRODUCT($J$73:Z$73,$J46:Z46)&lt;0.5,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IF(SUMPRODUCT($J$73:AC$73,$J46:AC46)&lt;0.5,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IF(SUMPRODUCT($J$73:AF$73,$J46:AF46)&lt;0.5,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IF(SUMPRODUCT($J$73:AI$73,$J46:AI46)&lt;0.5,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IF(SUMPRODUCT($J$73:AL$73,$J46:AL46)&lt;0.5,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IF(SUMPRODUCT($J$73:AO$73,$J46:AO46)&lt;0.5,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IF(SUMPRODUCT($J$73:AR$73,$J46:AR46)&lt;0.5,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IF(SUMPRODUCT($J$73:AU$73,$J46:AU46)&lt;0.5,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IF(SUMPRODUCT($J$73:AX$73,$J46:AX46)&lt;0.5,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IF(SUMPRODUCT($J$73:BA$73,$J46:BA46)&lt;0.5,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IF(SUMPRODUCT($J$73:BD$73,$J46:BD46)&lt;0.5,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IF(SUMPRODUCT($J$73:BG$73,$J46:BG46)&lt;0.5,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IF(SUMPRODUCT($J$73:BJ$73,$J46:BJ46)&lt;0.5,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IF(SUMPRODUCT($J$73:BM$73,$J46:BM46)&lt;0.5,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IF(SUMPRODUCT($J$73:BP$73,$J46:BP46)&lt;0.5,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IF(SUMPRODUCT($J$73:BS$73,$J46:BS46)&lt;0.5,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IF(SUMPRODUCT($J$73:BV$73,$J46:BV46)&lt;0.5,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IF(SUMPRODUCT($J$73:BY$73,$J46:BY46)&lt;0.5,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IF(SUMPRODUCT($J$73:CB$73,$J46:CB46)&lt;0.5, "Pending", IF(CB46&lt;0.5, "Complete", "In Progress"))</f>
        <v>#REF!</v>
      </c>
      <c r="CD46" s="24"/>
      <c r="CE46" s="25">
        <f>SUMPRODUCT($H$73:AY$73,$H46:AY46)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IF(SUMPRODUCT($J$73:K$73,$J47:K47)&lt;0.5,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IF(SUMPRODUCT($J$73:N$73,$J47:N47)&lt;0.5,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IF(SUMPRODUCT($J$73:Q$73,$J47:Q47)&lt;0.5,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IF(SUMPRODUCT($J$73:T$73,$J47:T47)&lt;0.5,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IF(SUMPRODUCT($J$73:W$73,$J47:W47)&lt;0.5,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IF(SUMPRODUCT($J$73:Z$73,$J47:Z47)&lt;0.5,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IF(SUMPRODUCT($J$73:AC$73,$J47:AC47)&lt;0.5,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IF(SUMPRODUCT($J$73:AF$73,$J47:AF47)&lt;0.5,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IF(SUMPRODUCT($J$73:AI$73,$J47:AI47)&lt;0.5,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IF(SUMPRODUCT($J$73:AL$73,$J47:AL47)&lt;0.5,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IF(SUMPRODUCT($J$73:AO$73,$J47:AO47)&lt;0.5,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IF(SUMPRODUCT($J$73:AR$73,$J47:AR47)&lt;0.5,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IF(SUMPRODUCT($J$73:AU$73,$J47:AU47)&lt;0.5,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IF(SUMPRODUCT($J$73:AX$73,$J47:AX47)&lt;0.5,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IF(SUMPRODUCT($J$73:BA$73,$J47:BA47)&lt;0.5,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IF(SUMPRODUCT($J$73:BD$73,$J47:BD47)&lt;0.5,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IF(SUMPRODUCT($J$73:BG$73,$J47:BG47)&lt;0.5,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IF(SUMPRODUCT($J$73:BJ$73,$J47:BJ47)&lt;0.5,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IF(SUMPRODUCT($J$73:BM$73,$J47:BM47)&lt;0.5,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IF(SUMPRODUCT($J$73:BP$73,$J47:BP47)&lt;0.5,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IF(SUMPRODUCT($J$73:BS$73,$J47:BS47)&lt;0.5,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IF(SUMPRODUCT($J$73:BV$73,$J47:BV47)&lt;0.5,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IF(SUMPRODUCT($J$73:BY$73,$J47:BY47)&lt;0.5,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IF(SUMPRODUCT($J$73:CB$73,$J47:CB47)&lt;0.5, "Pending", IF(CB47&lt;0.5, "Complete", "In Progress"))</f>
        <v>#REF!</v>
      </c>
      <c r="CD47" s="24"/>
      <c r="CE47" s="25">
        <f>SUMPRODUCT($H$73:AY$73,$H47:AY47)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IF(SUMPRODUCT($J$73:K$73,$J48:K48)&lt;0.5,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IF(SUMPRODUCT($J$73:N$73,$J48:N48)&lt;0.5,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IF(SUMPRODUCT($J$73:Q$73,$J48:Q48)&lt;0.5,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IF(SUMPRODUCT($J$73:T$73,$J48:T48)&lt;0.5,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IF(SUMPRODUCT($J$73:W$73,$J48:W48)&lt;0.5,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IF(SUMPRODUCT($J$73:Z$73,$J48:Z48)&lt;0.5,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IF(SUMPRODUCT($J$73:AC$73,$J48:AC48)&lt;0.5,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IF(SUMPRODUCT($J$73:AF$73,$J48:AF48)&lt;0.5,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IF(SUMPRODUCT($J$73:AI$73,$J48:AI48)&lt;0.5,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IF(SUMPRODUCT($J$73:AL$73,$J48:AL48)&lt;0.5,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IF(SUMPRODUCT($J$73:AO$73,$J48:AO48)&lt;0.5,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IF(SUMPRODUCT($J$73:AR$73,$J48:AR48)&lt;0.5,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IF(SUMPRODUCT($J$73:AU$73,$J48:AU48)&lt;0.5,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IF(SUMPRODUCT($J$73:AX$73,$J48:AX48)&lt;0.5,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IF(SUMPRODUCT($J$73:BA$73,$J48:BA48)&lt;0.5,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IF(SUMPRODUCT($J$73:BD$73,$J48:BD48)&lt;0.5,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IF(SUMPRODUCT($J$73:BG$73,$J48:BG48)&lt;0.5,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IF(SUMPRODUCT($J$73:BJ$73,$J48:BJ48)&lt;0.5,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IF(SUMPRODUCT($J$73:BM$73,$J48:BM48)&lt;0.5,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IF(SUMPRODUCT($J$73:BP$73,$J48:BP48)&lt;0.5,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IF(SUMPRODUCT($J$73:BS$73,$J48:BS48)&lt;0.5,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IF(SUMPRODUCT($J$73:BV$73,$J48:BV48)&lt;0.5,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IF(SUMPRODUCT($J$73:BY$73,$J48:BY48)&lt;0.5,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IF(SUMPRODUCT($J$73:CB$73,$J48:CB48)&lt;0.5, "Pending", IF(CB48&lt;0.5, "Complete", "In Progress"))</f>
        <v>#REF!</v>
      </c>
      <c r="CD48" s="24"/>
      <c r="CE48" s="25">
        <f>SUMPRODUCT($H$73:AY$73,$H48:AY48)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IF(SUMPRODUCT($J$73:K$73,$J49:K49)&lt;0.5,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IF(SUMPRODUCT($J$73:N$73,$J49:N49)&lt;0.5,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IF(SUMPRODUCT($J$73:Q$73,$J49:Q49)&lt;0.5,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IF(SUMPRODUCT($J$73:T$73,$J49:T49)&lt;0.5,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IF(SUMPRODUCT($J$73:W$73,$J49:W49)&lt;0.5,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IF(SUMPRODUCT($J$73:Z$73,$J49:Z49)&lt;0.5,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IF(SUMPRODUCT($J$73:AC$73,$J49:AC49)&lt;0.5,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IF(SUMPRODUCT($J$73:AF$73,$J49:AF49)&lt;0.5,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IF(SUMPRODUCT($J$73:AI$73,$J49:AI49)&lt;0.5,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IF(SUMPRODUCT($J$73:AL$73,$J49:AL49)&lt;0.5,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IF(SUMPRODUCT($J$73:AO$73,$J49:AO49)&lt;0.5,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IF(SUMPRODUCT($J$73:AR$73,$J49:AR49)&lt;0.5,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IF(SUMPRODUCT($J$73:AU$73,$J49:AU49)&lt;0.5,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IF(SUMPRODUCT($J$73:AX$73,$J49:AX49)&lt;0.5,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IF(SUMPRODUCT($J$73:BA$73,$J49:BA49)&lt;0.5,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IF(SUMPRODUCT($J$73:BD$73,$J49:BD49)&lt;0.5,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IF(SUMPRODUCT($J$73:BG$73,$J49:BG49)&lt;0.5,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IF(SUMPRODUCT($J$73:BJ$73,$J49:BJ49)&lt;0.5,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IF(SUMPRODUCT($J$73:BM$73,$J49:BM49)&lt;0.5,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IF(SUMPRODUCT($J$73:BP$73,$J49:BP49)&lt;0.5,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IF(SUMPRODUCT($J$73:BS$73,$J49:BS49)&lt;0.5,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IF(SUMPRODUCT($J$73:BV$73,$J49:BV49)&lt;0.5,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IF(SUMPRODUCT($J$73:BY$73,$J49:BY49)&lt;0.5,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IF(SUMPRODUCT($J$73:CB$73,$J49:CB49)&lt;0.5, "Pending", IF(CB49&lt;0.5, "Complete", "In Progress"))</f>
        <v>#REF!</v>
      </c>
      <c r="CD49" s="24"/>
      <c r="CE49" s="25">
        <f>SUMPRODUCT($H$73:AY$73,$H49:AY49)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IF(SUMPRODUCT($J$73:K$73,$J50:K50)&lt;0.5,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IF(SUMPRODUCT($J$73:N$73,$J50:N50)&lt;0.5,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IF(SUMPRODUCT($J$73:Q$73,$J50:Q50)&lt;0.5,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IF(SUMPRODUCT($J$73:T$73,$J50:T50)&lt;0.5,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IF(SUMPRODUCT($J$73:W$73,$J50:W50)&lt;0.5,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IF(SUMPRODUCT($J$73:Z$73,$J50:Z50)&lt;0.5,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IF(SUMPRODUCT($J$73:AC$73,$J50:AC50)&lt;0.5,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IF(SUMPRODUCT($J$73:AF$73,$J50:AF50)&lt;0.5,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IF(SUMPRODUCT($J$73:AI$73,$J50:AI50)&lt;0.5,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IF(SUMPRODUCT($J$73:AL$73,$J50:AL50)&lt;0.5,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IF(SUMPRODUCT($J$73:AO$73,$J50:AO50)&lt;0.5,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IF(SUMPRODUCT($J$73:AR$73,$J50:AR50)&lt;0.5,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IF(SUMPRODUCT($J$73:AU$73,$J50:AU50)&lt;0.5,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IF(SUMPRODUCT($J$73:AX$73,$J50:AX50)&lt;0.5,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IF(SUMPRODUCT($J$73:BA$73,$J50:BA50)&lt;0.5,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IF(SUMPRODUCT($J$73:BD$73,$J50:BD50)&lt;0.5,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IF(SUMPRODUCT($J$73:BG$73,$J50:BG50)&lt;0.5,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IF(SUMPRODUCT($J$73:BJ$73,$J50:BJ50)&lt;0.5,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IF(SUMPRODUCT($J$73:BM$73,$J50:BM50)&lt;0.5,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IF(SUMPRODUCT($J$73:BP$73,$J50:BP50)&lt;0.5,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IF(SUMPRODUCT($J$73:BS$73,$J50:BS50)&lt;0.5,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IF(SUMPRODUCT($J$73:BV$73,$J50:BV50)&lt;0.5,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IF(SUMPRODUCT($J$73:BY$73,$J50:BY50)&lt;0.5,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IF(SUMPRODUCT($J$73:CB$73,$J50:CB50)&lt;0.5, "Pending", IF(CB50&lt;0.5, "Complete", "In Progress"))</f>
        <v>#REF!</v>
      </c>
      <c r="CD50" s="24"/>
      <c r="CE50" s="25">
        <f>SUMPRODUCT($H$73:AY$73,$H50:AY50)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IF(SUMPRODUCT($J$73:K$73,$J51:K51)&lt;0.5,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IF(SUMPRODUCT($J$73:N$73,$J51:N51)&lt;0.5,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IF(SUMPRODUCT($J$73:Q$73,$J51:Q51)&lt;0.5,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IF(SUMPRODUCT($J$73:T$73,$J51:T51)&lt;0.5,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IF(SUMPRODUCT($J$73:W$73,$J51:W51)&lt;0.5,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IF(SUMPRODUCT($J$73:Z$73,$J51:Z51)&lt;0.5,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IF(SUMPRODUCT($J$73:AC$73,$J51:AC51)&lt;0.5,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IF(SUMPRODUCT($J$73:AF$73,$J51:AF51)&lt;0.5,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IF(SUMPRODUCT($J$73:AI$73,$J51:AI51)&lt;0.5,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IF(SUMPRODUCT($J$73:AL$73,$J51:AL51)&lt;0.5,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IF(SUMPRODUCT($J$73:AO$73,$J51:AO51)&lt;0.5,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IF(SUMPRODUCT($J$73:AR$73,$J51:AR51)&lt;0.5,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IF(SUMPRODUCT($J$73:AU$73,$J51:AU51)&lt;0.5,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IF(SUMPRODUCT($J$73:AX$73,$J51:AX51)&lt;0.5,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IF(SUMPRODUCT($J$73:BA$73,$J51:BA51)&lt;0.5,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IF(SUMPRODUCT($J$73:BD$73,$J51:BD51)&lt;0.5,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IF(SUMPRODUCT($J$73:BG$73,$J51:BG51)&lt;0.5,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IF(SUMPRODUCT($J$73:BJ$73,$J51:BJ51)&lt;0.5,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IF(SUMPRODUCT($J$73:BM$73,$J51:BM51)&lt;0.5,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IF(SUMPRODUCT($J$73:BP$73,$J51:BP51)&lt;0.5,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IF(SUMPRODUCT($J$73:BS$73,$J51:BS51)&lt;0.5,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IF(SUMPRODUCT($J$73:BV$73,$J51:BV51)&lt;0.5,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IF(SUMPRODUCT($J$73:BY$73,$J51:BY51)&lt;0.5,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IF(SUMPRODUCT($J$73:CB$73,$J51:CB51)&lt;0.5, "Pending", IF(CB51&lt;0.5, "Complete", "In Progress"))</f>
        <v>#REF!</v>
      </c>
      <c r="CD51" s="24"/>
      <c r="CE51" s="25">
        <f>SUMPRODUCT($H$73:AY$73,$H51:AY51)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IF(SUMPRODUCT($J$73:K$73,$J52:K52)&lt;0.5,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IF(SUMPRODUCT($J$73:N$73,$J52:N52)&lt;0.5,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IF(SUMPRODUCT($J$73:Q$73,$J52:Q52)&lt;0.5,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IF(SUMPRODUCT($J$73:T$73,$J52:T52)&lt;0.5,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IF(SUMPRODUCT($J$73:W$73,$J52:W52)&lt;0.5,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IF(SUMPRODUCT($J$73:Z$73,$J52:Z52)&lt;0.5,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IF(SUMPRODUCT($J$73:AC$73,$J52:AC52)&lt;0.5,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IF(SUMPRODUCT($J$73:AF$73,$J52:AF52)&lt;0.5,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IF(SUMPRODUCT($J$73:AI$73,$J52:AI52)&lt;0.5,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IF(SUMPRODUCT($J$73:AL$73,$J52:AL52)&lt;0.5,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IF(SUMPRODUCT($J$73:AO$73,$J52:AO52)&lt;0.5,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IF(SUMPRODUCT($J$73:AR$73,$J52:AR52)&lt;0.5,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IF(SUMPRODUCT($J$73:AU$73,$J52:AU52)&lt;0.5,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IF(SUMPRODUCT($J$73:AX$73,$J52:AX52)&lt;0.5,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IF(SUMPRODUCT($J$73:BA$73,$J52:BA52)&lt;0.5,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IF(SUMPRODUCT($J$73:BD$73,$J52:BD52)&lt;0.5,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IF(SUMPRODUCT($J$73:BG$73,$J52:BG52)&lt;0.5,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IF(SUMPRODUCT($J$73:BJ$73,$J52:BJ52)&lt;0.5,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IF(SUMPRODUCT($J$73:BM$73,$J52:BM52)&lt;0.5,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IF(SUMPRODUCT($J$73:BP$73,$J52:BP52)&lt;0.5,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IF(SUMPRODUCT($J$73:BS$73,$J52:BS52)&lt;0.5,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IF(SUMPRODUCT($J$73:BV$73,$J52:BV52)&lt;0.5,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IF(SUMPRODUCT($J$73:BY$73,$J52:BY52)&lt;0.5,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IF(SUMPRODUCT($J$73:CB$73,$J52:CB52)&lt;0.5, "Pending", IF(CB52&lt;0.5, "Complete", "In Progress"))</f>
        <v>#REF!</v>
      </c>
      <c r="CD52" s="24"/>
      <c r="CE52" s="25">
        <f>SUMPRODUCT($H$73:AY$73,$H52:AY52)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IF(SUMPRODUCT($J$73:K$73,$J53:K53)&lt;0.5,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IF(SUMPRODUCT($J$73:N$73,$J53:N53)&lt;0.5,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IF(SUMPRODUCT($J$73:Q$73,$J53:Q53)&lt;0.5,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IF(SUMPRODUCT($J$73:T$73,$J53:T53)&lt;0.5,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IF(SUMPRODUCT($J$73:W$73,$J53:W53)&lt;0.5,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IF(SUMPRODUCT($J$73:Z$73,$J53:Z53)&lt;0.5,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IF(SUMPRODUCT($J$73:AC$73,$J53:AC53)&lt;0.5,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IF(SUMPRODUCT($J$73:AF$73,$J53:AF53)&lt;0.5,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IF(SUMPRODUCT($J$73:AI$73,$J53:AI53)&lt;0.5,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IF(SUMPRODUCT($J$73:AL$73,$J53:AL53)&lt;0.5,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IF(SUMPRODUCT($J$73:AO$73,$J53:AO53)&lt;0.5,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IF(SUMPRODUCT($J$73:AR$73,$J53:AR53)&lt;0.5,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IF(SUMPRODUCT($J$73:AU$73,$J53:AU53)&lt;0.5,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IF(SUMPRODUCT($J$73:AX$73,$J53:AX53)&lt;0.5,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IF(SUMPRODUCT($J$73:BA$73,$J53:BA53)&lt;0.5,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IF(SUMPRODUCT($J$73:BD$73,$J53:BD53)&lt;0.5,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IF(SUMPRODUCT($J$73:BG$73,$J53:BG53)&lt;0.5,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IF(SUMPRODUCT($J$73:BJ$73,$J53:BJ53)&lt;0.5,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IF(SUMPRODUCT($J$73:BM$73,$J53:BM53)&lt;0.5,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IF(SUMPRODUCT($J$73:BP$73,$J53:BP53)&lt;0.5,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IF(SUMPRODUCT($J$73:BS$73,$J53:BS53)&lt;0.5,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IF(SUMPRODUCT($J$73:BV$73,$J53:BV53)&lt;0.5,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IF(SUMPRODUCT($J$73:BY$73,$J53:BY53)&lt;0.5,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IF(SUMPRODUCT($J$73:CB$73,$J53:CB53)&lt;0.5, "Pending", IF(CB53&lt;0.5, "Complete", "In Progress"))</f>
        <v>#REF!</v>
      </c>
      <c r="CD53" s="24"/>
      <c r="CE53" s="25">
        <f>SUMPRODUCT($H$73:AY$73,$H53:AY53)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IF(SUMPRODUCT($J$73:K$73,$J54:K54)&lt;0.5,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IF(SUMPRODUCT($J$73:N$73,$J54:N54)&lt;0.5,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IF(SUMPRODUCT($J$73:Q$73,$J54:Q54)&lt;0.5,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IF(SUMPRODUCT($J$73:T$73,$J54:T54)&lt;0.5,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IF(SUMPRODUCT($J$73:W$73,$J54:W54)&lt;0.5,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IF(SUMPRODUCT($J$73:Z$73,$J54:Z54)&lt;0.5,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IF(SUMPRODUCT($J$73:AC$73,$J54:AC54)&lt;0.5,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IF(SUMPRODUCT($J$73:AF$73,$J54:AF54)&lt;0.5,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IF(SUMPRODUCT($J$73:AI$73,$J54:AI54)&lt;0.5,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IF(SUMPRODUCT($J$73:AL$73,$J54:AL54)&lt;0.5,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IF(SUMPRODUCT($J$73:AO$73,$J54:AO54)&lt;0.5,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IF(SUMPRODUCT($J$73:AR$73,$J54:AR54)&lt;0.5,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IF(SUMPRODUCT($J$73:AU$73,$J54:AU54)&lt;0.5,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IF(SUMPRODUCT($J$73:AX$73,$J54:AX54)&lt;0.5,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IF(SUMPRODUCT($J$73:BA$73,$J54:BA54)&lt;0.5,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IF(SUMPRODUCT($J$73:BD$73,$J54:BD54)&lt;0.5,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IF(SUMPRODUCT($J$73:BG$73,$J54:BG54)&lt;0.5,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IF(SUMPRODUCT($J$73:BJ$73,$J54:BJ54)&lt;0.5,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IF(SUMPRODUCT($J$73:BM$73,$J54:BM54)&lt;0.5,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IF(SUMPRODUCT($J$73:BP$73,$J54:BP54)&lt;0.5,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IF(SUMPRODUCT($J$73:BS$73,$J54:BS54)&lt;0.5,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IF(SUMPRODUCT($J$73:BV$73,$J54:BV54)&lt;0.5,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IF(SUMPRODUCT($J$73:BY$73,$J54:BY54)&lt;0.5,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IF(SUMPRODUCT($J$73:CB$73,$J54:CB54)&lt;0.5, "Pending", IF(CB54&lt;0.5, "Complete", "In Progress"))</f>
        <v>#REF!</v>
      </c>
      <c r="CD54" s="24"/>
      <c r="CE54" s="25">
        <f>SUMPRODUCT($H$73:AY$73,$H54:AY54)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IF(SUMPRODUCT($J$73:K$73,$J55:K55)&lt;0.5,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IF(SUMPRODUCT($J$73:N$73,$J55:N55)&lt;0.5,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IF(SUMPRODUCT($J$73:Q$73,$J55:Q55)&lt;0.5,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IF(SUMPRODUCT($J$73:T$73,$J55:T55)&lt;0.5,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IF(SUMPRODUCT($J$73:W$73,$J55:W55)&lt;0.5,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IF(SUMPRODUCT($J$73:Z$73,$J55:Z55)&lt;0.5,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IF(SUMPRODUCT($J$73:AC$73,$J55:AC55)&lt;0.5,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IF(SUMPRODUCT($J$73:AF$73,$J55:AF55)&lt;0.5,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IF(SUMPRODUCT($J$73:AI$73,$J55:AI55)&lt;0.5,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IF(SUMPRODUCT($J$73:AL$73,$J55:AL55)&lt;0.5,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IF(SUMPRODUCT($J$73:AO$73,$J55:AO55)&lt;0.5,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IF(SUMPRODUCT($J$73:AR$73,$J55:AR55)&lt;0.5,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IF(SUMPRODUCT($J$73:AU$73,$J55:AU55)&lt;0.5,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IF(SUMPRODUCT($J$73:AX$73,$J55:AX55)&lt;0.5,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IF(SUMPRODUCT($J$73:BA$73,$J55:BA55)&lt;0.5,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IF(SUMPRODUCT($J$73:BD$73,$J55:BD55)&lt;0.5,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IF(SUMPRODUCT($J$73:BG$73,$J55:BG55)&lt;0.5,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IF(SUMPRODUCT($J$73:BJ$73,$J55:BJ55)&lt;0.5,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IF(SUMPRODUCT($J$73:BM$73,$J55:BM55)&lt;0.5,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IF(SUMPRODUCT($J$73:BP$73,$J55:BP55)&lt;0.5,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IF(SUMPRODUCT($J$73:BS$73,$J55:BS55)&lt;0.5,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IF(SUMPRODUCT($J$73:BV$73,$J55:BV55)&lt;0.5,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IF(SUMPRODUCT($J$73:BY$73,$J55:BY55)&lt;0.5,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IF(SUMPRODUCT($J$73:CB$73,$J55:CB55)&lt;0.5, "Pending", IF(CB55&lt;0.5, "Complete", "In Progress"))</f>
        <v>#REF!</v>
      </c>
      <c r="CD55" s="24"/>
      <c r="CE55" s="25">
        <f>SUMPRODUCT($H$73:AY$73,$H55:AY55)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IF(SUMPRODUCT($J$73:K$73,$J56:K56)&lt;0.5,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IF(SUMPRODUCT($J$73:N$73,$J56:N56)&lt;0.5,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IF(SUMPRODUCT($J$73:Q$73,$J56:Q56)&lt;0.5,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IF(SUMPRODUCT($J$73:T$73,$J56:T56)&lt;0.5,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IF(SUMPRODUCT($J$73:W$73,$J56:W56)&lt;0.5,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IF(SUMPRODUCT($J$73:Z$73,$J56:Z56)&lt;0.5,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IF(SUMPRODUCT($J$73:AC$73,$J56:AC56)&lt;0.5,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IF(SUMPRODUCT($J$73:AF$73,$J56:AF56)&lt;0.5,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IF(SUMPRODUCT($J$73:AI$73,$J56:AI56)&lt;0.5,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IF(SUMPRODUCT($J$73:AL$73,$J56:AL56)&lt;0.5,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IF(SUMPRODUCT($J$73:AO$73,$J56:AO56)&lt;0.5,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IF(SUMPRODUCT($J$73:AR$73,$J56:AR56)&lt;0.5,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IF(SUMPRODUCT($J$73:AU$73,$J56:AU56)&lt;0.5,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IF(SUMPRODUCT($J$73:AX$73,$J56:AX56)&lt;0.5,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IF(SUMPRODUCT($J$73:BA$73,$J56:BA56)&lt;0.5,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IF(SUMPRODUCT($J$73:BD$73,$J56:BD56)&lt;0.5,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IF(SUMPRODUCT($J$73:BG$73,$J56:BG56)&lt;0.5,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IF(SUMPRODUCT($J$73:BJ$73,$J56:BJ56)&lt;0.5,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IF(SUMPRODUCT($J$73:BM$73,$J56:BM56)&lt;0.5,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IF(SUMPRODUCT($J$73:BP$73,$J56:BP56)&lt;0.5,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IF(SUMPRODUCT($J$73:BS$73,$J56:BS56)&lt;0.5,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IF(SUMPRODUCT($J$73:BV$73,$J56:BV56)&lt;0.5,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IF(SUMPRODUCT($J$73:BY$73,$J56:BY56)&lt;0.5,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IF(SUMPRODUCT($J$73:CB$73,$J56:CB56)&lt;0.5, "Pending", IF(CB56&lt;0.5, "Complete", "In Progress"))</f>
        <v>#REF!</v>
      </c>
      <c r="CD56" s="24"/>
      <c r="CE56" s="25">
        <f>SUMPRODUCT($H$73:AY$73,$H56:AY56)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IF(SUMPRODUCT($J$73:K$73,$J57:K57)&lt;0.5,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IF(SUMPRODUCT($J$73:N$73,$J57:N57)&lt;0.5,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IF(SUMPRODUCT($J$73:Q$73,$J57:Q57)&lt;0.5,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IF(SUMPRODUCT($J$73:T$73,$J57:T57)&lt;0.5,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IF(SUMPRODUCT($J$73:W$73,$J57:W57)&lt;0.5,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IF(SUMPRODUCT($J$73:Z$73,$J57:Z57)&lt;0.5,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IF(SUMPRODUCT($J$73:AC$73,$J57:AC57)&lt;0.5,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IF(SUMPRODUCT($J$73:AF$73,$J57:AF57)&lt;0.5,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IF(SUMPRODUCT($J$73:AI$73,$J57:AI57)&lt;0.5,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IF(SUMPRODUCT($J$73:AL$73,$J57:AL57)&lt;0.5,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IF(SUMPRODUCT($J$73:AO$73,$J57:AO57)&lt;0.5,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IF(SUMPRODUCT($J$73:AR$73,$J57:AR57)&lt;0.5,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IF(SUMPRODUCT($J$73:AU$73,$J57:AU57)&lt;0.5,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IF(SUMPRODUCT($J$73:AX$73,$J57:AX57)&lt;0.5,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IF(SUMPRODUCT($J$73:BA$73,$J57:BA57)&lt;0.5,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IF(SUMPRODUCT($J$73:BD$73,$J57:BD57)&lt;0.5,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IF(SUMPRODUCT($J$73:BG$73,$J57:BG57)&lt;0.5,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IF(SUMPRODUCT($J$73:BJ$73,$J57:BJ57)&lt;0.5,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IF(SUMPRODUCT($J$73:BM$73,$J57:BM57)&lt;0.5,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IF(SUMPRODUCT($J$73:BP$73,$J57:BP57)&lt;0.5,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IF(SUMPRODUCT($J$73:BS$73,$J57:BS57)&lt;0.5,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IF(SUMPRODUCT($J$73:BV$73,$J57:BV57)&lt;0.5,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IF(SUMPRODUCT($J$73:BY$73,$J57:BY57)&lt;0.5,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IF(SUMPRODUCT($J$73:CB$73,$J57:CB57)&lt;0.5, "Pending", IF(CB57&lt;0.5, "Complete", "In Progress"))</f>
        <v>#REF!</v>
      </c>
      <c r="CD57" s="24"/>
      <c r="CE57" s="25">
        <f>SUMPRODUCT($H$73:AY$73,$H57:AY57)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IF(SUMPRODUCT($J$73:K$73,$J58:K58)&lt;0.5,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IF(SUMPRODUCT($J$73:N$73,$J58:N58)&lt;0.5,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IF(SUMPRODUCT($J$73:Q$73,$J58:Q58)&lt;0.5,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IF(SUMPRODUCT($J$73:T$73,$J58:T58)&lt;0.5,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IF(SUMPRODUCT($J$73:W$73,$J58:W58)&lt;0.5,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IF(SUMPRODUCT($J$73:Z$73,$J58:Z58)&lt;0.5,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IF(SUMPRODUCT($J$73:AC$73,$J58:AC58)&lt;0.5,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IF(SUMPRODUCT($J$73:AF$73,$J58:AF58)&lt;0.5,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IF(SUMPRODUCT($J$73:AI$73,$J58:AI58)&lt;0.5,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IF(SUMPRODUCT($J$73:AL$73,$J58:AL58)&lt;0.5,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IF(SUMPRODUCT($J$73:AO$73,$J58:AO58)&lt;0.5,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IF(SUMPRODUCT($J$73:AR$73,$J58:AR58)&lt;0.5,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IF(SUMPRODUCT($J$73:AU$73,$J58:AU58)&lt;0.5,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IF(SUMPRODUCT($J$73:AX$73,$J58:AX58)&lt;0.5,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IF(SUMPRODUCT($J$73:BA$73,$J58:BA58)&lt;0.5,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IF(SUMPRODUCT($J$73:BD$73,$J58:BD58)&lt;0.5,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IF(SUMPRODUCT($J$73:BG$73,$J58:BG58)&lt;0.5,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IF(SUMPRODUCT($J$73:BJ$73,$J58:BJ58)&lt;0.5,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IF(SUMPRODUCT($J$73:BM$73,$J58:BM58)&lt;0.5,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IF(SUMPRODUCT($J$73:BP$73,$J58:BP58)&lt;0.5,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IF(SUMPRODUCT($J$73:BS$73,$J58:BS58)&lt;0.5,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IF(SUMPRODUCT($J$73:BV$73,$J58:BV58)&lt;0.5,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IF(SUMPRODUCT($J$73:BY$73,$J58:BY58)&lt;0.5,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IF(SUMPRODUCT($J$73:CB$73,$J58:CB58)&lt;0.5, "Pending", IF(CB58&lt;0.5, "Complete", "In Progress"))</f>
        <v>#REF!</v>
      </c>
      <c r="CD58" s="24"/>
      <c r="CE58" s="25">
        <f>SUMPRODUCT($H$73:AY$73,$H58:AY58)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IF(SUMPRODUCT($J$73:K$73,$J59:K59)&lt;0.5,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IF(SUMPRODUCT($J$73:N$73,$J59:N59)&lt;0.5,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IF(SUMPRODUCT($J$73:Q$73,$J59:Q59)&lt;0.5,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IF(SUMPRODUCT($J$73:T$73,$J59:T59)&lt;0.5,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IF(SUMPRODUCT($J$73:W$73,$J59:W59)&lt;0.5,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IF(SUMPRODUCT($J$73:Z$73,$J59:Z59)&lt;0.5,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IF(SUMPRODUCT($J$73:AC$73,$J59:AC59)&lt;0.5,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IF(SUMPRODUCT($J$73:AF$73,$J59:AF59)&lt;0.5,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IF(SUMPRODUCT($J$73:AI$73,$J59:AI59)&lt;0.5,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IF(SUMPRODUCT($J$73:AL$73,$J59:AL59)&lt;0.5,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IF(SUMPRODUCT($J$73:AO$73,$J59:AO59)&lt;0.5,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IF(SUMPRODUCT($J$73:AR$73,$J59:AR59)&lt;0.5,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IF(SUMPRODUCT($J$73:AU$73,$J59:AU59)&lt;0.5,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IF(SUMPRODUCT($J$73:AX$73,$J59:AX59)&lt;0.5,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IF(SUMPRODUCT($J$73:BA$73,$J59:BA59)&lt;0.5,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IF(SUMPRODUCT($J$73:BD$73,$J59:BD59)&lt;0.5,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IF(SUMPRODUCT($J$73:BG$73,$J59:BG59)&lt;0.5,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IF(SUMPRODUCT($J$73:BJ$73,$J59:BJ59)&lt;0.5,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IF(SUMPRODUCT($J$73:BM$73,$J59:BM59)&lt;0.5,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IF(SUMPRODUCT($J$73:BP$73,$J59:BP59)&lt;0.5,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IF(SUMPRODUCT($J$73:BS$73,$J59:BS59)&lt;0.5,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IF(SUMPRODUCT($J$73:BV$73,$J59:BV59)&lt;0.5,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IF(SUMPRODUCT($J$73:BY$73,$J59:BY59)&lt;0.5,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IF(SUMPRODUCT($J$73:CB$73,$J59:CB59)&lt;0.5, "Pending", IF(CB59&lt;0.5, "Complete", "In Progress"))</f>
        <v>#REF!</v>
      </c>
      <c r="CD59" s="24"/>
      <c r="CE59" s="25">
        <f>SUMPRODUCT($H$73:AY$73,$H59:AY59)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IF(SUMPRODUCT($J$73:K$73,$J60:K60)&lt;0.5,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IF(SUMPRODUCT($J$73:N$73,$J60:N60)&lt;0.5,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IF(SUMPRODUCT($J$73:Q$73,$J60:Q60)&lt;0.5,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IF(SUMPRODUCT($J$73:T$73,$J60:T60)&lt;0.5,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IF(SUMPRODUCT($J$73:W$73,$J60:W60)&lt;0.5,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IF(SUMPRODUCT($J$73:Z$73,$J60:Z60)&lt;0.5,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IF(SUMPRODUCT($J$73:AC$73,$J60:AC60)&lt;0.5,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IF(SUMPRODUCT($J$73:AF$73,$J60:AF60)&lt;0.5,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IF(SUMPRODUCT($J$73:AI$73,$J60:AI60)&lt;0.5,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IF(SUMPRODUCT($J$73:AL$73,$J60:AL60)&lt;0.5,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IF(SUMPRODUCT($J$73:AO$73,$J60:AO60)&lt;0.5,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IF(SUMPRODUCT($J$73:AR$73,$J60:AR60)&lt;0.5,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IF(SUMPRODUCT($J$73:AU$73,$J60:AU60)&lt;0.5,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IF(SUMPRODUCT($J$73:AX$73,$J60:AX60)&lt;0.5,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IF(SUMPRODUCT($J$73:BA$73,$J60:BA60)&lt;0.5,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IF(SUMPRODUCT($J$73:BD$73,$J60:BD60)&lt;0.5,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IF(SUMPRODUCT($J$73:BG$73,$J60:BG60)&lt;0.5,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IF(SUMPRODUCT($J$73:BJ$73,$J60:BJ60)&lt;0.5,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IF(SUMPRODUCT($J$73:BM$73,$J60:BM60)&lt;0.5,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IF(SUMPRODUCT($J$73:BP$73,$J60:BP60)&lt;0.5,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IF(SUMPRODUCT($J$73:BS$73,$J60:BS60)&lt;0.5,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IF(SUMPRODUCT($J$73:BV$73,$J60:BV60)&lt;0.5,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IF(SUMPRODUCT($J$73:BY$73,$J60:BY60)&lt;0.5,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IF(SUMPRODUCT($J$73:CB$73,$J60:CB60)&lt;0.5, "Pending", IF(CB60&lt;0.5, "Complete", "In Progress"))</f>
        <v>#REF!</v>
      </c>
      <c r="CD60" s="24"/>
      <c r="CE60" s="25">
        <f>SUMPRODUCT($H$73:AY$73,$H60:AY60)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IF(SUMPRODUCT($J$73:K$73,$J61:K61)&lt;0.5,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IF(SUMPRODUCT($J$73:N$73,$J61:N61)&lt;0.5,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IF(SUMPRODUCT($J$73:Q$73,$J61:Q61)&lt;0.5,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IF(SUMPRODUCT($J$73:T$73,$J61:T61)&lt;0.5,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IF(SUMPRODUCT($J$73:W$73,$J61:W61)&lt;0.5,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IF(SUMPRODUCT($J$73:Z$73,$J61:Z61)&lt;0.5,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IF(SUMPRODUCT($J$73:AC$73,$J61:AC61)&lt;0.5,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IF(SUMPRODUCT($J$73:AF$73,$J61:AF61)&lt;0.5,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IF(SUMPRODUCT($J$73:AI$73,$J61:AI61)&lt;0.5,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IF(SUMPRODUCT($J$73:AL$73,$J61:AL61)&lt;0.5,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IF(SUMPRODUCT($J$73:AO$73,$J61:AO61)&lt;0.5,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IF(SUMPRODUCT($J$73:AR$73,$J61:AR61)&lt;0.5,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IF(SUMPRODUCT($J$73:AU$73,$J61:AU61)&lt;0.5,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IF(SUMPRODUCT($J$73:AX$73,$J61:AX61)&lt;0.5,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IF(SUMPRODUCT($J$73:BA$73,$J61:BA61)&lt;0.5,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IF(SUMPRODUCT($J$73:BD$73,$J61:BD61)&lt;0.5,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IF(SUMPRODUCT($J$73:BG$73,$J61:BG61)&lt;0.5,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IF(SUMPRODUCT($J$73:BJ$73,$J61:BJ61)&lt;0.5,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IF(SUMPRODUCT($J$73:BM$73,$J61:BM61)&lt;0.5,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IF(SUMPRODUCT($J$73:BP$73,$J61:BP61)&lt;0.5,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IF(SUMPRODUCT($J$73:BS$73,$J61:BS61)&lt;0.5,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IF(SUMPRODUCT($J$73:BV$73,$J61:BV61)&lt;0.5,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IF(SUMPRODUCT($J$73:BY$73,$J61:BY61)&lt;0.5,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IF(SUMPRODUCT($J$73:CB$73,$J61:CB61)&lt;0.5, "Pending", IF(CB61&lt;0.5, "Complete", "In Progress"))</f>
        <v>#REF!</v>
      </c>
      <c r="CD61" s="24"/>
      <c r="CE61" s="25">
        <f>SUMPRODUCT($H$73:AY$73,$H61:AY61)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IF(SUMPRODUCT($J$73:K$73,$J62:K62)&lt;0.5,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IF(SUMPRODUCT($J$73:N$73,$J62:N62)&lt;0.5,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IF(SUMPRODUCT($J$73:Q$73,$J62:Q62)&lt;0.5,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IF(SUMPRODUCT($J$73:T$73,$J62:T62)&lt;0.5,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IF(SUMPRODUCT($J$73:W$73,$J62:W62)&lt;0.5,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IF(SUMPRODUCT($J$73:Z$73,$J62:Z62)&lt;0.5,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IF(SUMPRODUCT($J$73:AC$73,$J62:AC62)&lt;0.5,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IF(SUMPRODUCT($J$73:AF$73,$J62:AF62)&lt;0.5,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IF(SUMPRODUCT($J$73:AI$73,$J62:AI62)&lt;0.5,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IF(SUMPRODUCT($J$73:AL$73,$J62:AL62)&lt;0.5,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IF(SUMPRODUCT($J$73:AO$73,$J62:AO62)&lt;0.5,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IF(SUMPRODUCT($J$73:AR$73,$J62:AR62)&lt;0.5,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IF(SUMPRODUCT($J$73:AU$73,$J62:AU62)&lt;0.5,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IF(SUMPRODUCT($J$73:AX$73,$J62:AX62)&lt;0.5,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IF(SUMPRODUCT($J$73:BA$73,$J62:BA62)&lt;0.5,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IF(SUMPRODUCT($J$73:BD$73,$J62:BD62)&lt;0.5,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IF(SUMPRODUCT($J$73:BG$73,$J62:BG62)&lt;0.5,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IF(SUMPRODUCT($J$73:BJ$73,$J62:BJ62)&lt;0.5,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IF(SUMPRODUCT($J$73:BM$73,$J62:BM62)&lt;0.5,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IF(SUMPRODUCT($J$73:BP$73,$J62:BP62)&lt;0.5,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IF(SUMPRODUCT($J$73:BS$73,$J62:BS62)&lt;0.5,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IF(SUMPRODUCT($J$73:BV$73,$J62:BV62)&lt;0.5,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IF(SUMPRODUCT($J$73:BY$73,$J62:BY62)&lt;0.5,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IF(SUMPRODUCT($J$73:CB$73,$J62:CB62)&lt;0.5, "Pending", IF(CB62&lt;0.5, "Complete", "In Progress"))</f>
        <v>#REF!</v>
      </c>
      <c r="CD62" s="24"/>
      <c r="CE62" s="25">
        <f>SUMPRODUCT($H$73:AY$73,$H62:AY62)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IF(SUMPRODUCT($J$73:K$73,$J63:K63)&lt;0.5,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IF(SUMPRODUCT($J$73:N$73,$J63:N63)&lt;0.5,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IF(SUMPRODUCT($J$73:Q$73,$J63:Q63)&lt;0.5,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IF(SUMPRODUCT($J$73:T$73,$J63:T63)&lt;0.5,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IF(SUMPRODUCT($J$73:W$73,$J63:W63)&lt;0.5,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IF(SUMPRODUCT($J$73:Z$73,$J63:Z63)&lt;0.5,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IF(SUMPRODUCT($J$73:AC$73,$J63:AC63)&lt;0.5,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IF(SUMPRODUCT($J$73:AF$73,$J63:AF63)&lt;0.5,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IF(SUMPRODUCT($J$73:AI$73,$J63:AI63)&lt;0.5,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IF(SUMPRODUCT($J$73:AL$73,$J63:AL63)&lt;0.5,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IF(SUMPRODUCT($J$73:AO$73,$J63:AO63)&lt;0.5,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IF(SUMPRODUCT($J$73:AR$73,$J63:AR63)&lt;0.5,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IF(SUMPRODUCT($J$73:AU$73,$J63:AU63)&lt;0.5,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IF(SUMPRODUCT($J$73:AX$73,$J63:AX63)&lt;0.5,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IF(SUMPRODUCT($J$73:BA$73,$J63:BA63)&lt;0.5,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IF(SUMPRODUCT($J$73:BD$73,$J63:BD63)&lt;0.5,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IF(SUMPRODUCT($J$73:BG$73,$J63:BG63)&lt;0.5,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IF(SUMPRODUCT($J$73:BJ$73,$J63:BJ63)&lt;0.5,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IF(SUMPRODUCT($J$73:BM$73,$J63:BM63)&lt;0.5,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IF(SUMPRODUCT($J$73:BP$73,$J63:BP63)&lt;0.5,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IF(SUMPRODUCT($J$73:BS$73,$J63:BS63)&lt;0.5,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IF(SUMPRODUCT($J$73:BV$73,$J63:BV63)&lt;0.5,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IF(SUMPRODUCT($J$73:BY$73,$J63:BY63)&lt;0.5,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IF(SUMPRODUCT($J$73:CB$73,$J63:CB63)&lt;0.5, "Pending", IF(CB63&lt;0.5, "Complete", "In Progress"))</f>
        <v>#REF!</v>
      </c>
      <c r="CD63" s="24"/>
      <c r="CE63" s="25">
        <f>SUMPRODUCT($H$73:AY$73,$H63:AY63)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IF(SUMPRODUCT($J$73:K$73,$J64:K64)&lt;0.5,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IF(SUMPRODUCT($J$73:N$73,$J64:N64)&lt;0.5,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IF(SUMPRODUCT($J$73:Q$73,$J64:Q64)&lt;0.5,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IF(SUMPRODUCT($J$73:T$73,$J64:T64)&lt;0.5,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IF(SUMPRODUCT($J$73:W$73,$J64:W64)&lt;0.5,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IF(SUMPRODUCT($J$73:Z$73,$J64:Z64)&lt;0.5,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IF(SUMPRODUCT($J$73:AC$73,$J64:AC64)&lt;0.5,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IF(SUMPRODUCT($J$73:AF$73,$J64:AF64)&lt;0.5,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IF(SUMPRODUCT($J$73:AI$73,$J64:AI64)&lt;0.5,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IF(SUMPRODUCT($J$73:AL$73,$J64:AL64)&lt;0.5,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IF(SUMPRODUCT($J$73:AO$73,$J64:AO64)&lt;0.5,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IF(SUMPRODUCT($J$73:AR$73,$J64:AR64)&lt;0.5,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IF(SUMPRODUCT($J$73:AU$73,$J64:AU64)&lt;0.5,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IF(SUMPRODUCT($J$73:AX$73,$J64:AX64)&lt;0.5,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IF(SUMPRODUCT($J$73:BA$73,$J64:BA64)&lt;0.5,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IF(SUMPRODUCT($J$73:BD$73,$J64:BD64)&lt;0.5,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IF(SUMPRODUCT($J$73:BG$73,$J64:BG64)&lt;0.5,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IF(SUMPRODUCT($J$73:BJ$73,$J64:BJ64)&lt;0.5,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IF(SUMPRODUCT($J$73:BM$73,$J64:BM64)&lt;0.5,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IF(SUMPRODUCT($J$73:BP$73,$J64:BP64)&lt;0.5,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IF(SUMPRODUCT($J$73:BS$73,$J64:BS64)&lt;0.5,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IF(SUMPRODUCT($J$73:BV$73,$J64:BV64)&lt;0.5,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IF(SUMPRODUCT($J$73:BY$73,$J64:BY64)&lt;0.5,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IF(SUMPRODUCT($J$73:CB$73,$J64:CB64)&lt;0.5, "Pending", IF(CB64&lt;0.5, "Complete", "In Progress"))</f>
        <v>#REF!</v>
      </c>
      <c r="CD64" s="24"/>
      <c r="CE64" s="25">
        <f>SUMPRODUCT($H$73:AY$73,$H64:AY64)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IF(SUMPRODUCT($J$73:K$73,$J65:K65)&lt;0.5,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IF(SUMPRODUCT($J$73:N$73,$J65:N65)&lt;0.5,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IF(SUMPRODUCT($J$73:Q$73,$J65:Q65)&lt;0.5,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IF(SUMPRODUCT($J$73:T$73,$J65:T65)&lt;0.5,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IF(SUMPRODUCT($J$73:W$73,$J65:W65)&lt;0.5,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IF(SUMPRODUCT($J$73:Z$73,$J65:Z65)&lt;0.5,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IF(SUMPRODUCT($J$73:AC$73,$J65:AC65)&lt;0.5,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IF(SUMPRODUCT($J$73:AF$73,$J65:AF65)&lt;0.5,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IF(SUMPRODUCT($J$73:AI$73,$J65:AI65)&lt;0.5,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IF(SUMPRODUCT($J$73:AL$73,$J65:AL65)&lt;0.5,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IF(SUMPRODUCT($J$73:AO$73,$J65:AO65)&lt;0.5,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IF(SUMPRODUCT($J$73:AR$73,$J65:AR65)&lt;0.5,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IF(SUMPRODUCT($J$73:AU$73,$J65:AU65)&lt;0.5,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IF(SUMPRODUCT($J$73:AX$73,$J65:AX65)&lt;0.5,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IF(SUMPRODUCT($J$73:BA$73,$J65:BA65)&lt;0.5,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IF(SUMPRODUCT($J$73:BD$73,$J65:BD65)&lt;0.5,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IF(SUMPRODUCT($J$73:BG$73,$J65:BG65)&lt;0.5,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IF(SUMPRODUCT($J$73:BJ$73,$J65:BJ65)&lt;0.5,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IF(SUMPRODUCT($J$73:BM$73,$J65:BM65)&lt;0.5,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IF(SUMPRODUCT($J$73:BP$73,$J65:BP65)&lt;0.5,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IF(SUMPRODUCT($J$73:BS$73,$J65:BS65)&lt;0.5,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IF(SUMPRODUCT($J$73:BV$73,$J65:BV65)&lt;0.5,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IF(SUMPRODUCT($J$73:BY$73,$J65:BY65)&lt;0.5,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IF(SUMPRODUCT($J$73:CB$73,$J65:CB65)&lt;0.5, "Pending", IF(CB65&lt;0.5, "Complete", "In Progress"))</f>
        <v>#REF!</v>
      </c>
      <c r="CD65" s="24"/>
      <c r="CE65" s="25">
        <f>SUMPRODUCT($H$73:AY$73,$H65:AY65)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IF(SUMPRODUCT($J$73:K$73,$J66:K66)&lt;0.5,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IF(SUMPRODUCT($J$73:N$73,$J66:N66)&lt;0.5,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IF(SUMPRODUCT($J$73:Q$73,$J66:Q66)&lt;0.5,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IF(SUMPRODUCT($J$73:T$73,$J66:T66)&lt;0.5,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IF(SUMPRODUCT($J$73:W$73,$J66:W66)&lt;0.5,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IF(SUMPRODUCT($J$73:Z$73,$J66:Z66)&lt;0.5,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IF(SUMPRODUCT($J$73:AC$73,$J66:AC66)&lt;0.5,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IF(SUMPRODUCT($J$73:AF$73,$J66:AF66)&lt;0.5,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IF(SUMPRODUCT($J$73:AI$73,$J66:AI66)&lt;0.5,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IF(SUMPRODUCT($J$73:AL$73,$J66:AL66)&lt;0.5,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IF(SUMPRODUCT($J$73:AO$73,$J66:AO66)&lt;0.5,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IF(SUMPRODUCT($J$73:AR$73,$J66:AR66)&lt;0.5,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IF(SUMPRODUCT($J$73:AU$73,$J66:AU66)&lt;0.5,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IF(SUMPRODUCT($J$73:AX$73,$J66:AX66)&lt;0.5,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IF(SUMPRODUCT($J$73:BA$73,$J66:BA66)&lt;0.5,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IF(SUMPRODUCT($J$73:BD$73,$J66:BD66)&lt;0.5,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IF(SUMPRODUCT($J$73:BG$73,$J66:BG66)&lt;0.5,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IF(SUMPRODUCT($J$73:BJ$73,$J66:BJ66)&lt;0.5,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IF(SUMPRODUCT($J$73:BM$73,$J66:BM66)&lt;0.5,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IF(SUMPRODUCT($J$73:BP$73,$J66:BP66)&lt;0.5,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IF(SUMPRODUCT($J$73:BS$73,$J66:BS66)&lt;0.5,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IF(SUMPRODUCT($J$73:BV$73,$J66:BV66)&lt;0.5,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IF(SUMPRODUCT($J$73:BY$73,$J66:BY66)&lt;0.5,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IF(SUMPRODUCT($J$73:CB$73,$J66:CB66)&lt;0.5, "Pending", IF(CB66&lt;0.5, "Complete", "In Progress"))</f>
        <v>#REF!</v>
      </c>
      <c r="CD66" s="24"/>
      <c r="CE66" s="25">
        <f>SUMPRODUCT($H$73:AY$73,$H66:AY66)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IF(SUMPRODUCT($J$73:K$73,$J67:K67)&lt;0.5,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IF(SUMPRODUCT($J$73:N$73,$J67:N67)&lt;0.5,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IF(SUMPRODUCT($J$73:Q$73,$J67:Q67)&lt;0.5,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IF(SUMPRODUCT($J$73:T$73,$J67:T67)&lt;0.5,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IF(SUMPRODUCT($J$73:W$73,$J67:W67)&lt;0.5,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IF(SUMPRODUCT($J$73:Z$73,$J67:Z67)&lt;0.5,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IF(SUMPRODUCT($J$73:AC$73,$J67:AC67)&lt;0.5,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IF(SUMPRODUCT($J$73:AF$73,$J67:AF67)&lt;0.5,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IF(SUMPRODUCT($J$73:AI$73,$J67:AI67)&lt;0.5,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IF(SUMPRODUCT($J$73:AL$73,$J67:AL67)&lt;0.5,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IF(SUMPRODUCT($J$73:AO$73,$J67:AO67)&lt;0.5,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IF(SUMPRODUCT($J$73:AR$73,$J67:AR67)&lt;0.5,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IF(SUMPRODUCT($J$73:AU$73,$J67:AU67)&lt;0.5,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IF(SUMPRODUCT($J$73:AX$73,$J67:AX67)&lt;0.5,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IF(SUMPRODUCT($J$73:BA$73,$J67:BA67)&lt;0.5,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IF(SUMPRODUCT($J$73:BD$73,$J67:BD67)&lt;0.5,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IF(SUMPRODUCT($J$73:BG$73,$J67:BG67)&lt;0.5,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IF(SUMPRODUCT($J$73:BJ$73,$J67:BJ67)&lt;0.5,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IF(SUMPRODUCT($J$73:BM$73,$J67:BM67)&lt;0.5,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IF(SUMPRODUCT($J$73:BP$73,$J67:BP67)&lt;0.5,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IF(SUMPRODUCT($J$73:BS$73,$J67:BS67)&lt;0.5,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IF(SUMPRODUCT($J$73:BV$73,$J67:BV67)&lt;0.5,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IF(SUMPRODUCT($J$73:BY$73,$J67:BY67)&lt;0.5,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IF(SUMPRODUCT($J$73:CB$73,$J67:CB67)&lt;0.5, "Pending", IF(CB67&lt;0.5, "Complete", "In Progress"))</f>
        <v>#REF!</v>
      </c>
      <c r="CD67" s="24"/>
      <c r="CE67" s="25">
        <f>SUMPRODUCT($H$73:AY$73,$H67:AY67)</f>
        <v>0</v>
      </c>
    </row>
    <row r="68" spans="1:83" x14ac:dyDescent="0.2">
      <c r="A68" s="16"/>
      <c r="B68" s="16"/>
      <c r="C68" s="16"/>
      <c r="D68" s="17"/>
      <c r="E68" s="178"/>
      <c r="F68" s="18" t="s">
        <v>114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si="24"/>
        <v>0</v>
      </c>
      <c r="L68" s="23" t="str">
        <f>IF(SUMPRODUCT($J$73:K$73,$J68:K68)&lt;0.5, "Pending", IF(K68&lt;0.5, "Complete", "In Progress"))</f>
        <v>Pending</v>
      </c>
      <c r="M68" s="22">
        <v>0</v>
      </c>
      <c r="N68" s="22">
        <f t="shared" si="25"/>
        <v>0</v>
      </c>
      <c r="O68" s="23" t="str">
        <f>IF(SUMPRODUCT($J$73:N$73,$J68:N68)&lt;0.5, "Pending", IF(N68&lt;0.5, "Complete", "In Progress"))</f>
        <v>Pending</v>
      </c>
      <c r="P68" s="22">
        <v>0</v>
      </c>
      <c r="Q68" s="22">
        <f t="shared" si="26"/>
        <v>0</v>
      </c>
      <c r="R68" s="23" t="str">
        <f>IF(SUMPRODUCT($J$73:Q$73,$J68:Q68)&lt;0.5, "Pending", IF(Q68&lt;0.5, "Complete", "In Progress"))</f>
        <v>Pending</v>
      </c>
      <c r="S68" s="22">
        <v>0</v>
      </c>
      <c r="T68" s="22">
        <f t="shared" si="27"/>
        <v>0</v>
      </c>
      <c r="U68" s="23" t="str">
        <f>IF(SUMPRODUCT($J$73:T$73,$J68:T68)&lt;0.5, "Pending", IF(T68&lt;0.5, "Complete", "In Progress"))</f>
        <v>Pending</v>
      </c>
      <c r="V68" s="22">
        <v>0</v>
      </c>
      <c r="W68" s="22">
        <f t="shared" si="28"/>
        <v>0</v>
      </c>
      <c r="X68" s="23" t="str">
        <f>IF(SUMPRODUCT($J$73:W$73,$J68:W68)&lt;0.5, "Pending", IF(W68&lt;0.5, "Complete", "In Progress"))</f>
        <v>Pending</v>
      </c>
      <c r="Y68" s="22">
        <v>0</v>
      </c>
      <c r="Z68" s="22">
        <f t="shared" si="29"/>
        <v>0</v>
      </c>
      <c r="AA68" s="23" t="str">
        <f>IF(SUMPRODUCT($J$73:Z$73,$J68:Z68)&lt;0.5, "Pending", IF(Z68&lt;0.5, "Complete", "In Progress"))</f>
        <v>Pending</v>
      </c>
      <c r="AB68" s="22">
        <v>0</v>
      </c>
      <c r="AC68" s="22">
        <f t="shared" si="30"/>
        <v>0</v>
      </c>
      <c r="AD68" s="23" t="str">
        <f>IF(SUMPRODUCT($J$73:AC$73,$J68:AC68)&lt;0.5, "Pending", IF(AC68&lt;0.5, "Complete", "In Progress"))</f>
        <v>Pending</v>
      </c>
      <c r="AE68" s="22">
        <v>0</v>
      </c>
      <c r="AF68" s="22">
        <f t="shared" si="31"/>
        <v>0</v>
      </c>
      <c r="AG68" s="23" t="str">
        <f>IF(SUMPRODUCT($J$73:AF$73,$J68:AF68)&lt;0.5, "Pending", IF(AF68&lt;0.5, "Complete", "In Progress"))</f>
        <v>Pending</v>
      </c>
      <c r="AH68" s="22">
        <v>0</v>
      </c>
      <c r="AI68" s="22">
        <f t="shared" si="32"/>
        <v>0</v>
      </c>
      <c r="AJ68" s="23" t="str">
        <f>IF(SUMPRODUCT($J$73:AI$73,$J68:AI68)&lt;0.5, "Pending", IF(AI68&lt;0.5, "Complete", "In Progress"))</f>
        <v>Pending</v>
      </c>
      <c r="AK68" s="22">
        <v>0</v>
      </c>
      <c r="AL68" s="22">
        <f t="shared" si="33"/>
        <v>0</v>
      </c>
      <c r="AM68" s="23" t="str">
        <f>IF(SUMPRODUCT($J$73:AL$73,$J68:AL68)&lt;0.5, "Pending", IF(AL68&lt;0.5, "Complete", "In Progress"))</f>
        <v>Pending</v>
      </c>
      <c r="AN68" s="22">
        <v>0</v>
      </c>
      <c r="AO68" s="22">
        <f t="shared" si="34"/>
        <v>0</v>
      </c>
      <c r="AP68" s="23" t="str">
        <f>IF(SUMPRODUCT($J$73:AO$73,$J68:AO68)&lt;0.5, "Pending", IF(AO68&lt;0.5, "Complete", "In Progress"))</f>
        <v>Pending</v>
      </c>
      <c r="AQ68" s="22">
        <v>0</v>
      </c>
      <c r="AR68" s="22">
        <f t="shared" si="35"/>
        <v>0</v>
      </c>
      <c r="AS68" s="23" t="str">
        <f>IF(SUMPRODUCT($J$73:AR$73,$J68:AR68)&lt;0.5, "Pending", IF(AR68&lt;0.5, "Complete", "In Progress"))</f>
        <v>Pending</v>
      </c>
      <c r="AT68" s="22">
        <v>0</v>
      </c>
      <c r="AU68" s="22">
        <f t="shared" si="36"/>
        <v>0</v>
      </c>
      <c r="AV68" s="23" t="str">
        <f>IF(SUMPRODUCT($J$73:AU$73,$J68:AU68)&lt;0.5, "Pending", IF(AU68&lt;0.5, "Complete", "In Progress"))</f>
        <v>Pending</v>
      </c>
      <c r="AW68" s="22">
        <v>0</v>
      </c>
      <c r="AX68" s="22">
        <f t="shared" si="37"/>
        <v>0</v>
      </c>
      <c r="AY68" s="23" t="str">
        <f>IF(SUMPRODUCT($J$73:AX$73,$J68:AX68)&lt;0.5,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IF(SUMPRODUCT($J$73:BA$73,$J68:BA68)&lt;0.5, "Pending", IF(BA68&lt;0.5, "Complete", "In Progress"))</f>
        <v>#REF!</v>
      </c>
      <c r="BC68" s="22">
        <v>0</v>
      </c>
      <c r="BD68" s="22" t="e">
        <f t="shared" si="38"/>
        <v>#REF!</v>
      </c>
      <c r="BE68" s="23" t="e">
        <f>IF(SUMPRODUCT($J$73:BD$73,$J68:BD68)&lt;0.5, "Pending", IF(BD68&lt;0.5, "Complete", "In Progress"))</f>
        <v>#REF!</v>
      </c>
      <c r="BF68" s="22">
        <v>0</v>
      </c>
      <c r="BG68" s="22" t="e">
        <f t="shared" si="39"/>
        <v>#REF!</v>
      </c>
      <c r="BH68" s="23" t="e">
        <f>IF(SUMPRODUCT($J$73:BG$73,$J68:BG68)&lt;0.5, "Pending", IF(BG68&lt;0.5, "Complete", "In Progress"))</f>
        <v>#REF!</v>
      </c>
      <c r="BI68" s="22">
        <v>0</v>
      </c>
      <c r="BJ68" s="22" t="e">
        <f t="shared" si="40"/>
        <v>#REF!</v>
      </c>
      <c r="BK68" s="23" t="e">
        <f>IF(SUMPRODUCT($J$73:BJ$73,$J68:BJ68)&lt;0.5, "Pending", IF(BJ68&lt;0.5, "Complete", "In Progress"))</f>
        <v>#REF!</v>
      </c>
      <c r="BL68" s="22">
        <v>0</v>
      </c>
      <c r="BM68" s="22" t="e">
        <f t="shared" si="41"/>
        <v>#REF!</v>
      </c>
      <c r="BN68" s="23" t="e">
        <f>IF(SUMPRODUCT($J$73:BM$73,$J68:BM68)&lt;0.5, "Pending", IF(BM68&lt;0.5, "Complete", "In Progress"))</f>
        <v>#REF!</v>
      </c>
      <c r="BO68" s="22">
        <v>0</v>
      </c>
      <c r="BP68" s="22" t="e">
        <f t="shared" si="42"/>
        <v>#REF!</v>
      </c>
      <c r="BQ68" s="23" t="e">
        <f>IF(SUMPRODUCT($J$73:BP$73,$J68:BP68)&lt;0.5, "Pending", IF(BP68&lt;0.5, "Complete", "In Progress"))</f>
        <v>#REF!</v>
      </c>
      <c r="BR68" s="22">
        <v>0</v>
      </c>
      <c r="BS68" s="22" t="e">
        <f t="shared" si="43"/>
        <v>#REF!</v>
      </c>
      <c r="BT68" s="23" t="e">
        <f>IF(SUMPRODUCT($J$73:BS$73,$J68:BS68)&lt;0.5, "Pending", IF(BS68&lt;0.5, "Complete", "In Progress"))</f>
        <v>#REF!</v>
      </c>
      <c r="BU68" s="22">
        <v>0</v>
      </c>
      <c r="BV68" s="22" t="e">
        <f t="shared" si="44"/>
        <v>#REF!</v>
      </c>
      <c r="BW68" s="23" t="e">
        <f>IF(SUMPRODUCT($J$73:BV$73,$J68:BV68)&lt;0.5, "Pending", IF(BV68&lt;0.5, "Complete", "In Progress"))</f>
        <v>#REF!</v>
      </c>
      <c r="BX68" s="22">
        <v>0</v>
      </c>
      <c r="BY68" s="22" t="e">
        <f t="shared" si="45"/>
        <v>#REF!</v>
      </c>
      <c r="BZ68" s="23" t="e">
        <f>IF(SUMPRODUCT($J$73:BY$73,$J68:BY68)&lt;0.5, "Pending", IF(BY68&lt;0.5, "Complete", "In Progress"))</f>
        <v>#REF!</v>
      </c>
      <c r="CA68" s="22">
        <v>0</v>
      </c>
      <c r="CB68" s="22" t="e">
        <f t="shared" si="46"/>
        <v>#REF!</v>
      </c>
      <c r="CC68" s="23" t="e">
        <f>IF(SUMPRODUCT($J$73:CB$73,$J68:CB68)&lt;0.5, "Pending", IF(CB68&lt;0.5, "Complete", "In Progress"))</f>
        <v>#REF!</v>
      </c>
      <c r="CD68" s="24"/>
      <c r="CE68" s="25">
        <f>SUMPRODUCT($H$73:AY$73,$H68:AY68)</f>
        <v>0</v>
      </c>
    </row>
    <row r="69" spans="1:83" x14ac:dyDescent="0.2">
      <c r="A69" s="16"/>
      <c r="B69" s="16"/>
      <c r="C69" s="16"/>
      <c r="D69" s="17"/>
      <c r="E69" s="178"/>
      <c r="F69" s="18" t="s">
        <v>114</v>
      </c>
      <c r="G69" s="19" t="str">
        <f t="shared" ca="1" si="0"/>
        <v>Pending</v>
      </c>
      <c r="H69" s="20">
        <v>1</v>
      </c>
      <c r="I69" s="21">
        <v>0</v>
      </c>
      <c r="J69" s="22">
        <v>0</v>
      </c>
      <c r="K69" s="22">
        <f t="shared" si="24"/>
        <v>0</v>
      </c>
      <c r="L69" s="23" t="str">
        <f>IF(SUMPRODUCT($J$73:K$73,$J69:K69)&lt;0.5, "Pending", IF(K69&lt;0.5, "Complete", "In Progress"))</f>
        <v>Pending</v>
      </c>
      <c r="M69" s="22">
        <v>0</v>
      </c>
      <c r="N69" s="22">
        <f t="shared" si="25"/>
        <v>0</v>
      </c>
      <c r="O69" s="23" t="str">
        <f>IF(SUMPRODUCT($J$73:N$73,$J69:N69)&lt;0.5, "Pending", IF(N69&lt;0.5, "Complete", "In Progress"))</f>
        <v>Pending</v>
      </c>
      <c r="P69" s="22">
        <v>0</v>
      </c>
      <c r="Q69" s="22">
        <f t="shared" si="26"/>
        <v>0</v>
      </c>
      <c r="R69" s="23" t="str">
        <f>IF(SUMPRODUCT($J$73:Q$73,$J69:Q69)&lt;0.5, "Pending", IF(Q69&lt;0.5, "Complete", "In Progress"))</f>
        <v>Pending</v>
      </c>
      <c r="S69" s="22">
        <v>0</v>
      </c>
      <c r="T69" s="22">
        <f t="shared" si="27"/>
        <v>0</v>
      </c>
      <c r="U69" s="23" t="str">
        <f>IF(SUMPRODUCT($J$73:T$73,$J69:T69)&lt;0.5, "Pending", IF(T69&lt;0.5, "Complete", "In Progress"))</f>
        <v>Pending</v>
      </c>
      <c r="V69" s="22">
        <v>0</v>
      </c>
      <c r="W69" s="22">
        <f t="shared" si="28"/>
        <v>0</v>
      </c>
      <c r="X69" s="23" t="str">
        <f>IF(SUMPRODUCT($J$73:W$73,$J69:W69)&lt;0.5, "Pending", IF(W69&lt;0.5, "Complete", "In Progress"))</f>
        <v>Pending</v>
      </c>
      <c r="Y69" s="22">
        <v>0</v>
      </c>
      <c r="Z69" s="22">
        <f t="shared" si="29"/>
        <v>0</v>
      </c>
      <c r="AA69" s="23" t="str">
        <f>IF(SUMPRODUCT($J$73:Z$73,$J69:Z69)&lt;0.5, "Pending", IF(Z69&lt;0.5, "Complete", "In Progress"))</f>
        <v>Pending</v>
      </c>
      <c r="AB69" s="22">
        <v>0</v>
      </c>
      <c r="AC69" s="22">
        <f t="shared" si="30"/>
        <v>0</v>
      </c>
      <c r="AD69" s="23" t="str">
        <f>IF(SUMPRODUCT($J$73:AC$73,$J69:AC69)&lt;0.5, "Pending", IF(AC69&lt;0.5, "Complete", "In Progress"))</f>
        <v>Pending</v>
      </c>
      <c r="AE69" s="22">
        <v>0</v>
      </c>
      <c r="AF69" s="22">
        <f t="shared" si="31"/>
        <v>0</v>
      </c>
      <c r="AG69" s="23" t="str">
        <f>IF(SUMPRODUCT($J$73:AF$73,$J69:AF69)&lt;0.5, "Pending", IF(AF69&lt;0.5, "Complete", "In Progress"))</f>
        <v>Pending</v>
      </c>
      <c r="AH69" s="22">
        <v>0</v>
      </c>
      <c r="AI69" s="22">
        <f t="shared" si="32"/>
        <v>0</v>
      </c>
      <c r="AJ69" s="23" t="str">
        <f>IF(SUMPRODUCT($J$73:AI$73,$J69:AI69)&lt;0.5, "Pending", IF(AI69&lt;0.5, "Complete", "In Progress"))</f>
        <v>Pending</v>
      </c>
      <c r="AK69" s="22">
        <v>0</v>
      </c>
      <c r="AL69" s="22">
        <f t="shared" si="33"/>
        <v>0</v>
      </c>
      <c r="AM69" s="23" t="str">
        <f>IF(SUMPRODUCT($J$73:AL$73,$J69:AL69)&lt;0.5, "Pending", IF(AL69&lt;0.5, "Complete", "In Progress"))</f>
        <v>Pending</v>
      </c>
      <c r="AN69" s="22">
        <v>0</v>
      </c>
      <c r="AO69" s="22">
        <f t="shared" si="34"/>
        <v>0</v>
      </c>
      <c r="AP69" s="23" t="str">
        <f>IF(SUMPRODUCT($J$73:AO$73,$J69:AO69)&lt;0.5, "Pending", IF(AO69&lt;0.5, "Complete", "In Progress"))</f>
        <v>Pending</v>
      </c>
      <c r="AQ69" s="22">
        <v>0</v>
      </c>
      <c r="AR69" s="22">
        <f t="shared" si="35"/>
        <v>0</v>
      </c>
      <c r="AS69" s="23" t="str">
        <f>IF(SUMPRODUCT($J$73:AR$73,$J69:AR69)&lt;0.5, "Pending", IF(AR69&lt;0.5, "Complete", "In Progress"))</f>
        <v>Pending</v>
      </c>
      <c r="AT69" s="22">
        <v>0</v>
      </c>
      <c r="AU69" s="22">
        <f t="shared" si="36"/>
        <v>0</v>
      </c>
      <c r="AV69" s="23" t="str">
        <f>IF(SUMPRODUCT($J$73:AU$73,$J69:AU69)&lt;0.5, "Pending", IF(AU69&lt;0.5, "Complete", "In Progress"))</f>
        <v>Pending</v>
      </c>
      <c r="AW69" s="22">
        <v>0</v>
      </c>
      <c r="AX69" s="22">
        <f t="shared" si="37"/>
        <v>0</v>
      </c>
      <c r="AY69" s="23" t="str">
        <f>IF(SUMPRODUCT($J$73:AX$73,$J69:AX69)&lt;0.5, "Pending", IF(AX69&lt;0.5, "Complete", "In Progress"))</f>
        <v>Pending</v>
      </c>
      <c r="AZ69" s="22">
        <v>0</v>
      </c>
      <c r="BA69" s="22" t="e">
        <f>MAX(#REF!-AZ69,0)</f>
        <v>#REF!</v>
      </c>
      <c r="BB69" s="23" t="e">
        <f>IF(SUMPRODUCT($J$73:BA$73,$J69:BA69)&lt;0.5, "Pending", IF(BA69&lt;0.5, "Complete", "In Progress"))</f>
        <v>#REF!</v>
      </c>
      <c r="BC69" s="22">
        <v>0</v>
      </c>
      <c r="BD69" s="22" t="e">
        <f t="shared" si="38"/>
        <v>#REF!</v>
      </c>
      <c r="BE69" s="23" t="e">
        <f>IF(SUMPRODUCT($J$73:BD$73,$J69:BD69)&lt;0.5, "Pending", IF(BD69&lt;0.5, "Complete", "In Progress"))</f>
        <v>#REF!</v>
      </c>
      <c r="BF69" s="22">
        <v>0</v>
      </c>
      <c r="BG69" s="22" t="e">
        <f t="shared" si="39"/>
        <v>#REF!</v>
      </c>
      <c r="BH69" s="23" t="e">
        <f>IF(SUMPRODUCT($J$73:BG$73,$J69:BG69)&lt;0.5, "Pending", IF(BG69&lt;0.5, "Complete", "In Progress"))</f>
        <v>#REF!</v>
      </c>
      <c r="BI69" s="22">
        <v>0</v>
      </c>
      <c r="BJ69" s="22" t="e">
        <f t="shared" si="40"/>
        <v>#REF!</v>
      </c>
      <c r="BK69" s="23" t="e">
        <f>IF(SUMPRODUCT($J$73:BJ$73,$J69:BJ69)&lt;0.5, "Pending", IF(BJ69&lt;0.5, "Complete", "In Progress"))</f>
        <v>#REF!</v>
      </c>
      <c r="BL69" s="22">
        <v>0</v>
      </c>
      <c r="BM69" s="22" t="e">
        <f t="shared" si="41"/>
        <v>#REF!</v>
      </c>
      <c r="BN69" s="23" t="e">
        <f>IF(SUMPRODUCT($J$73:BM$73,$J69:BM69)&lt;0.5, "Pending", IF(BM69&lt;0.5, "Complete", "In Progress"))</f>
        <v>#REF!</v>
      </c>
      <c r="BO69" s="22">
        <v>0</v>
      </c>
      <c r="BP69" s="22" t="e">
        <f t="shared" si="42"/>
        <v>#REF!</v>
      </c>
      <c r="BQ69" s="23" t="e">
        <f>IF(SUMPRODUCT($J$73:BP$73,$J69:BP69)&lt;0.5, "Pending", IF(BP69&lt;0.5, "Complete", "In Progress"))</f>
        <v>#REF!</v>
      </c>
      <c r="BR69" s="22">
        <v>0</v>
      </c>
      <c r="BS69" s="22" t="e">
        <f t="shared" si="43"/>
        <v>#REF!</v>
      </c>
      <c r="BT69" s="23" t="e">
        <f>IF(SUMPRODUCT($J$73:BS$73,$J69:BS69)&lt;0.5, "Pending", IF(BS69&lt;0.5, "Complete", "In Progress"))</f>
        <v>#REF!</v>
      </c>
      <c r="BU69" s="22">
        <v>0</v>
      </c>
      <c r="BV69" s="22" t="e">
        <f t="shared" si="44"/>
        <v>#REF!</v>
      </c>
      <c r="BW69" s="23" t="e">
        <f>IF(SUMPRODUCT($J$73:BV$73,$J69:BV69)&lt;0.5, "Pending", IF(BV69&lt;0.5, "Complete", "In Progress"))</f>
        <v>#REF!</v>
      </c>
      <c r="BX69" s="22">
        <v>0</v>
      </c>
      <c r="BY69" s="22" t="e">
        <f t="shared" si="45"/>
        <v>#REF!</v>
      </c>
      <c r="BZ69" s="23" t="e">
        <f>IF(SUMPRODUCT($J$73:BY$73,$J69:BY69)&lt;0.5, "Pending", IF(BY69&lt;0.5, "Complete", "In Progress"))</f>
        <v>#REF!</v>
      </c>
      <c r="CA69" s="22">
        <v>0</v>
      </c>
      <c r="CB69" s="22" t="e">
        <f t="shared" si="46"/>
        <v>#REF!</v>
      </c>
      <c r="CC69" s="23" t="e">
        <f>IF(SUMPRODUCT($J$73:CB$73,$J69:CB69)&lt;0.5, "Pending", IF(CB69&lt;0.5, "Complete", "In Progress"))</f>
        <v>#REF!</v>
      </c>
      <c r="CD69" s="24"/>
      <c r="CE69" s="25">
        <f>SUMPRODUCT($H$73:AY$73,$H69:AY69)</f>
        <v>0</v>
      </c>
    </row>
    <row r="70" spans="1:83" x14ac:dyDescent="0.2">
      <c r="A70" s="16"/>
      <c r="B70" s="16"/>
      <c r="C70" s="16"/>
      <c r="D70" s="17"/>
      <c r="E70" s="177"/>
      <c r="F70" s="18" t="s">
        <v>48</v>
      </c>
      <c r="G70" s="19" t="str">
        <f t="shared" ca="1" si="0"/>
        <v>Pending</v>
      </c>
      <c r="H70" s="20">
        <v>1</v>
      </c>
      <c r="I70" s="21">
        <v>0</v>
      </c>
      <c r="J70" s="22">
        <v>0</v>
      </c>
      <c r="K70" s="22">
        <f t="shared" ref="K70" si="162">MAX(I70-J70, 0)</f>
        <v>0</v>
      </c>
      <c r="L70" s="23" t="str">
        <f>IF(SUMPRODUCT($J$73:K$73,$J70:K70)&lt;0.5, "Pending", IF(K70&lt;0.5, "Complete", "In Progress"))</f>
        <v>Pending</v>
      </c>
      <c r="M70" s="22">
        <v>0</v>
      </c>
      <c r="N70" s="22">
        <f t="shared" ref="N70" si="163">MAX(K70-M70,0)</f>
        <v>0</v>
      </c>
      <c r="O70" s="23" t="str">
        <f>IF(SUMPRODUCT($J$73:N$73,$J70:N70)&lt;0.5, "Pending", IF(N70&lt;0.5, "Complete", "In Progress"))</f>
        <v>Pending</v>
      </c>
      <c r="P70" s="22">
        <v>0</v>
      </c>
      <c r="Q70" s="22">
        <f t="shared" ref="Q70" si="164">MAX(N70-P70,0)</f>
        <v>0</v>
      </c>
      <c r="R70" s="23" t="str">
        <f>IF(SUMPRODUCT($J$73:Q$73,$J70:Q70)&lt;0.5, "Pending", IF(Q70&lt;0.5, "Complete", "In Progress"))</f>
        <v>Pending</v>
      </c>
      <c r="S70" s="22">
        <v>0</v>
      </c>
      <c r="T70" s="22">
        <f t="shared" ref="T70" si="165">MAX(Q70-S70,0)</f>
        <v>0</v>
      </c>
      <c r="U70" s="23" t="str">
        <f>IF(SUMPRODUCT($J$73:T$73,$J70:T70)&lt;0.5, "Pending", IF(T70&lt;0.5, "Complete", "In Progress"))</f>
        <v>Pending</v>
      </c>
      <c r="V70" s="22">
        <v>0</v>
      </c>
      <c r="W70" s="22">
        <f t="shared" ref="W70" si="166">MAX(T70-V70,0)</f>
        <v>0</v>
      </c>
      <c r="X70" s="23" t="str">
        <f>IF(SUMPRODUCT($J$73:W$73,$J70:W70)&lt;0.5, "Pending", IF(W70&lt;0.5, "Complete", "In Progress"))</f>
        <v>Pending</v>
      </c>
      <c r="Y70" s="22">
        <v>0</v>
      </c>
      <c r="Z70" s="22">
        <f t="shared" ref="Z70" si="167">MAX(W70-Y70,0)</f>
        <v>0</v>
      </c>
      <c r="AA70" s="23" t="str">
        <f>IF(SUMPRODUCT($J$73:Z$73,$J70:Z70)&lt;0.5, "Pending", IF(Z70&lt;0.5, "Complete", "In Progress"))</f>
        <v>Pending</v>
      </c>
      <c r="AB70" s="22">
        <v>0</v>
      </c>
      <c r="AC70" s="22">
        <f t="shared" ref="AC70" si="168">MAX(Z70-AB70,0)</f>
        <v>0</v>
      </c>
      <c r="AD70" s="23" t="str">
        <f>IF(SUMPRODUCT($J$73:AC$73,$J70:AC70)&lt;0.5, "Pending", IF(AC70&lt;0.5, "Complete", "In Progress"))</f>
        <v>Pending</v>
      </c>
      <c r="AE70" s="22">
        <v>0</v>
      </c>
      <c r="AF70" s="22">
        <f t="shared" ref="AF70" si="169">MAX(AC70-AE70,0)</f>
        <v>0</v>
      </c>
      <c r="AG70" s="23" t="str">
        <f>IF(SUMPRODUCT($J$73:AF$73,$J70:AF70)&lt;0.5, "Pending", IF(AF70&lt;0.5, "Complete", "In Progress"))</f>
        <v>Pending</v>
      </c>
      <c r="AH70" s="22">
        <v>0</v>
      </c>
      <c r="AI70" s="22">
        <f t="shared" ref="AI70" si="170">MAX(AF70-AH70,0)</f>
        <v>0</v>
      </c>
      <c r="AJ70" s="23" t="str">
        <f>IF(SUMPRODUCT($J$73:AI$73,$J70:AI70)&lt;0.5, "Pending", IF(AI70&lt;0.5, "Complete", "In Progress"))</f>
        <v>Pending</v>
      </c>
      <c r="AK70" s="22">
        <v>0</v>
      </c>
      <c r="AL70" s="22">
        <f t="shared" ref="AL70" si="171">MAX(AI70-AK70,0)</f>
        <v>0</v>
      </c>
      <c r="AM70" s="23" t="str">
        <f>IF(SUMPRODUCT($J$73:AL$73,$J70:AL70)&lt;0.5, "Pending", IF(AL70&lt;0.5, "Complete", "In Progress"))</f>
        <v>Pending</v>
      </c>
      <c r="AN70" s="22">
        <v>0</v>
      </c>
      <c r="AO70" s="22">
        <f t="shared" ref="AO70" si="172">MAX(AL70-AN70,0)</f>
        <v>0</v>
      </c>
      <c r="AP70" s="23" t="str">
        <f>IF(SUMPRODUCT($J$73:AO$73,$J70:AO70)&lt;0.5, "Pending", IF(AO70&lt;0.5, "Complete", "In Progress"))</f>
        <v>Pending</v>
      </c>
      <c r="AQ70" s="22">
        <v>0</v>
      </c>
      <c r="AR70" s="22">
        <f t="shared" ref="AR70" si="173">MAX(AO70-AQ70,0)</f>
        <v>0</v>
      </c>
      <c r="AS70" s="23" t="str">
        <f>IF(SUMPRODUCT($J$73:AR$73,$J70:AR70)&lt;0.5, "Pending", IF(AR70&lt;0.5, "Complete", "In Progress"))</f>
        <v>Pending</v>
      </c>
      <c r="AT70" s="22">
        <v>0</v>
      </c>
      <c r="AU70" s="22">
        <f t="shared" ref="AU70" si="174">MAX(AR70-AT70,0)</f>
        <v>0</v>
      </c>
      <c r="AV70" s="23" t="str">
        <f>IF(SUMPRODUCT($J$73:AU$73,$J70:AU70)&lt;0.5, "Pending", IF(AU70&lt;0.5, "Complete", "In Progress"))</f>
        <v>Pending</v>
      </c>
      <c r="AW70" s="22">
        <v>0</v>
      </c>
      <c r="AX70" s="22">
        <f t="shared" ref="AX70" si="175">MAX(AU70-AW70,0)</f>
        <v>0</v>
      </c>
      <c r="AY70" s="23" t="str">
        <f>IF(SUMPRODUCT($J$73:AX$73,$J70:AX70)&lt;0.5, "Pending", IF(AX70&lt;0.5, "Complete", "In Progress"))</f>
        <v>Pending</v>
      </c>
      <c r="AZ70" s="22">
        <v>0</v>
      </c>
      <c r="BA70" s="22" t="e">
        <f>MAX(#REF!-AZ70,0)</f>
        <v>#REF!</v>
      </c>
      <c r="BB70" s="23" t="e">
        <f>IF(SUMPRODUCT($J$73:BA$73,$J70:BA70)&lt;0.5, "Pending", IF(BA70&lt;0.5, "Complete", "In Progress"))</f>
        <v>#REF!</v>
      </c>
      <c r="BC70" s="22">
        <v>0</v>
      </c>
      <c r="BD70" s="22" t="e">
        <f t="shared" ref="BD70" si="176">MAX(BA70-BC70,0)</f>
        <v>#REF!</v>
      </c>
      <c r="BE70" s="23" t="e">
        <f>IF(SUMPRODUCT($J$73:BD$73,$J70:BD70)&lt;0.5, "Pending", IF(BD70&lt;0.5, "Complete", "In Progress"))</f>
        <v>#REF!</v>
      </c>
      <c r="BF70" s="22">
        <v>0</v>
      </c>
      <c r="BG70" s="22" t="e">
        <f t="shared" ref="BG70" si="177">MAX(BD70-BF70,0)</f>
        <v>#REF!</v>
      </c>
      <c r="BH70" s="23" t="e">
        <f>IF(SUMPRODUCT($J$73:BG$73,$J70:BG70)&lt;0.5, "Pending", IF(BG70&lt;0.5, "Complete", "In Progress"))</f>
        <v>#REF!</v>
      </c>
      <c r="BI70" s="22">
        <v>0</v>
      </c>
      <c r="BJ70" s="22" t="e">
        <f t="shared" ref="BJ70" si="178">MAX(BG70-BI70,0)</f>
        <v>#REF!</v>
      </c>
      <c r="BK70" s="23" t="e">
        <f>IF(SUMPRODUCT($J$73:BJ$73,$J70:BJ70)&lt;0.5, "Pending", IF(BJ70&lt;0.5, "Complete", "In Progress"))</f>
        <v>#REF!</v>
      </c>
      <c r="BL70" s="22">
        <v>0</v>
      </c>
      <c r="BM70" s="22" t="e">
        <f t="shared" ref="BM70" si="179">MAX(BJ70-BL70,0)</f>
        <v>#REF!</v>
      </c>
      <c r="BN70" s="23" t="e">
        <f>IF(SUMPRODUCT($J$73:BM$73,$J70:BM70)&lt;0.5, "Pending", IF(BM70&lt;0.5, "Complete", "In Progress"))</f>
        <v>#REF!</v>
      </c>
      <c r="BO70" s="22">
        <v>0</v>
      </c>
      <c r="BP70" s="22" t="e">
        <f t="shared" ref="BP70" si="180">MAX(BM70-BO70,0)</f>
        <v>#REF!</v>
      </c>
      <c r="BQ70" s="23" t="e">
        <f>IF(SUMPRODUCT($J$73:BP$73,$J70:BP70)&lt;0.5, "Pending", IF(BP70&lt;0.5, "Complete", "In Progress"))</f>
        <v>#REF!</v>
      </c>
      <c r="BR70" s="22">
        <v>0</v>
      </c>
      <c r="BS70" s="22" t="e">
        <f t="shared" ref="BS70" si="181">MAX(BP70-BR70,0)</f>
        <v>#REF!</v>
      </c>
      <c r="BT70" s="23" t="e">
        <f>IF(SUMPRODUCT($J$73:BS$73,$J70:BS70)&lt;0.5, "Pending", IF(BS70&lt;0.5, "Complete", "In Progress"))</f>
        <v>#REF!</v>
      </c>
      <c r="BU70" s="22">
        <v>0</v>
      </c>
      <c r="BV70" s="22" t="e">
        <f t="shared" ref="BV70" si="182">MAX(BS70-BU70,0)</f>
        <v>#REF!</v>
      </c>
      <c r="BW70" s="23" t="e">
        <f>IF(SUMPRODUCT($J$73:BV$73,$J70:BV70)&lt;0.5, "Pending", IF(BV70&lt;0.5, "Complete", "In Progress"))</f>
        <v>#REF!</v>
      </c>
      <c r="BX70" s="22">
        <v>0</v>
      </c>
      <c r="BY70" s="22" t="e">
        <f t="shared" ref="BY70" si="183">MAX(BV70-BX70,0)</f>
        <v>#REF!</v>
      </c>
      <c r="BZ70" s="23" t="e">
        <f>IF(SUMPRODUCT($J$73:BY$73,$J70:BY70)&lt;0.5, "Pending", IF(BY70&lt;0.5, "Complete", "In Progress"))</f>
        <v>#REF!</v>
      </c>
      <c r="CA70" s="22">
        <v>0</v>
      </c>
      <c r="CB70" s="22" t="e">
        <f t="shared" ref="CB70" si="184">MAX(BY70-CA70,0)</f>
        <v>#REF!</v>
      </c>
      <c r="CC70" s="23" t="e">
        <f>IF(SUMPRODUCT($J$73:CB$73,$J70:CB70)&lt;0.5, "Pending", IF(CB70&lt;0.5, "Complete", "In Progress"))</f>
        <v>#REF!</v>
      </c>
      <c r="CD70" s="24"/>
      <c r="CE70" s="25">
        <f>SUMPRODUCT($H$73:AY$73,$H70:AY70)</f>
        <v>0</v>
      </c>
    </row>
    <row r="71" spans="1:83" hidden="1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4"/>
      <c r="K71" s="24"/>
      <c r="L71" s="24"/>
      <c r="M71" s="27"/>
      <c r="N71" s="27"/>
      <c r="O71" s="24"/>
      <c r="P71" s="27"/>
      <c r="Q71" s="27"/>
      <c r="R71" s="24"/>
      <c r="S71" s="27"/>
      <c r="T71" s="27"/>
      <c r="U71" s="27"/>
      <c r="V71" s="27"/>
      <c r="W71" s="27"/>
      <c r="X71" s="24"/>
      <c r="Y71" s="27"/>
      <c r="Z71" s="27"/>
      <c r="AA71" s="24"/>
      <c r="AB71" s="27"/>
      <c r="AC71" s="27"/>
      <c r="AD71" s="24"/>
      <c r="AE71" s="27"/>
      <c r="AF71" s="27"/>
      <c r="AG71" s="24"/>
      <c r="AH71" s="27"/>
      <c r="AI71" s="27"/>
      <c r="AJ71" s="24"/>
      <c r="AK71" s="27"/>
      <c r="AL71" s="27"/>
      <c r="AM71" s="24"/>
      <c r="AN71" s="27"/>
      <c r="AO71" s="27"/>
      <c r="AP71" s="24"/>
      <c r="AQ71" s="27"/>
      <c r="AR71" s="27"/>
      <c r="AS71" s="24"/>
      <c r="AT71" s="27"/>
      <c r="AU71" s="27"/>
      <c r="AV71" s="24"/>
      <c r="AW71" s="27"/>
      <c r="AX71" s="27"/>
      <c r="AY71" s="24"/>
      <c r="AZ71" s="27"/>
      <c r="BA71" s="27"/>
      <c r="BB71" s="24"/>
      <c r="BC71" s="27"/>
      <c r="BD71" s="27"/>
      <c r="BE71" s="24"/>
      <c r="BF71" s="27"/>
      <c r="BG71" s="27"/>
      <c r="BH71" s="24"/>
      <c r="BI71" s="27"/>
      <c r="BJ71" s="27"/>
      <c r="BK71" s="24"/>
      <c r="BL71" s="27"/>
      <c r="BM71" s="27"/>
      <c r="BN71" s="24"/>
      <c r="BO71" s="27"/>
      <c r="BP71" s="27"/>
      <c r="BQ71" s="24"/>
      <c r="BR71" s="27"/>
      <c r="BS71" s="27"/>
      <c r="BT71" s="24"/>
      <c r="BU71" s="27"/>
      <c r="BV71" s="27"/>
      <c r="BW71" s="24"/>
      <c r="BX71" s="27"/>
      <c r="BY71" s="27"/>
      <c r="BZ71" s="24"/>
      <c r="CA71" s="27"/>
      <c r="CB71" s="27"/>
      <c r="CC71" s="24"/>
      <c r="CD71" s="24"/>
      <c r="CE71" s="28">
        <f>SUMPRODUCT($H$74:BK$74,$H71:BK71)</f>
        <v>0</v>
      </c>
    </row>
    <row r="72" spans="1:83" x14ac:dyDescent="0.2">
      <c r="A72" s="29"/>
      <c r="B72" s="29"/>
      <c r="C72" s="29"/>
      <c r="D72" s="29"/>
      <c r="E72" s="29"/>
      <c r="F72" s="29"/>
      <c r="G72" s="1"/>
      <c r="H72" s="29"/>
      <c r="I72" s="29"/>
      <c r="J72" s="220" t="s">
        <v>9</v>
      </c>
      <c r="K72" s="221"/>
      <c r="L72" s="30">
        <v>1</v>
      </c>
      <c r="M72" s="218" t="s">
        <v>9</v>
      </c>
      <c r="N72" s="222"/>
      <c r="O72" s="30">
        <f>L72+1</f>
        <v>2</v>
      </c>
      <c r="P72" s="218" t="s">
        <v>9</v>
      </c>
      <c r="Q72" s="222"/>
      <c r="R72" s="30">
        <f>O72+1</f>
        <v>3</v>
      </c>
      <c r="S72" s="218" t="s">
        <v>9</v>
      </c>
      <c r="T72" s="222"/>
      <c r="U72" s="30">
        <f>R72+1</f>
        <v>4</v>
      </c>
      <c r="V72" s="218" t="s">
        <v>9</v>
      </c>
      <c r="W72" s="222"/>
      <c r="X72" s="30">
        <f>U72+1</f>
        <v>5</v>
      </c>
      <c r="Y72" s="218" t="s">
        <v>9</v>
      </c>
      <c r="Z72" s="218"/>
      <c r="AA72" s="30">
        <f>X72+1</f>
        <v>6</v>
      </c>
      <c r="AB72" s="218" t="s">
        <v>9</v>
      </c>
      <c r="AC72" s="218"/>
      <c r="AD72" s="30">
        <f>AA72+1</f>
        <v>7</v>
      </c>
      <c r="AE72" s="218" t="s">
        <v>9</v>
      </c>
      <c r="AF72" s="218"/>
      <c r="AG72" s="30">
        <f>AD72+1</f>
        <v>8</v>
      </c>
      <c r="AH72" s="218" t="s">
        <v>9</v>
      </c>
      <c r="AI72" s="218"/>
      <c r="AJ72" s="30">
        <f>AG72+1</f>
        <v>9</v>
      </c>
      <c r="AK72" s="218" t="s">
        <v>9</v>
      </c>
      <c r="AL72" s="218"/>
      <c r="AM72" s="30">
        <f>AJ72+1</f>
        <v>10</v>
      </c>
      <c r="AN72" s="218" t="s">
        <v>9</v>
      </c>
      <c r="AO72" s="218"/>
      <c r="AP72" s="30">
        <f>AM72+1</f>
        <v>11</v>
      </c>
      <c r="AQ72" s="218" t="s">
        <v>9</v>
      </c>
      <c r="AR72" s="218"/>
      <c r="AS72" s="30">
        <f>AP72+1</f>
        <v>12</v>
      </c>
      <c r="AT72" s="218" t="s">
        <v>9</v>
      </c>
      <c r="AU72" s="218"/>
      <c r="AV72" s="30">
        <f>AS72+1</f>
        <v>13</v>
      </c>
      <c r="AW72" s="218" t="s">
        <v>9</v>
      </c>
      <c r="AX72" s="218"/>
      <c r="AY72" s="30">
        <f>AV72+1</f>
        <v>14</v>
      </c>
      <c r="AZ72" s="218" t="s">
        <v>9</v>
      </c>
      <c r="BA72" s="222"/>
      <c r="BB72" s="30" t="e">
        <f>#REF!+1</f>
        <v>#REF!</v>
      </c>
      <c r="BC72" s="218" t="s">
        <v>9</v>
      </c>
      <c r="BD72" s="222"/>
      <c r="BE72" s="30" t="e">
        <f>BB72+1</f>
        <v>#REF!</v>
      </c>
      <c r="BF72" s="218" t="s">
        <v>9</v>
      </c>
      <c r="BG72" s="222"/>
      <c r="BH72" s="30" t="e">
        <f>BE72+1</f>
        <v>#REF!</v>
      </c>
      <c r="BI72" s="218" t="s">
        <v>9</v>
      </c>
      <c r="BJ72" s="222"/>
      <c r="BK72" s="30" t="e">
        <f>BH72+1</f>
        <v>#REF!</v>
      </c>
      <c r="BL72" s="218" t="s">
        <v>9</v>
      </c>
      <c r="BM72" s="222"/>
      <c r="BN72" s="30" t="e">
        <f>BK72+1</f>
        <v>#REF!</v>
      </c>
      <c r="BO72" s="218" t="s">
        <v>9</v>
      </c>
      <c r="BP72" s="222"/>
      <c r="BQ72" s="30" t="e">
        <f>BN72+1</f>
        <v>#REF!</v>
      </c>
      <c r="BR72" s="218" t="s">
        <v>9</v>
      </c>
      <c r="BS72" s="222"/>
      <c r="BT72" s="30" t="e">
        <f>BQ72+1</f>
        <v>#REF!</v>
      </c>
      <c r="BU72" s="218" t="s">
        <v>9</v>
      </c>
      <c r="BV72" s="222"/>
      <c r="BW72" s="30" t="e">
        <f>BT72+1</f>
        <v>#REF!</v>
      </c>
      <c r="BX72" s="218" t="s">
        <v>9</v>
      </c>
      <c r="BY72" s="222"/>
      <c r="BZ72" s="30" t="e">
        <f>BW72+1</f>
        <v>#REF!</v>
      </c>
      <c r="CA72" s="218" t="s">
        <v>9</v>
      </c>
      <c r="CB72" s="222"/>
      <c r="CC72" s="30" t="e">
        <f>BZ72+1</f>
        <v>#REF!</v>
      </c>
      <c r="CD72" s="30"/>
      <c r="CE72" s="31"/>
    </row>
    <row r="73" spans="1:83" hidden="1" x14ac:dyDescent="0.2">
      <c r="A73" s="32"/>
      <c r="B73" s="32"/>
      <c r="C73" s="32"/>
      <c r="D73" s="32"/>
      <c r="E73" s="32" t="s">
        <v>11</v>
      </c>
      <c r="F73" s="32"/>
      <c r="G73" s="32"/>
      <c r="H73" s="32"/>
      <c r="I73" s="32"/>
      <c r="J73" s="155">
        <v>1</v>
      </c>
      <c r="K73" s="155">
        <v>0</v>
      </c>
      <c r="L73" s="32">
        <v>0</v>
      </c>
      <c r="M73" s="32">
        <v>1</v>
      </c>
      <c r="N73" s="32">
        <v>0</v>
      </c>
      <c r="O73" s="32">
        <v>0</v>
      </c>
      <c r="P73" s="32">
        <v>1</v>
      </c>
      <c r="Q73" s="32">
        <v>0</v>
      </c>
      <c r="R73" s="32">
        <v>0</v>
      </c>
      <c r="S73" s="32">
        <v>1</v>
      </c>
      <c r="T73" s="32">
        <v>0</v>
      </c>
      <c r="U73" s="32">
        <v>0</v>
      </c>
      <c r="V73" s="32">
        <v>1</v>
      </c>
      <c r="W73" s="32">
        <v>0</v>
      </c>
      <c r="X73" s="32">
        <v>0</v>
      </c>
      <c r="Y73" s="32">
        <v>1</v>
      </c>
      <c r="Z73" s="32">
        <v>0</v>
      </c>
      <c r="AA73" s="32">
        <v>0</v>
      </c>
      <c r="AB73" s="32">
        <v>1</v>
      </c>
      <c r="AC73" s="32">
        <v>0</v>
      </c>
      <c r="AD73" s="32">
        <v>0</v>
      </c>
      <c r="AE73" s="32">
        <v>1</v>
      </c>
      <c r="AF73" s="32">
        <v>0</v>
      </c>
      <c r="AG73" s="32">
        <v>0</v>
      </c>
      <c r="AH73" s="32">
        <v>1</v>
      </c>
      <c r="AI73" s="32">
        <v>0</v>
      </c>
      <c r="AJ73" s="32">
        <v>0</v>
      </c>
      <c r="AK73" s="32">
        <v>1</v>
      </c>
      <c r="AL73" s="32">
        <v>0</v>
      </c>
      <c r="AM73" s="32">
        <v>0</v>
      </c>
      <c r="AN73" s="32">
        <v>1</v>
      </c>
      <c r="AO73" s="32">
        <v>0</v>
      </c>
      <c r="AP73" s="32">
        <v>0</v>
      </c>
      <c r="AQ73" s="32">
        <v>1</v>
      </c>
      <c r="AR73" s="32">
        <v>0</v>
      </c>
      <c r="AS73" s="32">
        <v>0</v>
      </c>
      <c r="AT73" s="32">
        <v>1</v>
      </c>
      <c r="AU73" s="32">
        <v>0</v>
      </c>
      <c r="AV73" s="32">
        <v>0</v>
      </c>
      <c r="AW73" s="32">
        <v>1</v>
      </c>
      <c r="AX73" s="32">
        <v>0</v>
      </c>
      <c r="AY73" s="32">
        <v>0</v>
      </c>
      <c r="AZ73" s="32">
        <v>1</v>
      </c>
      <c r="BA73" s="32">
        <v>0</v>
      </c>
      <c r="BB73" s="32">
        <v>0</v>
      </c>
      <c r="BC73" s="32">
        <v>1</v>
      </c>
      <c r="BD73" s="32">
        <v>0</v>
      </c>
      <c r="BE73" s="32">
        <v>0</v>
      </c>
      <c r="BF73" s="32">
        <v>1</v>
      </c>
      <c r="BG73" s="32">
        <v>0</v>
      </c>
      <c r="BH73" s="32">
        <v>0</v>
      </c>
      <c r="BI73" s="32">
        <v>1</v>
      </c>
      <c r="BJ73" s="32">
        <v>0</v>
      </c>
      <c r="BK73" s="32">
        <v>0</v>
      </c>
      <c r="BL73" s="32">
        <v>1</v>
      </c>
      <c r="BM73" s="32">
        <v>0</v>
      </c>
      <c r="BN73" s="32">
        <v>0</v>
      </c>
      <c r="BO73" s="32">
        <v>1</v>
      </c>
      <c r="BP73" s="32">
        <v>0</v>
      </c>
      <c r="BQ73" s="32">
        <v>0</v>
      </c>
      <c r="BR73" s="32">
        <v>1</v>
      </c>
      <c r="BS73" s="32">
        <v>0</v>
      </c>
      <c r="BT73" s="32">
        <v>0</v>
      </c>
      <c r="BU73" s="32">
        <v>1</v>
      </c>
      <c r="BV73" s="32">
        <v>0</v>
      </c>
      <c r="BW73" s="32">
        <v>0</v>
      </c>
      <c r="BX73" s="32">
        <v>1</v>
      </c>
      <c r="BY73" s="32">
        <v>0</v>
      </c>
      <c r="BZ73" s="32">
        <v>0</v>
      </c>
      <c r="CA73" s="32">
        <v>1</v>
      </c>
      <c r="CB73" s="32">
        <v>0</v>
      </c>
      <c r="CC73" s="32">
        <v>0</v>
      </c>
      <c r="CD73" s="32"/>
      <c r="CE73" s="33"/>
    </row>
    <row r="74" spans="1:83" hidden="1" x14ac:dyDescent="0.2">
      <c r="A74" s="34"/>
      <c r="B74" s="34"/>
      <c r="C74" s="34"/>
      <c r="D74" s="34"/>
      <c r="E74" s="32" t="s">
        <v>13</v>
      </c>
      <c r="F74" s="32"/>
      <c r="G74" s="32"/>
      <c r="H74" s="32"/>
      <c r="I74" s="32"/>
      <c r="J74" s="24">
        <v>0</v>
      </c>
      <c r="K74" s="155">
        <v>1</v>
      </c>
      <c r="L74" s="32">
        <v>0</v>
      </c>
      <c r="M74" s="35">
        <v>0</v>
      </c>
      <c r="N74" s="32">
        <v>1</v>
      </c>
      <c r="O74" s="32">
        <v>0</v>
      </c>
      <c r="P74" s="35">
        <v>0</v>
      </c>
      <c r="Q74" s="32">
        <v>1</v>
      </c>
      <c r="R74" s="32">
        <v>0</v>
      </c>
      <c r="S74" s="35">
        <v>0</v>
      </c>
      <c r="T74" s="32">
        <v>1</v>
      </c>
      <c r="U74" s="32">
        <v>0</v>
      </c>
      <c r="V74" s="35">
        <v>0</v>
      </c>
      <c r="W74" s="32">
        <v>1</v>
      </c>
      <c r="X74" s="32">
        <v>0</v>
      </c>
      <c r="Y74" s="35">
        <v>0</v>
      </c>
      <c r="Z74" s="32">
        <v>1</v>
      </c>
      <c r="AA74" s="32">
        <v>0</v>
      </c>
      <c r="AB74" s="35">
        <v>0</v>
      </c>
      <c r="AC74" s="32">
        <v>1</v>
      </c>
      <c r="AD74" s="32">
        <v>0</v>
      </c>
      <c r="AE74" s="35">
        <v>0</v>
      </c>
      <c r="AF74" s="32">
        <v>1</v>
      </c>
      <c r="AG74" s="32">
        <v>0</v>
      </c>
      <c r="AH74" s="35">
        <v>0</v>
      </c>
      <c r="AI74" s="32">
        <v>1</v>
      </c>
      <c r="AJ74" s="32">
        <v>0</v>
      </c>
      <c r="AK74" s="35">
        <v>0</v>
      </c>
      <c r="AL74" s="32">
        <v>1</v>
      </c>
      <c r="AM74" s="32">
        <v>0</v>
      </c>
      <c r="AN74" s="35">
        <v>0</v>
      </c>
      <c r="AO74" s="32">
        <v>1</v>
      </c>
      <c r="AP74" s="32">
        <v>0</v>
      </c>
      <c r="AQ74" s="35">
        <v>0</v>
      </c>
      <c r="AR74" s="32">
        <v>1</v>
      </c>
      <c r="AS74" s="32">
        <v>0</v>
      </c>
      <c r="AT74" s="35">
        <v>0</v>
      </c>
      <c r="AU74" s="32">
        <v>1</v>
      </c>
      <c r="AV74" s="32">
        <v>0</v>
      </c>
      <c r="AW74" s="35">
        <v>0</v>
      </c>
      <c r="AX74" s="32">
        <v>1</v>
      </c>
      <c r="AY74" s="32">
        <v>0</v>
      </c>
      <c r="AZ74" s="35">
        <v>0</v>
      </c>
      <c r="BA74" s="32">
        <v>1</v>
      </c>
      <c r="BB74" s="32">
        <v>0</v>
      </c>
      <c r="BC74" s="35">
        <v>0</v>
      </c>
      <c r="BD74" s="32">
        <v>1</v>
      </c>
      <c r="BE74" s="32">
        <v>0</v>
      </c>
      <c r="BF74" s="35">
        <v>0</v>
      </c>
      <c r="BG74" s="32">
        <v>1</v>
      </c>
      <c r="BH74" s="32">
        <v>0</v>
      </c>
      <c r="BI74" s="35">
        <v>0</v>
      </c>
      <c r="BJ74" s="32">
        <v>1</v>
      </c>
      <c r="BK74" s="32">
        <v>0</v>
      </c>
      <c r="BL74" s="35">
        <v>0</v>
      </c>
      <c r="BM74" s="32">
        <v>1</v>
      </c>
      <c r="BN74" s="32">
        <v>0</v>
      </c>
      <c r="BO74" s="35">
        <v>0</v>
      </c>
      <c r="BP74" s="32">
        <v>1</v>
      </c>
      <c r="BQ74" s="32">
        <v>0</v>
      </c>
      <c r="BR74" s="35">
        <v>0</v>
      </c>
      <c r="BS74" s="32">
        <v>1</v>
      </c>
      <c r="BT74" s="32">
        <v>0</v>
      </c>
      <c r="BU74" s="35">
        <v>0</v>
      </c>
      <c r="BV74" s="32">
        <v>1</v>
      </c>
      <c r="BW74" s="32">
        <v>0</v>
      </c>
      <c r="BX74" s="35">
        <v>0</v>
      </c>
      <c r="BY74" s="32">
        <v>1</v>
      </c>
      <c r="BZ74" s="32">
        <v>0</v>
      </c>
      <c r="CA74" s="35">
        <v>0</v>
      </c>
      <c r="CB74" s="32">
        <v>1</v>
      </c>
      <c r="CC74" s="32">
        <v>0</v>
      </c>
      <c r="CD74" s="32"/>
    </row>
    <row r="75" spans="1:83" hidden="1" x14ac:dyDescent="0.2">
      <c r="A75" s="32"/>
      <c r="B75" s="32"/>
      <c r="C75" s="32"/>
      <c r="D75" s="32"/>
      <c r="E75" s="36" t="s">
        <v>14</v>
      </c>
      <c r="F75" s="32"/>
      <c r="G75" s="32"/>
      <c r="H75" s="32"/>
      <c r="I75" s="32"/>
      <c r="J75" s="24">
        <v>0</v>
      </c>
      <c r="K75" s="155">
        <v>0</v>
      </c>
      <c r="L75" s="32">
        <v>1</v>
      </c>
      <c r="M75" s="35">
        <v>0</v>
      </c>
      <c r="N75" s="32">
        <v>0</v>
      </c>
      <c r="O75" s="32">
        <v>1</v>
      </c>
      <c r="P75" s="35">
        <v>0</v>
      </c>
      <c r="Q75" s="32">
        <v>0</v>
      </c>
      <c r="R75" s="32">
        <v>1</v>
      </c>
      <c r="S75" s="35">
        <v>0</v>
      </c>
      <c r="T75" s="32">
        <v>0</v>
      </c>
      <c r="U75" s="32">
        <v>1</v>
      </c>
      <c r="V75" s="35">
        <v>0</v>
      </c>
      <c r="W75" s="32">
        <v>0</v>
      </c>
      <c r="X75" s="32">
        <v>1</v>
      </c>
      <c r="Y75" s="35">
        <v>0</v>
      </c>
      <c r="Z75" s="32">
        <v>0</v>
      </c>
      <c r="AA75" s="32">
        <v>1</v>
      </c>
      <c r="AB75" s="35">
        <v>0</v>
      </c>
      <c r="AC75" s="32">
        <v>0</v>
      </c>
      <c r="AD75" s="32">
        <v>1</v>
      </c>
      <c r="AE75" s="35">
        <v>0</v>
      </c>
      <c r="AF75" s="32">
        <v>0</v>
      </c>
      <c r="AG75" s="32">
        <v>1</v>
      </c>
      <c r="AH75" s="35">
        <v>0</v>
      </c>
      <c r="AI75" s="32">
        <v>0</v>
      </c>
      <c r="AJ75" s="32">
        <v>1</v>
      </c>
      <c r="AK75" s="35">
        <v>0</v>
      </c>
      <c r="AL75" s="32">
        <v>0</v>
      </c>
      <c r="AM75" s="32">
        <v>1</v>
      </c>
      <c r="AN75" s="35">
        <v>0</v>
      </c>
      <c r="AO75" s="32">
        <v>0</v>
      </c>
      <c r="AP75" s="32">
        <v>1</v>
      </c>
      <c r="AQ75" s="35">
        <v>0</v>
      </c>
      <c r="AR75" s="32">
        <v>0</v>
      </c>
      <c r="AS75" s="32">
        <v>1</v>
      </c>
      <c r="AT75" s="35">
        <v>0</v>
      </c>
      <c r="AU75" s="32">
        <v>0</v>
      </c>
      <c r="AV75" s="32">
        <v>1</v>
      </c>
      <c r="AW75" s="35">
        <v>0</v>
      </c>
      <c r="AX75" s="32">
        <v>0</v>
      </c>
      <c r="AY75" s="32">
        <v>1</v>
      </c>
      <c r="AZ75" s="35">
        <v>0</v>
      </c>
      <c r="BA75" s="32">
        <v>0</v>
      </c>
      <c r="BB75" s="32">
        <v>1</v>
      </c>
      <c r="BC75" s="35">
        <v>0</v>
      </c>
      <c r="BD75" s="32">
        <v>0</v>
      </c>
      <c r="BE75" s="32">
        <v>1</v>
      </c>
      <c r="BF75" s="35">
        <v>0</v>
      </c>
      <c r="BG75" s="32">
        <v>0</v>
      </c>
      <c r="BH75" s="32">
        <v>1</v>
      </c>
      <c r="BI75" s="35">
        <v>0</v>
      </c>
      <c r="BJ75" s="32">
        <v>0</v>
      </c>
      <c r="BK75" s="32">
        <v>1</v>
      </c>
      <c r="BL75" s="35">
        <v>0</v>
      </c>
      <c r="BM75" s="32">
        <v>0</v>
      </c>
      <c r="BN75" s="32">
        <v>1</v>
      </c>
      <c r="BO75" s="35">
        <v>0</v>
      </c>
      <c r="BP75" s="32">
        <v>0</v>
      </c>
      <c r="BQ75" s="32">
        <v>1</v>
      </c>
      <c r="BR75" s="35">
        <v>0</v>
      </c>
      <c r="BS75" s="32">
        <v>0</v>
      </c>
      <c r="BT75" s="32">
        <v>1</v>
      </c>
      <c r="BU75" s="35">
        <v>0</v>
      </c>
      <c r="BV75" s="32">
        <v>0</v>
      </c>
      <c r="BW75" s="32">
        <v>1</v>
      </c>
      <c r="BX75" s="35">
        <v>0</v>
      </c>
      <c r="BY75" s="32">
        <v>0</v>
      </c>
      <c r="BZ75" s="32">
        <v>1</v>
      </c>
      <c r="CA75" s="35">
        <v>0</v>
      </c>
      <c r="CB75" s="32">
        <v>0</v>
      </c>
      <c r="CC75" s="32">
        <v>1</v>
      </c>
      <c r="CD75" s="32"/>
    </row>
    <row r="76" spans="1:83" x14ac:dyDescent="0.2">
      <c r="A76" s="37">
        <v>300</v>
      </c>
      <c r="B76" s="37">
        <v>300</v>
      </c>
      <c r="C76" s="37">
        <v>300</v>
      </c>
      <c r="D76" s="37" t="s">
        <v>90</v>
      </c>
      <c r="E76" s="38" t="s">
        <v>86</v>
      </c>
      <c r="F76" s="38"/>
      <c r="G76" s="38"/>
      <c r="H76" s="38"/>
      <c r="I76" s="39">
        <f>SUBTOTAL(109,I$4:I$71)</f>
        <v>127.5</v>
      </c>
      <c r="J76" s="156">
        <f>SUBTOTAL(109,J$4:J$71)</f>
        <v>112.5</v>
      </c>
      <c r="K76" s="156">
        <f>SUBTOTAL(109,K$4:K$70)</f>
        <v>15.5</v>
      </c>
      <c r="L76" s="39"/>
      <c r="M76" s="39">
        <f>SUBTOTAL(109,M$4:M$71)</f>
        <v>4</v>
      </c>
      <c r="N76" s="39">
        <f>SUBTOTAL(109,N$4:N$70)</f>
        <v>13.5</v>
      </c>
      <c r="O76" s="39"/>
      <c r="P76" s="39">
        <f>SUBTOTAL(109,P$4:P$71)</f>
        <v>5</v>
      </c>
      <c r="Q76" s="39">
        <f>SUBTOTAL(109,Q$4:Q$70)</f>
        <v>13.5</v>
      </c>
      <c r="R76" s="39"/>
      <c r="S76" s="39">
        <f>SUBTOTAL(109,S$4:S$71)</f>
        <v>0</v>
      </c>
      <c r="T76" s="39">
        <f>SUBTOTAL(109,T$4:T$70)</f>
        <v>13.5</v>
      </c>
      <c r="U76" s="39"/>
      <c r="V76" s="39">
        <f>SUBTOTAL(109,V$4:V$71)</f>
        <v>0</v>
      </c>
      <c r="W76" s="39">
        <f>SUBTOTAL(109,W$4:W$70)</f>
        <v>13.5</v>
      </c>
      <c r="X76" s="39"/>
      <c r="Y76" s="39">
        <f>SUBTOTAL(109,Y$4:Y$71)</f>
        <v>0</v>
      </c>
      <c r="Z76" s="39">
        <f>SUBTOTAL(109,Z$4:Z$70)</f>
        <v>13.5</v>
      </c>
      <c r="AA76" s="39"/>
      <c r="AB76" s="39">
        <f>SUBTOTAL(109,AB$4:AB$71)</f>
        <v>0</v>
      </c>
      <c r="AC76" s="39">
        <f>SUBTOTAL(109,AC$4:AC$70)</f>
        <v>13.5</v>
      </c>
      <c r="AD76" s="39"/>
      <c r="AE76" s="39">
        <f>SUBTOTAL(109,AE$4:AE$71)</f>
        <v>0</v>
      </c>
      <c r="AF76" s="39">
        <f>SUBTOTAL(109,AF$4:AF$70)</f>
        <v>13.5</v>
      </c>
      <c r="AG76" s="39"/>
      <c r="AH76" s="39">
        <f>SUBTOTAL(109,AH$4:AH$71)</f>
        <v>0</v>
      </c>
      <c r="AI76" s="39">
        <f>SUBTOTAL(109,AI$4:AI$70)</f>
        <v>13.5</v>
      </c>
      <c r="AJ76" s="39"/>
      <c r="AK76" s="39">
        <f>SUBTOTAL(109,AK$4:AK$71)</f>
        <v>0</v>
      </c>
      <c r="AL76" s="39">
        <f>SUBTOTAL(109,AL$4:AL$70)</f>
        <v>13.5</v>
      </c>
      <c r="AM76" s="39"/>
      <c r="AN76" s="39">
        <f>SUBTOTAL(109,AN$4:AN$71)</f>
        <v>0</v>
      </c>
      <c r="AO76" s="39">
        <f>SUBTOTAL(109,AO$4:AO$70)</f>
        <v>13.5</v>
      </c>
      <c r="AP76" s="39"/>
      <c r="AQ76" s="39">
        <f>SUBTOTAL(109,AQ$4:AQ$71)</f>
        <v>0</v>
      </c>
      <c r="AR76" s="39">
        <f>SUBTOTAL(109,AR$4:AR$70)</f>
        <v>13.5</v>
      </c>
      <c r="AS76" s="39"/>
      <c r="AT76" s="39">
        <f>SUBTOTAL(109,AT$4:AT$71)</f>
        <v>0</v>
      </c>
      <c r="AU76" s="39">
        <f>SUBTOTAL(109,AU$4:AU$70)</f>
        <v>13.5</v>
      </c>
      <c r="AV76" s="39"/>
      <c r="AW76" s="39">
        <f>SUBTOTAL(109,AW$4:AW$71)</f>
        <v>0</v>
      </c>
      <c r="AX76" s="39">
        <f>SUBTOTAL(109,AX$4:AX$70)</f>
        <v>13.5</v>
      </c>
      <c r="AY76" s="39"/>
      <c r="AZ76" s="39">
        <f t="shared" ref="AZ76:CC76" si="185">SUBTOTAL(109,AZ$4:AZ$70)</f>
        <v>0</v>
      </c>
      <c r="BA76" s="39" t="e">
        <f t="shared" si="185"/>
        <v>#REF!</v>
      </c>
      <c r="BB76" s="39" t="e">
        <f t="shared" si="185"/>
        <v>#REF!</v>
      </c>
      <c r="BC76" s="39">
        <f t="shared" si="185"/>
        <v>0</v>
      </c>
      <c r="BD76" s="39" t="e">
        <f t="shared" si="185"/>
        <v>#REF!</v>
      </c>
      <c r="BE76" s="39" t="e">
        <f t="shared" si="185"/>
        <v>#REF!</v>
      </c>
      <c r="BF76" s="39">
        <f t="shared" si="185"/>
        <v>0</v>
      </c>
      <c r="BG76" s="39" t="e">
        <f t="shared" si="185"/>
        <v>#REF!</v>
      </c>
      <c r="BH76" s="39" t="e">
        <f t="shared" si="185"/>
        <v>#REF!</v>
      </c>
      <c r="BI76" s="39">
        <f t="shared" si="185"/>
        <v>0</v>
      </c>
      <c r="BJ76" s="39" t="e">
        <f t="shared" si="185"/>
        <v>#REF!</v>
      </c>
      <c r="BK76" s="39" t="e">
        <f t="shared" si="185"/>
        <v>#REF!</v>
      </c>
      <c r="BL76" s="39">
        <f t="shared" si="185"/>
        <v>0</v>
      </c>
      <c r="BM76" s="39" t="e">
        <f t="shared" si="185"/>
        <v>#REF!</v>
      </c>
      <c r="BN76" s="39" t="e">
        <f t="shared" si="185"/>
        <v>#REF!</v>
      </c>
      <c r="BO76" s="39">
        <f t="shared" si="185"/>
        <v>0</v>
      </c>
      <c r="BP76" s="39" t="e">
        <f t="shared" si="185"/>
        <v>#REF!</v>
      </c>
      <c r="BQ76" s="39" t="e">
        <f t="shared" si="185"/>
        <v>#REF!</v>
      </c>
      <c r="BR76" s="39">
        <f t="shared" si="185"/>
        <v>0</v>
      </c>
      <c r="BS76" s="39" t="e">
        <f t="shared" si="185"/>
        <v>#REF!</v>
      </c>
      <c r="BT76" s="39" t="e">
        <f t="shared" si="185"/>
        <v>#REF!</v>
      </c>
      <c r="BU76" s="39">
        <f t="shared" si="185"/>
        <v>0</v>
      </c>
      <c r="BV76" s="39" t="e">
        <f t="shared" si="185"/>
        <v>#REF!</v>
      </c>
      <c r="BW76" s="39" t="e">
        <f t="shared" si="185"/>
        <v>#REF!</v>
      </c>
      <c r="BX76" s="39">
        <f t="shared" si="185"/>
        <v>0</v>
      </c>
      <c r="BY76" s="39" t="e">
        <f t="shared" si="185"/>
        <v>#REF!</v>
      </c>
      <c r="BZ76" s="39" t="e">
        <f t="shared" si="185"/>
        <v>#REF!</v>
      </c>
      <c r="CA76" s="39">
        <f t="shared" si="185"/>
        <v>0</v>
      </c>
      <c r="CB76" s="39" t="e">
        <f t="shared" si="185"/>
        <v>#REF!</v>
      </c>
      <c r="CC76" s="39" t="e">
        <f t="shared" si="185"/>
        <v>#REF!</v>
      </c>
      <c r="CD76" s="38"/>
      <c r="CE76" s="40"/>
    </row>
    <row r="77" spans="1:83" x14ac:dyDescent="0.2">
      <c r="A77" s="41"/>
      <c r="B77" s="41"/>
      <c r="C77" s="41"/>
      <c r="D77" s="41"/>
      <c r="E77" s="41"/>
      <c r="F77" s="41"/>
      <c r="G77" s="41"/>
      <c r="H77" s="41"/>
      <c r="I77" s="41"/>
      <c r="J77" s="157"/>
      <c r="K77" s="158"/>
      <c r="L77" s="41"/>
      <c r="M77" s="42"/>
      <c r="N77" s="41"/>
      <c r="O77" s="41"/>
      <c r="P77" s="42"/>
      <c r="Q77" s="41"/>
      <c r="R77" s="41"/>
      <c r="S77" s="42"/>
      <c r="T77" s="41"/>
      <c r="U77" s="41"/>
      <c r="V77" s="42"/>
      <c r="W77" s="41"/>
      <c r="X77" s="41"/>
      <c r="Y77" s="42"/>
      <c r="Z77" s="41"/>
      <c r="AA77" s="41"/>
      <c r="AB77" s="42"/>
      <c r="AC77" s="41"/>
      <c r="AD77" s="41"/>
      <c r="AE77" s="42"/>
      <c r="AF77" s="41"/>
      <c r="AG77" s="41"/>
      <c r="AH77" s="42"/>
      <c r="AI77" s="41"/>
      <c r="AJ77" s="41"/>
      <c r="AK77" s="42"/>
      <c r="AL77" s="41"/>
      <c r="AM77" s="41"/>
      <c r="AN77" s="42"/>
      <c r="AO77" s="41"/>
      <c r="AP77" s="41"/>
      <c r="AQ77" s="42"/>
      <c r="AR77" s="41"/>
      <c r="AS77" s="41"/>
      <c r="AT77" s="42"/>
      <c r="AU77" s="41"/>
      <c r="AV77" s="41"/>
      <c r="AW77" s="42"/>
      <c r="AX77" s="41"/>
      <c r="AY77" s="41"/>
      <c r="AZ77" s="42"/>
      <c r="BA77" s="41"/>
      <c r="BB77" s="41"/>
      <c r="BC77" s="42"/>
      <c r="BD77" s="41"/>
      <c r="BE77" s="41"/>
      <c r="BF77" s="42"/>
      <c r="BG77" s="41"/>
      <c r="BH77" s="41"/>
      <c r="BI77" s="42"/>
      <c r="BJ77" s="41"/>
      <c r="BK77" s="41"/>
      <c r="BL77" s="42"/>
      <c r="BM77" s="41"/>
      <c r="BN77" s="41"/>
      <c r="BO77" s="42"/>
      <c r="BP77" s="41"/>
      <c r="BQ77" s="41"/>
      <c r="BR77" s="42"/>
      <c r="BS77" s="41"/>
      <c r="BT77" s="41"/>
      <c r="BU77" s="42"/>
      <c r="BV77" s="41"/>
      <c r="BW77" s="41"/>
      <c r="BX77" s="42"/>
      <c r="BY77" s="41"/>
      <c r="BZ77" s="41"/>
      <c r="CA77" s="42"/>
      <c r="CB77" s="41"/>
      <c r="CC77" s="41"/>
      <c r="CD77" s="41"/>
    </row>
    <row r="78" spans="1:83" x14ac:dyDescent="0.2">
      <c r="A78" s="41"/>
      <c r="B78" s="41"/>
      <c r="C78" s="41"/>
      <c r="D78" s="41"/>
      <c r="E78" s="41"/>
      <c r="F78" s="41"/>
      <c r="G78" s="41"/>
      <c r="H78" s="41"/>
      <c r="I78" s="41"/>
      <c r="J78" s="157"/>
      <c r="K78" s="158"/>
      <c r="L78" s="41"/>
      <c r="M78" s="42"/>
      <c r="N78" s="41"/>
      <c r="O78" s="41"/>
      <c r="P78" s="42"/>
      <c r="Q78" s="41"/>
      <c r="R78" s="41"/>
      <c r="S78" s="42"/>
      <c r="T78" s="41"/>
      <c r="U78" s="41"/>
      <c r="V78" s="42"/>
      <c r="W78" s="41"/>
      <c r="X78" s="41"/>
      <c r="Y78" s="42"/>
      <c r="Z78" s="41"/>
      <c r="AA78" s="41"/>
      <c r="AB78" s="42"/>
      <c r="AC78" s="41"/>
      <c r="AD78" s="41"/>
      <c r="AE78" s="42"/>
      <c r="AF78" s="41"/>
      <c r="AG78" s="41"/>
      <c r="AH78" s="42"/>
      <c r="AI78" s="41"/>
      <c r="AJ78" s="41"/>
      <c r="AK78" s="42"/>
      <c r="AL78" s="41"/>
      <c r="AM78" s="41"/>
      <c r="AN78" s="42"/>
      <c r="AO78" s="41"/>
      <c r="AP78" s="41"/>
      <c r="AQ78" s="42"/>
      <c r="AR78" s="41"/>
      <c r="AS78" s="41"/>
      <c r="AT78" s="42"/>
      <c r="AU78" s="41"/>
      <c r="AV78" s="41"/>
      <c r="AW78" s="42"/>
      <c r="AX78" s="41"/>
      <c r="AY78" s="41"/>
      <c r="AZ78" s="42"/>
      <c r="BA78" s="41"/>
      <c r="BB78" s="41"/>
      <c r="BC78" s="42"/>
      <c r="BD78" s="41"/>
      <c r="BE78" s="41"/>
      <c r="BF78" s="42"/>
      <c r="BG78" s="41"/>
      <c r="BH78" s="41"/>
      <c r="BI78" s="42"/>
      <c r="BJ78" s="41"/>
      <c r="BK78" s="41"/>
      <c r="BL78" s="42"/>
      <c r="BM78" s="41"/>
      <c r="BN78" s="41"/>
      <c r="BO78" s="42"/>
      <c r="BP78" s="41"/>
      <c r="BQ78" s="41"/>
      <c r="BR78" s="42"/>
      <c r="BS78" s="41"/>
      <c r="BT78" s="41"/>
      <c r="BU78" s="42"/>
      <c r="BV78" s="41"/>
      <c r="BW78" s="41"/>
      <c r="BX78" s="42"/>
      <c r="BY78" s="41"/>
      <c r="BZ78" s="41"/>
      <c r="CA78" s="42"/>
      <c r="CB78" s="41"/>
      <c r="CC78" s="41"/>
      <c r="CD78" s="41"/>
    </row>
    <row r="79" spans="1:83" x14ac:dyDescent="0.2">
      <c r="A79" s="41"/>
      <c r="B79" s="41"/>
      <c r="C79" s="41"/>
      <c r="D79" s="41"/>
      <c r="E79" s="41"/>
      <c r="F79" s="41"/>
      <c r="G79" s="41"/>
    </row>
    <row r="80" spans="1:83" x14ac:dyDescent="0.2">
      <c r="A80" s="41"/>
      <c r="B80" s="41"/>
      <c r="C80" s="41"/>
      <c r="D80" s="41"/>
      <c r="E80" s="41"/>
      <c r="F80" s="41"/>
      <c r="G80" s="41"/>
    </row>
  </sheetData>
  <autoFilter ref="C3:CE70"/>
  <mergeCells count="48">
    <mergeCell ref="AE72:AF72"/>
    <mergeCell ref="AB72:AC72"/>
    <mergeCell ref="Y72:Z72"/>
    <mergeCell ref="AE1:AG1"/>
    <mergeCell ref="AB1:AD1"/>
    <mergeCell ref="Y1:AA1"/>
    <mergeCell ref="BX1:BZ1"/>
    <mergeCell ref="BX72:BY72"/>
    <mergeCell ref="CA1:CC1"/>
    <mergeCell ref="CA72:CB72"/>
    <mergeCell ref="BR1:BT1"/>
    <mergeCell ref="BR72:BS72"/>
    <mergeCell ref="BU1:BW1"/>
    <mergeCell ref="BU72:BV72"/>
    <mergeCell ref="BL1:BN1"/>
    <mergeCell ref="BL72:BM72"/>
    <mergeCell ref="BO1:BQ1"/>
    <mergeCell ref="BO72:BP72"/>
    <mergeCell ref="AZ1:BB1"/>
    <mergeCell ref="AZ72:BA72"/>
    <mergeCell ref="BC1:BE1"/>
    <mergeCell ref="BC72:BD72"/>
    <mergeCell ref="BF1:BH1"/>
    <mergeCell ref="BF72:BG72"/>
    <mergeCell ref="BI1:BK1"/>
    <mergeCell ref="BI72:BJ72"/>
    <mergeCell ref="V1:X1"/>
    <mergeCell ref="J72:K72"/>
    <mergeCell ref="M72:N72"/>
    <mergeCell ref="P72:Q72"/>
    <mergeCell ref="S72:T72"/>
    <mergeCell ref="V72:W72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2:AU72"/>
    <mergeCell ref="AW72:AX72"/>
    <mergeCell ref="AH72:AI72"/>
    <mergeCell ref="AK72:AL72"/>
    <mergeCell ref="AN72:AO72"/>
    <mergeCell ref="AQ72:AR72"/>
  </mergeCells>
  <phoneticPr fontId="2" type="noConversion"/>
  <conditionalFormatting sqref="I76">
    <cfRule type="cellIs" dxfId="120" priority="121" stopIfTrue="1" operator="lessThan">
      <formula>C76*0.75</formula>
    </cfRule>
    <cfRule type="cellIs" dxfId="119" priority="121" stopIfTrue="1" operator="between">
      <formula>C76*0.75</formula>
      <formula>#REF!</formula>
    </cfRule>
    <cfRule type="cellIs" dxfId="118" priority="121" stopIfTrue="1" operator="greaterThan">
      <formula>C76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17" priority="11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16" priority="11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15" priority="115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9:S70 AW29:AW70 AT29:AT70 AQ29:AQ70 AN29:AN70 AK29:AK70 AH29:AH70 AE29:AE70 AB29:AB70 Y29:Y70 V29:V70 CA29:CA70 BX29:BX70 BU29:BU70 BR29:BR70 BO29:BO70 BL29:BL70 BI29:BI70 BF29:BF70 BC29:BC70 AZ29:AZ70 M29:M70 J29:J70 P29:P70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114" priority="124" stopIfTrue="1">
      <formula>J$1=TODAY()+DailyScrumDateModifier</formula>
    </cfRule>
    <cfRule type="expression" dxfId="113" priority="124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9:N70 AX29:AX70 AU29:AU70 AR29:AR70 AL29:AL70 AF29:AF70 AC29:AC70 Z29:Z70 W29:W70 Q29:Q70 CB29:CB70 BY29:BY70 BV29:BV70 BS29:BS70 BP29:BP70 BM29:BM70 BJ29:BJ70 BG29:BG70 BD29:BD70 BA29:BA70 K29:K70 T29:T70 AI29:AI70 AO29:AO70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112" priority="126" stopIfTrue="1">
      <formula>J$1=TODAY()+DailyScrumDateModifier</formula>
    </cfRule>
    <cfRule type="expression" dxfId="111" priority="126" stopIfTrue="1">
      <formula>MOD(ROW(),2)</formula>
    </cfRule>
  </conditionalFormatting>
  <conditionalFormatting sqref="CE4:CE12 A31:E70 A4:E12 H4:I12 H20:I20 CE20 A20:C20 CE29:CE71 H29:I70 E29 H16:I18 CE16:CE18 A16:C18 A23:C26 E16:E20 CE23:CE25 H23:I25 B29 C29:C30 A29:A30">
    <cfRule type="expression" dxfId="110" priority="128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9:CC70 BZ29:BZ70 BW29:BW70 BT29:BT70 BQ29:BQ70 BN29:BN70 BK29:BK70 BH29:BH70 BE29:BE70 BB29:BB70 X29:X70 U29:U70 R29:R70 O29:O70 AY29:AY70 AV29:AV70 AS29:AS70 AP29:AP70 AM29:AM70 AJ29:AJ70 AG29:AG70 AD29:AD70 AA29:AA70 L29:L70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109" priority="129" stopIfTrue="1" operator="equal">
      <formula>"Pending"</formula>
    </cfRule>
    <cfRule type="cellIs" dxfId="108" priority="129" stopIfTrue="1" operator="equal">
      <formula>"In Progress"</formula>
    </cfRule>
    <cfRule type="cellIs" dxfId="107" priority="129" stopIfTrue="1" operator="equal">
      <formula>"Complete"</formula>
    </cfRule>
  </conditionalFormatting>
  <conditionalFormatting sqref="J1:CC1">
    <cfRule type="expression" dxfId="106" priority="116" stopIfTrue="1">
      <formula>J$1=TODAY()+DailyScrumDateModifier</formula>
    </cfRule>
    <cfRule type="expression" dxfId="105" priority="116" stopIfTrue="1">
      <formula>J$1=TODAY()</formula>
    </cfRule>
  </conditionalFormatting>
  <conditionalFormatting sqref="J77:K78 M77:N78">
    <cfRule type="expression" dxfId="104" priority="118" stopIfTrue="1">
      <formula>"I1=TODAY()"</formula>
    </cfRule>
  </conditionalFormatting>
  <conditionalFormatting sqref="G72">
    <cfRule type="cellIs" dxfId="103" priority="119" stopIfTrue="1" operator="equal">
      <formula>"Complete"</formula>
    </cfRule>
    <cfRule type="cellIs" dxfId="102" priority="119" stopIfTrue="1" operator="equal">
      <formula>"In Progress"</formula>
    </cfRule>
  </conditionalFormatting>
  <conditionalFormatting sqref="G4:G12 G20 G29:G70 G16:G18 G23:G25">
    <cfRule type="cellIs" dxfId="101" priority="132" stopIfTrue="1" operator="equal">
      <formula>"Complete"</formula>
    </cfRule>
    <cfRule type="cellIs" dxfId="100" priority="132" stopIfTrue="1" operator="equal">
      <formula>"In Progress"</formula>
    </cfRule>
    <cfRule type="cellIs" dxfId="99" priority="132" stopIfTrue="1" operator="equal">
      <formula>"Pending"</formula>
    </cfRule>
  </conditionalFormatting>
  <conditionalFormatting sqref="E23:E24">
    <cfRule type="expression" dxfId="98" priority="110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97" priority="99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96" priority="100" stopIfTrue="1">
      <formula>J$1=TODAY()+DailyScrumDateModifier</formula>
    </cfRule>
  </conditionalFormatting>
  <conditionalFormatting sqref="H19:I19 A19:C19 CE19">
    <cfRule type="expression" dxfId="95" priority="101" stopIfTrue="1">
      <formula>MOD(ROW(),2)</formula>
    </cfRule>
  </conditionalFormatting>
  <conditionalFormatting sqref="L19 AA19 AD19 AG19 AJ19 AM19 AP19 AS19 AV19 AY19 O19 R19 U19 X19 BB19 BE19 BH19 BK19 BN19 BQ19 BT19 BW19 BZ19 CC19">
    <cfRule type="cellIs" dxfId="94" priority="102" stopIfTrue="1" operator="equal">
      <formula>"Pending"</formula>
    </cfRule>
  </conditionalFormatting>
  <conditionalFormatting sqref="G19">
    <cfRule type="cellIs" dxfId="93" priority="103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92" priority="88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91" priority="89" stopIfTrue="1">
      <formula>J$1=TODAY()+DailyScrumDateModifier</formula>
    </cfRule>
  </conditionalFormatting>
  <conditionalFormatting sqref="CE26 H26:I26 D30">
    <cfRule type="expression" dxfId="90" priority="90" stopIfTrue="1">
      <formula>MOD(ROW(),2)</formula>
    </cfRule>
  </conditionalFormatting>
  <conditionalFormatting sqref="CC26 BZ26 BW26 BT26 BQ26 BN26 BK26 BH26 BE26 BB26 X26 U26 R26 O26 AY26 AV26 AS26 AP26 AM26 AJ26 AG26 AD26 AA26 L26">
    <cfRule type="cellIs" dxfId="89" priority="91" stopIfTrue="1" operator="equal">
      <formula>"Pending"</formula>
    </cfRule>
  </conditionalFormatting>
  <conditionalFormatting sqref="G26">
    <cfRule type="cellIs" dxfId="88" priority="92" stopIfTrue="1" operator="equal">
      <formula>"Complete"</formula>
    </cfRule>
  </conditionalFormatting>
  <conditionalFormatting sqref="E25">
    <cfRule type="expression" dxfId="87" priority="87" stopIfTrue="1">
      <formula>MOD(ROW(),2)</formula>
    </cfRule>
  </conditionalFormatting>
  <conditionalFormatting sqref="E26">
    <cfRule type="expression" dxfId="86" priority="86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85" priority="75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84" priority="76" stopIfTrue="1">
      <formula>J$1=TODAY()+DailyScrumDateModifier</formula>
    </cfRule>
  </conditionalFormatting>
  <conditionalFormatting sqref="H13:I13 A13:E13 CE13">
    <cfRule type="expression" dxfId="83" priority="77" stopIfTrue="1">
      <formula>MOD(ROW(),2)</formula>
    </cfRule>
  </conditionalFormatting>
  <conditionalFormatting sqref="L13 AA13 AD13 AG13 AJ13 AM13 AP13 AS13 AV13 AY13 O13 R13 U13 X13 BB13 BE13 BH13 BK13 BN13 BQ13 BT13 BW13 BZ13 CC13">
    <cfRule type="cellIs" dxfId="82" priority="78" stopIfTrue="1" operator="equal">
      <formula>"Pending"</formula>
    </cfRule>
  </conditionalFormatting>
  <conditionalFormatting sqref="G13">
    <cfRule type="cellIs" dxfId="81" priority="79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80" priority="64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79" priority="65" stopIfTrue="1">
      <formula>J$1=TODAY()+DailyScrumDateModifier</formula>
    </cfRule>
  </conditionalFormatting>
  <conditionalFormatting sqref="H15:I15 A15:D15 CE15 D16:D20">
    <cfRule type="expression" dxfId="78" priority="66" stopIfTrue="1">
      <formula>MOD(ROW(),2)</formula>
    </cfRule>
  </conditionalFormatting>
  <conditionalFormatting sqref="L15 AA15 AD15 AG15 AJ15 AM15 AP15 AS15 AV15 AY15 O15 R15 U15 X15 BB15 BE15 BH15 BK15 BN15 BQ15 BT15 BW15 BZ15 CC15">
    <cfRule type="cellIs" dxfId="77" priority="67" stopIfTrue="1" operator="equal">
      <formula>"Pending"</formula>
    </cfRule>
  </conditionalFormatting>
  <conditionalFormatting sqref="G15">
    <cfRule type="cellIs" dxfId="76" priority="68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75" priority="53" stopIfTrue="1">
      <formula>J$1=TODAY()+DailyScrumDateModifier</formula>
    </cfRule>
    <cfRule type="expression" dxfId="74" priority="62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73" priority="54" stopIfTrue="1">
      <formula>J$1=TODAY()+DailyScrumDateModifier</formula>
    </cfRule>
    <cfRule type="expression" dxfId="72" priority="60" stopIfTrue="1">
      <formula>MOD(ROW(),2)</formula>
    </cfRule>
  </conditionalFormatting>
  <conditionalFormatting sqref="H14:I14 A14:E14 CE14">
    <cfRule type="expression" dxfId="71" priority="55" stopIfTrue="1">
      <formula>MOD(ROW(),2)</formula>
    </cfRule>
  </conditionalFormatting>
  <conditionalFormatting sqref="L14 AA14 AD14 AG14 AJ14 AM14 AP14 AS14 AV14 AY14 O14 R14 U14 X14 BB14 BE14 BH14 BK14 BN14 BQ14 BT14 BW14 BZ14 CC14">
    <cfRule type="cellIs" dxfId="70" priority="56" stopIfTrue="1" operator="equal">
      <formula>"In Progress"</formula>
    </cfRule>
    <cfRule type="cellIs" dxfId="69" priority="56" stopIfTrue="1" operator="equal">
      <formula>"Pending"</formula>
    </cfRule>
    <cfRule type="cellIs" dxfId="68" priority="57" stopIfTrue="1" operator="equal">
      <formula>"Complete"</formula>
    </cfRule>
  </conditionalFormatting>
  <conditionalFormatting sqref="G14">
    <cfRule type="cellIs" dxfId="67" priority="133" stopIfTrue="1" operator="equal">
      <formula>"In Progress"</formula>
    </cfRule>
    <cfRule type="cellIs" dxfId="66" priority="133" stopIfTrue="1" operator="equal">
      <formula>"Pending"</formula>
    </cfRule>
    <cfRule type="cellIs" dxfId="65" priority="133" stopIfTrue="1" operator="equal">
      <formula>"Complete"</formula>
    </cfRule>
  </conditionalFormatting>
  <conditionalFormatting sqref="E15">
    <cfRule type="expression" dxfId="64" priority="52" stopIfTrue="1">
      <formula>MOD(ROW(),2)</formula>
    </cfRule>
  </conditionalFormatting>
  <conditionalFormatting sqref="E18">
    <cfRule type="expression" dxfId="63" priority="51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62" priority="40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61" priority="41" stopIfTrue="1">
      <formula>J$1=TODAY()+DailyScrumDateModifier</formula>
    </cfRule>
  </conditionalFormatting>
  <conditionalFormatting sqref="A21:C21 CE21 H21:I21">
    <cfRule type="expression" dxfId="60" priority="42" stopIfTrue="1">
      <formula>MOD(ROW(),2)</formula>
    </cfRule>
  </conditionalFormatting>
  <conditionalFormatting sqref="CC21 BZ21 BW21 BT21 BQ21 BN21 BK21 BH21 BE21 BB21 X21 U21 R21 O21 AY21 AV21 AS21 AP21 AM21 AJ21 AG21 AD21 AA21 L21">
    <cfRule type="cellIs" dxfId="59" priority="43" stopIfTrue="1" operator="equal">
      <formula>"Pending"</formula>
    </cfRule>
  </conditionalFormatting>
  <conditionalFormatting sqref="G21">
    <cfRule type="cellIs" dxfId="58" priority="44" stopIfTrue="1" operator="equal">
      <formula>"Complete"</formula>
    </cfRule>
  </conditionalFormatting>
  <conditionalFormatting sqref="E21">
    <cfRule type="expression" dxfId="57" priority="39" stopIfTrue="1">
      <formula>MOD(ROW(),2)</formula>
    </cfRule>
  </conditionalFormatting>
  <conditionalFormatting sqref="D21:D26 D29">
    <cfRule type="expression" dxfId="56" priority="38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55" priority="27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54" priority="28" stopIfTrue="1">
      <formula>J$1=TODAY()+DailyScrumDateModifier</formula>
    </cfRule>
  </conditionalFormatting>
  <conditionalFormatting sqref="A22:C22 CE22 H22:I22">
    <cfRule type="expression" dxfId="53" priority="29" stopIfTrue="1">
      <formula>MOD(ROW(),2)</formula>
    </cfRule>
  </conditionalFormatting>
  <conditionalFormatting sqref="CC22 BZ22 BW22 BT22 BQ22 BN22 BK22 BH22 BE22 BB22 X22 U22 R22 O22 AY22 AV22 AS22 AP22 AM22 AJ22 AG22 AD22 AA22 L22">
    <cfRule type="cellIs" dxfId="52" priority="30" stopIfTrue="1" operator="equal">
      <formula>"Pending"</formula>
    </cfRule>
  </conditionalFormatting>
  <conditionalFormatting sqref="G22">
    <cfRule type="cellIs" dxfId="51" priority="31" stopIfTrue="1" operator="equal">
      <formula>"Complete"</formula>
    </cfRule>
  </conditionalFormatting>
  <conditionalFormatting sqref="E22">
    <cfRule type="expression" dxfId="50" priority="26" stopIfTrue="1">
      <formula>MOD(ROW(),2)</formula>
    </cfRule>
  </conditionalFormatting>
  <conditionalFormatting sqref="S27 AW27 AT27 AQ27 AN27 AK27 AH27 AE27 AB27 Y27 V27 CA27 BX27 BU27 BR27 BO27 BL27 BI27 BF27 BC27 AZ27 M27 J27 P27">
    <cfRule type="expression" dxfId="49" priority="-1" stopIfTrue="1">
      <formula>MOD(ROW(),2)</formula>
    </cfRule>
    <cfRule type="expression" dxfId="48" priority="14" stopIfTrue="1">
      <formula>J$1=TODAY()+DailyScrumDateModifier</formula>
    </cfRule>
  </conditionalFormatting>
  <conditionalFormatting sqref="N27 AX27 AU27 AR27 AL27 AF27 AC27 Z27 W27 Q27 CB27 BY27 BV27 BS27 BP27 BM27 BJ27 BG27 BD27 BA27 K27 T27 AI27 AO27">
    <cfRule type="expression" dxfId="47" priority="-1" stopIfTrue="1">
      <formula>MOD(ROW(),2)</formula>
    </cfRule>
    <cfRule type="expression" dxfId="46" priority="15" stopIfTrue="1">
      <formula>J$1=TODAY()+DailyScrumDateModifier</formula>
    </cfRule>
  </conditionalFormatting>
  <conditionalFormatting sqref="CE27 H27:I27 E27 A27:C27">
    <cfRule type="expression" dxfId="45" priority="16" stopIfTrue="1">
      <formula>MOD(ROW(),2)</formula>
    </cfRule>
  </conditionalFormatting>
  <conditionalFormatting sqref="CC27 BZ27 BW27 BT27 BQ27 BN27 BK27 BH27 BE27 BB27 X27 U27 R27 O27 AY27 AV27 AS27 AP27 AM27 AJ27 AG27 AD27 AA27 L27">
    <cfRule type="cellIs" dxfId="44" priority="-1" stopIfTrue="1" operator="equal">
      <formula>"In Progress"</formula>
    </cfRule>
    <cfRule type="cellIs" dxfId="43" priority="-1" stopIfTrue="1" operator="equal">
      <formula>"Complete"</formula>
    </cfRule>
    <cfRule type="cellIs" dxfId="42" priority="17" stopIfTrue="1" operator="equal">
      <formula>"Pending"</formula>
    </cfRule>
  </conditionalFormatting>
  <conditionalFormatting sqref="G27">
    <cfRule type="cellIs" dxfId="41" priority="-1" stopIfTrue="1" operator="equal">
      <formula>"In Progress"</formula>
    </cfRule>
    <cfRule type="cellIs" dxfId="40" priority="-1" stopIfTrue="1" operator="equal">
      <formula>"Pending"</formula>
    </cfRule>
    <cfRule type="cellIs" dxfId="39" priority="18" stopIfTrue="1" operator="equal">
      <formula>"Complete"</formula>
    </cfRule>
  </conditionalFormatting>
  <conditionalFormatting sqref="D27">
    <cfRule type="expression" dxfId="38" priority="13" stopIfTrue="1">
      <formula>MOD(ROW(),2)</formula>
    </cfRule>
  </conditionalFormatting>
  <conditionalFormatting sqref="S28 AW28 AT28 AQ28 AN28 AK28 AH28 AE28 AB28 Y28 V28 CA28 BX28 BU28 BR28 BO28 BL28 BI28 BF28 BC28 AZ28 M28 J28 P28">
    <cfRule type="expression" dxfId="11" priority="2" stopIfTrue="1">
      <formula>J$1=TODAY()+DailyScrumDateModifier</formula>
    </cfRule>
    <cfRule type="expression" dxfId="10" priority="-1" stopIfTrue="1">
      <formula>MOD(ROW(),2)</formula>
    </cfRule>
  </conditionalFormatting>
  <conditionalFormatting sqref="N28 AX28 AU28 AR28 AL28 AF28 AC28 Z28 W28 Q28 CB28 BY28 BV28 BS28 BP28 BM28 BJ28 BG28 BD28 BA28 K28 T28 AI28 AO28">
    <cfRule type="expression" dxfId="9" priority="3" stopIfTrue="1">
      <formula>J$1=TODAY()+DailyScrumDateModifier</formula>
    </cfRule>
    <cfRule type="expression" dxfId="8" priority="-1" stopIfTrue="1">
      <formula>MOD(ROW(),2)</formula>
    </cfRule>
  </conditionalFormatting>
  <conditionalFormatting sqref="CE28 H28:I28 E28 A28:C28">
    <cfRule type="expression" dxfId="7" priority="4" stopIfTrue="1">
      <formula>MOD(ROW(),2)</formula>
    </cfRule>
  </conditionalFormatting>
  <conditionalFormatting sqref="CC28 BZ28 BW28 BT28 BQ28 BN28 BK28 BH28 BE28 BB28 X28 U28 R28 O28 AY28 AV28 AS28 AP28 AM28 AJ28 AG28 AD28 AA28 L28">
    <cfRule type="cellIs" dxfId="6" priority="5" stopIfTrue="1" operator="equal">
      <formula>"Pending"</formula>
    </cfRule>
    <cfRule type="cellIs" dxfId="5" priority="-1" stopIfTrue="1" operator="equal">
      <formula>"In Progress"</formula>
    </cfRule>
    <cfRule type="cellIs" dxfId="4" priority="-1" stopIfTrue="1" operator="equal">
      <formula>"Complete"</formula>
    </cfRule>
  </conditionalFormatting>
  <conditionalFormatting sqref="G28">
    <cfRule type="cellIs" dxfId="3" priority="6" stopIfTrue="1" operator="equal">
      <formula>"Complete"</formula>
    </cfRule>
    <cfRule type="cellIs" dxfId="2" priority="-1" stopIfTrue="1" operator="equal">
      <formula>"In Progress"</formula>
    </cfRule>
    <cfRule type="cellIs" dxfId="1" priority="-1" stopIfTrue="1" operator="equal">
      <formula>"Pending"</formula>
    </cfRule>
  </conditionalFormatting>
  <conditionalFormatting sqref="D28">
    <cfRule type="expression" dxfId="0" priority="1" stopIfTrue="1">
      <formula>MOD(ROW(),2)</formula>
    </cfRule>
  </conditionalFormatting>
  <dataValidations count="3">
    <dataValidation type="list" allowBlank="1" showInputMessage="1" showErrorMessage="1" sqref="F4:F70">
      <formula1>Members</formula1>
    </dataValidation>
    <dataValidation type="list" allowBlank="1" showInputMessage="1" showErrorMessage="1" sqref="A4:A70">
      <formula1>Worktype</formula1>
    </dataValidation>
    <dataValidation type="list" allowBlank="1" showInputMessage="1" showErrorMessage="1" sqref="B31:B70 B4:B2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abSelected="1" topLeftCell="I4" zoomScale="250" zoomScaleNormal="250" workbookViewId="0">
      <selection activeCell="T2" sqref="T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15.5</v>
      </c>
      <c r="F22" s="162">
        <f t="shared" ca="1" si="1"/>
        <v>13.5</v>
      </c>
      <c r="G22" s="162">
        <f t="shared" ca="1" si="1"/>
        <v>13.5</v>
      </c>
      <c r="H22" s="162">
        <f t="shared" ca="1" si="1"/>
        <v>13.5</v>
      </c>
      <c r="I22" s="162">
        <f t="shared" ca="1" si="1"/>
        <v>13.5</v>
      </c>
      <c r="J22" s="162">
        <f t="shared" ca="1" si="1"/>
        <v>13.5</v>
      </c>
      <c r="K22" s="162">
        <f t="shared" ca="1" si="1"/>
        <v>13.5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112.5</v>
      </c>
      <c r="F23" s="163">
        <f t="shared" ca="1" si="2"/>
        <v>4</v>
      </c>
      <c r="G23" s="163">
        <f t="shared" ca="1" si="2"/>
        <v>5</v>
      </c>
      <c r="H23" s="163">
        <f t="shared" ca="1" si="2"/>
        <v>0</v>
      </c>
      <c r="I23" s="163">
        <f t="shared" ca="1" si="2"/>
        <v>0</v>
      </c>
      <c r="J23" s="163">
        <f t="shared" ca="1" si="2"/>
        <v>0</v>
      </c>
      <c r="K23" s="163">
        <f t="shared" ca="1" si="2"/>
        <v>0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112.5</v>
      </c>
      <c r="F24" s="163">
        <f ca="1">IF(F20&gt;TODAY(), #N/A, SUM($E23:F23))</f>
        <v>116.5</v>
      </c>
      <c r="G24" s="163">
        <f ca="1">IF(G20&gt;TODAY(), #N/A, SUM($E23:G23))</f>
        <v>121.5</v>
      </c>
      <c r="H24" s="163">
        <f ca="1">IF(H20&gt;TODAY(), #N/A, SUM($E23:H23))</f>
        <v>121.5</v>
      </c>
      <c r="I24" s="163">
        <f ca="1">IF(I20&gt;TODAY(), #N/A, SUM($E23:I23))</f>
        <v>121.5</v>
      </c>
      <c r="J24" s="163">
        <f ca="1">IF(J20&gt;TODAY(), #N/A, SUM($E23:J23))</f>
        <v>121.5</v>
      </c>
      <c r="K24" s="163">
        <f ca="1">IF(K20&gt;TODAY(), #N/A, SUM($E23:K23))</f>
        <v>121.5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128</v>
      </c>
      <c r="F25" s="163">
        <f t="shared" ca="1" si="3"/>
        <v>130</v>
      </c>
      <c r="G25" s="163">
        <f t="shared" ca="1" si="3"/>
        <v>135</v>
      </c>
      <c r="H25" s="163">
        <f t="shared" ca="1" si="3"/>
        <v>135</v>
      </c>
      <c r="I25" s="163">
        <f t="shared" ca="1" si="3"/>
        <v>135</v>
      </c>
      <c r="J25" s="163">
        <f t="shared" ca="1" si="3"/>
        <v>135</v>
      </c>
      <c r="K25" s="163">
        <f t="shared" ca="1" si="3"/>
        <v>135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112.5</v>
      </c>
      <c r="F27" s="168">
        <f t="shared" ca="1" si="4"/>
        <v>58.25</v>
      </c>
      <c r="G27" s="168">
        <f t="shared" ca="1" si="4"/>
        <v>40.5</v>
      </c>
      <c r="H27" s="168">
        <f t="shared" ca="1" si="4"/>
        <v>30.375</v>
      </c>
      <c r="I27" s="168">
        <f t="shared" ca="1" si="4"/>
        <v>24.3</v>
      </c>
      <c r="J27" s="168">
        <f t="shared" ca="1" si="4"/>
        <v>20.25</v>
      </c>
      <c r="K27" s="168">
        <f t="shared" ca="1" si="4"/>
        <v>17.357142857142858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40868.137777777774</v>
      </c>
      <c r="F28" s="169">
        <f t="shared" ca="1" si="5"/>
        <v>40869.23175965665</v>
      </c>
      <c r="G28" s="169">
        <f t="shared" ca="1" si="5"/>
        <v>40870.333333333336</v>
      </c>
      <c r="H28" s="169">
        <f t="shared" ca="1" si="5"/>
        <v>40871.444444444445</v>
      </c>
      <c r="I28" s="169">
        <f t="shared" ca="1" si="5"/>
        <v>40872.555555555555</v>
      </c>
      <c r="J28" s="169">
        <f t="shared" ca="1" si="5"/>
        <v>40873.666666666664</v>
      </c>
      <c r="K28" s="169">
        <f t="shared" ca="1" si="5"/>
        <v>40874.777777777781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40868.882352941175</v>
      </c>
      <c r="F29" s="169">
        <f t="shared" ca="1" si="6"/>
        <v>40870.714285714283</v>
      </c>
      <c r="G29" s="169">
        <f t="shared" ca="1" si="6"/>
        <v>40872.785714285717</v>
      </c>
      <c r="H29" s="169">
        <f t="shared" ca="1" si="6"/>
        <v>40874.714285714283</v>
      </c>
      <c r="I29" s="169">
        <f t="shared" ca="1" si="6"/>
        <v>40876.642857142855</v>
      </c>
      <c r="J29" s="169">
        <f t="shared" ca="1" si="6"/>
        <v>40878.571428571428</v>
      </c>
      <c r="K29" s="169">
        <f t="shared" ca="1" si="6"/>
        <v>40880.5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6</v>
      </c>
      <c r="F31" s="165">
        <f t="shared" ca="1" si="7"/>
        <v>4</v>
      </c>
      <c r="G31" s="165">
        <f t="shared" ca="1" si="7"/>
        <v>4</v>
      </c>
      <c r="H31" s="165">
        <f t="shared" ca="1" si="7"/>
        <v>4</v>
      </c>
      <c r="I31" s="165">
        <f t="shared" ca="1" si="7"/>
        <v>4</v>
      </c>
      <c r="J31" s="165">
        <f t="shared" ca="1" si="7"/>
        <v>4</v>
      </c>
      <c r="K31" s="165">
        <f t="shared" ca="1" si="7"/>
        <v>4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54</v>
      </c>
      <c r="F32" s="170">
        <f t="shared" ca="1" si="8"/>
        <v>56</v>
      </c>
      <c r="G32" s="170">
        <f t="shared" ca="1" si="8"/>
        <v>61</v>
      </c>
      <c r="H32" s="170">
        <f t="shared" ca="1" si="8"/>
        <v>61</v>
      </c>
      <c r="I32" s="170">
        <f t="shared" ca="1" si="8"/>
        <v>61</v>
      </c>
      <c r="J32" s="170">
        <f t="shared" ca="1" si="8"/>
        <v>61</v>
      </c>
      <c r="K32" s="170">
        <f t="shared" ca="1" si="8"/>
        <v>61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68</v>
      </c>
      <c r="F33" s="165">
        <f t="shared" ca="1" si="9"/>
        <v>70</v>
      </c>
      <c r="G33" s="165">
        <f t="shared" ca="1" si="9"/>
        <v>70</v>
      </c>
      <c r="H33" s="165">
        <f t="shared" ca="1" si="9"/>
        <v>70</v>
      </c>
      <c r="I33" s="165">
        <f t="shared" ca="1" si="9"/>
        <v>70</v>
      </c>
      <c r="J33" s="165">
        <f t="shared" ca="1" si="9"/>
        <v>70</v>
      </c>
      <c r="K33" s="165">
        <f t="shared" ca="1" si="9"/>
        <v>70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45</v>
      </c>
      <c r="F35" s="165">
        <f t="shared" ca="1" si="10"/>
        <v>44</v>
      </c>
      <c r="G35" s="165">
        <f t="shared" ca="1" si="10"/>
        <v>44</v>
      </c>
      <c r="H35" s="165">
        <f t="shared" ca="1" si="10"/>
        <v>44</v>
      </c>
      <c r="I35" s="165">
        <f t="shared" ca="1" si="10"/>
        <v>44</v>
      </c>
      <c r="J35" s="165">
        <f t="shared" ca="1" si="10"/>
        <v>44</v>
      </c>
      <c r="K35" s="165">
        <f t="shared" ca="1" si="10"/>
        <v>44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3</v>
      </c>
      <c r="F36" s="165">
        <f t="shared" ca="1" si="11"/>
        <v>3</v>
      </c>
      <c r="G36" s="165">
        <f t="shared" ca="1" si="11"/>
        <v>3</v>
      </c>
      <c r="H36" s="165">
        <f t="shared" ca="1" si="11"/>
        <v>3</v>
      </c>
      <c r="I36" s="165">
        <f t="shared" ca="1" si="11"/>
        <v>3</v>
      </c>
      <c r="J36" s="165">
        <f t="shared" ca="1" si="11"/>
        <v>3</v>
      </c>
      <c r="K36" s="165">
        <f t="shared" ca="1" si="11"/>
        <v>3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19</v>
      </c>
      <c r="F37" s="165">
        <f t="shared" ca="1" si="12"/>
        <v>20</v>
      </c>
      <c r="G37" s="165">
        <f t="shared" ca="1" si="12"/>
        <v>20</v>
      </c>
      <c r="H37" s="165">
        <f t="shared" ca="1" si="12"/>
        <v>20</v>
      </c>
      <c r="I37" s="165">
        <f t="shared" ca="1" si="12"/>
        <v>20</v>
      </c>
      <c r="J37" s="165">
        <f t="shared" ca="1" si="12"/>
        <v>20</v>
      </c>
      <c r="K37" s="165">
        <f t="shared" ca="1" si="12"/>
        <v>20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37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dom</v>
      </c>
      <c r="E2" s="48">
        <f ca="1">TODAY()</f>
        <v>40874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226" t="s">
        <v>47</v>
      </c>
      <c r="C5" s="227"/>
      <c r="D5" s="227"/>
      <c r="E5" s="227"/>
      <c r="F5" s="227"/>
      <c r="G5" s="22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29"/>
      <c r="X6" s="230"/>
      <c r="Y6" s="230"/>
      <c r="Z6" s="230"/>
      <c r="AA6" s="230"/>
      <c r="AB6" s="23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32" t="s">
        <v>42</v>
      </c>
      <c r="X7" s="233"/>
      <c r="Y7" s="233"/>
      <c r="Z7" s="233"/>
      <c r="AA7" s="233"/>
      <c r="AB7" s="234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SUMIF(Sprint!$F$3:$F$1863,E8,Sprint!$AX$4:$AX$1863)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23">
        <f t="shared" ref="W8:W25" si="5">IF(E8="unassigned",0,(COUNTIF(I8:V8,1)*$C$6)*F8)</f>
        <v>0</v>
      </c>
      <c r="X8" s="224"/>
      <c r="Y8" s="224"/>
      <c r="Z8" s="224"/>
      <c r="AA8" s="224"/>
      <c r="AB8" s="225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SUMIF(Sprint!$F$3:$F$1863,E9,Sprint!$AX$4:$AX$1863)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23">
        <f t="shared" si="5"/>
        <v>0</v>
      </c>
      <c r="X9" s="224"/>
      <c r="Y9" s="224"/>
      <c r="Z9" s="224"/>
      <c r="AA9" s="224"/>
      <c r="AB9" s="225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SUMIF(Sprint!$F$3:$F$1863,E10,Sprint!$AX$4:$AX$1863)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23">
        <f t="shared" si="5"/>
        <v>0</v>
      </c>
      <c r="X10" s="224"/>
      <c r="Y10" s="224"/>
      <c r="Z10" s="224"/>
      <c r="AA10" s="224"/>
      <c r="AB10" s="225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SUMIF(Sprint!$F$3:$F$1863,E11,Sprint!$AX$4:$AX$1863)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23">
        <f t="shared" si="5"/>
        <v>0</v>
      </c>
      <c r="X11" s="224"/>
      <c r="Y11" s="224"/>
      <c r="Z11" s="224"/>
      <c r="AA11" s="224"/>
      <c r="AB11" s="225"/>
    </row>
    <row r="12" spans="2:28" ht="13.5" thickBot="1" x14ac:dyDescent="0.25">
      <c r="B12" s="96"/>
      <c r="D12" s="97"/>
      <c r="E12" s="18"/>
      <c r="F12" s="89"/>
      <c r="G12" s="83">
        <f ca="1">SUMIF(Sprint!$F$3:$F$1863,E12,Sprint!$AX$4:$AX$1863)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23">
        <f t="shared" si="5"/>
        <v>0</v>
      </c>
      <c r="X12" s="224"/>
      <c r="Y12" s="224"/>
      <c r="Z12" s="224"/>
      <c r="AA12" s="224"/>
      <c r="AB12" s="225"/>
    </row>
    <row r="13" spans="2:28" ht="13.5" thickBot="1" x14ac:dyDescent="0.25">
      <c r="B13" s="96"/>
      <c r="D13" s="98"/>
      <c r="E13" s="18"/>
      <c r="F13" s="89"/>
      <c r="G13" s="83">
        <f ca="1">SUMIF(Sprint!$F$3:$F$1863,E13,Sprint!$AX$4:$AX$1863)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23">
        <f t="shared" si="5"/>
        <v>0</v>
      </c>
      <c r="X13" s="224"/>
      <c r="Y13" s="224"/>
      <c r="Z13" s="224"/>
      <c r="AA13" s="224"/>
      <c r="AB13" s="225"/>
    </row>
    <row r="14" spans="2:28" ht="13.5" thickBot="1" x14ac:dyDescent="0.25">
      <c r="B14" s="96"/>
      <c r="D14" s="62"/>
      <c r="E14" s="18"/>
      <c r="F14" s="89"/>
      <c r="G14" s="83">
        <f ca="1">SUMIF(Sprint!$F$3:$F$1863,E14,Sprint!$AX$4:$AX$1863)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23">
        <f t="shared" si="5"/>
        <v>0</v>
      </c>
      <c r="X14" s="224"/>
      <c r="Y14" s="224"/>
      <c r="Z14" s="224"/>
      <c r="AA14" s="224"/>
      <c r="AB14" s="225"/>
    </row>
    <row r="15" spans="2:28" ht="13.5" thickBot="1" x14ac:dyDescent="0.25">
      <c r="B15" s="96"/>
      <c r="D15" s="62"/>
      <c r="E15" s="18"/>
      <c r="F15" s="89"/>
      <c r="G15" s="83">
        <f ca="1">SUMIF(Sprint!$F$3:$F$1863,E15,Sprint!$AX$4:$AX$1863)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23">
        <f t="shared" si="5"/>
        <v>0</v>
      </c>
      <c r="X15" s="224"/>
      <c r="Y15" s="224"/>
      <c r="Z15" s="224"/>
      <c r="AA15" s="224"/>
      <c r="AB15" s="225"/>
    </row>
    <row r="16" spans="2:28" ht="13.5" thickBot="1" x14ac:dyDescent="0.25">
      <c r="B16" s="96"/>
      <c r="D16" s="98"/>
      <c r="E16" s="18"/>
      <c r="F16" s="89"/>
      <c r="G16" s="83">
        <f ca="1">SUMIF(Sprint!$F$3:$F$1863,E16,Sprint!$AX$4:$AX$1863)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23">
        <f t="shared" si="5"/>
        <v>0</v>
      </c>
      <c r="X16" s="224"/>
      <c r="Y16" s="224"/>
      <c r="Z16" s="224"/>
      <c r="AA16" s="224"/>
      <c r="AB16" s="225"/>
    </row>
    <row r="17" spans="2:28" ht="13.5" thickBot="1" x14ac:dyDescent="0.25">
      <c r="B17" s="96"/>
      <c r="D17" s="98"/>
      <c r="E17" s="18"/>
      <c r="F17" s="89"/>
      <c r="G17" s="83">
        <f ca="1">SUMIF(Sprint!$F$3:$F$1863,E17,Sprint!$AX$4:$AX$1863)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23">
        <f t="shared" si="5"/>
        <v>0</v>
      </c>
      <c r="X17" s="224"/>
      <c r="Y17" s="224"/>
      <c r="Z17" s="224"/>
      <c r="AA17" s="224"/>
      <c r="AB17" s="225"/>
    </row>
    <row r="18" spans="2:28" ht="13.5" thickBot="1" x14ac:dyDescent="0.25">
      <c r="B18" s="96"/>
      <c r="D18" s="98"/>
      <c r="E18" s="18"/>
      <c r="F18" s="89"/>
      <c r="G18" s="83">
        <f ca="1">SUMIF(Sprint!$F$3:$F$1863,E18,Sprint!$AX$4:$AX$1863)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23">
        <f t="shared" si="5"/>
        <v>0</v>
      </c>
      <c r="X18" s="224"/>
      <c r="Y18" s="224"/>
      <c r="Z18" s="224"/>
      <c r="AA18" s="224"/>
      <c r="AB18" s="225"/>
    </row>
    <row r="19" spans="2:28" ht="13.5" thickBot="1" x14ac:dyDescent="0.25">
      <c r="B19" s="96"/>
      <c r="D19" s="98"/>
      <c r="E19" s="18"/>
      <c r="F19" s="89"/>
      <c r="G19" s="83">
        <f ca="1">SUMIF(Sprint!$F$3:$F$1863,E19,Sprint!$AX$4:$AX$1863)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23">
        <f t="shared" si="5"/>
        <v>0</v>
      </c>
      <c r="X19" s="224"/>
      <c r="Y19" s="224"/>
      <c r="Z19" s="224"/>
      <c r="AA19" s="224"/>
      <c r="AB19" s="225"/>
    </row>
    <row r="20" spans="2:28" ht="13.5" thickBot="1" x14ac:dyDescent="0.25">
      <c r="B20" s="96"/>
      <c r="D20" s="98"/>
      <c r="E20" s="18"/>
      <c r="F20" s="89"/>
      <c r="G20" s="83">
        <f ca="1">SUMIF(Sprint!$F$3:$F$1863,E20,Sprint!$AX$4:$AX$1863)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23">
        <f t="shared" si="5"/>
        <v>0</v>
      </c>
      <c r="X20" s="224"/>
      <c r="Y20" s="224"/>
      <c r="Z20" s="224"/>
      <c r="AA20" s="224"/>
      <c r="AB20" s="225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SUMIF(Sprint!$F$3:$F$1863,E21,Sprint!$AX$4:$AX$1863)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23">
        <f t="shared" si="5"/>
        <v>0</v>
      </c>
      <c r="X21" s="224"/>
      <c r="Y21" s="224"/>
      <c r="Z21" s="224"/>
      <c r="AA21" s="224"/>
      <c r="AB21" s="225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SUMIF(Sprint!$F$3:$F$1863,E22,Sprint!$AX$4:$AX$1863)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23">
        <f t="shared" si="5"/>
        <v>0</v>
      </c>
      <c r="X22" s="224"/>
      <c r="Y22" s="224"/>
      <c r="Z22" s="224"/>
      <c r="AA22" s="224"/>
      <c r="AB22" s="225"/>
    </row>
    <row r="23" spans="2:28" ht="13.5" thickBot="1" x14ac:dyDescent="0.25">
      <c r="B23" s="70"/>
      <c r="D23" s="98"/>
      <c r="E23" s="18"/>
      <c r="F23" s="102"/>
      <c r="G23" s="83">
        <f ca="1">SUMIF(Sprint!$F$3:$F$1863,E23,Sprint!$AX$4:$AX$1863)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23">
        <f t="shared" si="5"/>
        <v>0</v>
      </c>
      <c r="X23" s="224"/>
      <c r="Y23" s="224"/>
      <c r="Z23" s="224"/>
      <c r="AA23" s="224"/>
      <c r="AB23" s="225"/>
    </row>
    <row r="24" spans="2:28" ht="13.5" thickBot="1" x14ac:dyDescent="0.25">
      <c r="B24" s="96"/>
      <c r="D24" s="98"/>
      <c r="E24" s="18"/>
      <c r="F24" s="102"/>
      <c r="G24" s="83">
        <f ca="1">SUMIF(Sprint!$F$3:$F$1863,E24,Sprint!$AX$4:$AX$1863)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23">
        <f t="shared" si="5"/>
        <v>0</v>
      </c>
      <c r="X24" s="224"/>
      <c r="Y24" s="224"/>
      <c r="Z24" s="224"/>
      <c r="AA24" s="224"/>
      <c r="AB24" s="225"/>
    </row>
    <row r="25" spans="2:28" ht="13.5" thickBot="1" x14ac:dyDescent="0.25">
      <c r="B25" s="96"/>
      <c r="D25" s="98"/>
      <c r="E25" s="103"/>
      <c r="F25" s="104"/>
      <c r="G25" s="83">
        <f ca="1">SUMIF(Sprint!$F$3:$F$1863,E25,Sprint!$AX$4:$AX$1863)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23">
        <f t="shared" si="5"/>
        <v>0</v>
      </c>
      <c r="X25" s="224"/>
      <c r="Y25" s="224"/>
      <c r="Z25" s="224"/>
      <c r="AA25" s="224"/>
      <c r="AB25" s="225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36" priority="2" stopIfTrue="1">
      <formula>G8&gt;W8</formula>
    </cfRule>
  </conditionalFormatting>
  <conditionalFormatting sqref="I8:M25 P8:T25">
    <cfRule type="cellIs" dxfId="35" priority="5" stopIfTrue="1" operator="equal">
      <formula>"H"</formula>
    </cfRule>
    <cfRule type="cellIs" dxfId="34" priority="6" stopIfTrue="1" operator="equal">
      <formula>"V"</formula>
    </cfRule>
    <cfRule type="expression" dxfId="33" priority="7" stopIfTrue="1">
      <formula>IF(I$6&lt;$E$2,1,0)</formula>
    </cfRule>
  </conditionalFormatting>
  <conditionalFormatting sqref="X30:X34 X26:X28 J32:J34 J26:J30 I26:I34 Q29 T26:W34 N8:O25 K26:O34 U8:V25 P30:S34 P26:S28">
    <cfRule type="cellIs" dxfId="32" priority="13" stopIfTrue="1" operator="equal">
      <formula>"DIO"</formula>
    </cfRule>
    <cfRule type="cellIs" dxfId="31" priority="14" stopIfTrue="1" operator="equal">
      <formula>"H"</formula>
    </cfRule>
    <cfRule type="cellIs" dxfId="30" priority="15" stopIfTrue="1" operator="equal">
      <formula>"V"</formula>
    </cfRule>
  </conditionalFormatting>
  <conditionalFormatting sqref="P6">
    <cfRule type="expression" dxfId="29" priority="21" stopIfTrue="1">
      <formula>P$6=TODAY()</formula>
    </cfRule>
    <cfRule type="expression" dxfId="28" priority="22" stopIfTrue="1">
      <formula>IF((P$6+1-$E$3)=$F$6,1,0)</formula>
    </cfRule>
  </conditionalFormatting>
  <conditionalFormatting sqref="Q6:V6 J6:O6">
    <cfRule type="expression" dxfId="27" priority="23" stopIfTrue="1">
      <formula>J$6=TODAY()</formula>
    </cfRule>
    <cfRule type="expression" dxfId="26" priority="24" stopIfTrue="1">
      <formula>IF((J$6+1-$E$3)=$F$6,1,0)</formula>
    </cfRule>
  </conditionalFormatting>
  <conditionalFormatting sqref="I6">
    <cfRule type="expression" dxfId="25" priority="25" stopIfTrue="1">
      <formula>I$6=TODAY()</formula>
    </cfRule>
    <cfRule type="expression" dxfId="24" priority="26" stopIfTrue="1">
      <formula>IF((J$6+1-$E$3)=$F$6,1,0)</formula>
    </cfRule>
  </conditionalFormatting>
  <conditionalFormatting sqref="F26:F27 F8:F21">
    <cfRule type="expression" dxfId="23" priority="1" stopIfTrue="1">
      <formula>H8&gt;X8</formula>
    </cfRule>
  </conditionalFormatting>
  <conditionalFormatting sqref="F30:F33">
    <cfRule type="expression" dxfId="22" priority="4" stopIfTrue="1">
      <formula>H28&gt;X28</formula>
    </cfRule>
  </conditionalFormatting>
  <conditionalFormatting sqref="C10">
    <cfRule type="cellIs" dxfId="21" priority="8" stopIfTrue="1" operator="greaterThan">
      <formula>0</formula>
    </cfRule>
    <cfRule type="cellIs" dxfId="20" priority="9" stopIfTrue="1" operator="lessThanOrEqual">
      <formula>0</formula>
    </cfRule>
  </conditionalFormatting>
  <conditionalFormatting sqref="C22 D14:D15 D6:D12 C6:C9">
    <cfRule type="cellIs" dxfId="19" priority="10" stopIfTrue="1" operator="equal">
      <formula>"3A"</formula>
    </cfRule>
    <cfRule type="cellIs" dxfId="18" priority="11" stopIfTrue="1" operator="equal">
      <formula>"3B"</formula>
    </cfRule>
  </conditionalFormatting>
  <conditionalFormatting sqref="G32:G34 G6">
    <cfRule type="cellIs" dxfId="17" priority="12" stopIfTrue="1" operator="equal">
      <formula>"Done"</formula>
    </cfRule>
  </conditionalFormatting>
  <conditionalFormatting sqref="I7:K7 M7:W7">
    <cfRule type="cellIs" dxfId="16" priority="16" stopIfTrue="1" operator="equal">
      <formula>"DIO"</formula>
    </cfRule>
    <cfRule type="cellIs" dxfId="15" priority="17" stopIfTrue="1" operator="equal">
      <formula>"H"</formula>
    </cfRule>
    <cfRule type="cellIs" dxfId="14" priority="18" stopIfTrue="1" operator="equal">
      <formula>"V"</formula>
    </cfRule>
  </conditionalFormatting>
  <conditionalFormatting sqref="L7">
    <cfRule type="cellIs" dxfId="13" priority="19" stopIfTrue="1" operator="equal">
      <formula>"DIO"</formula>
    </cfRule>
    <cfRule type="cellIs" dxfId="12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6" sqref="E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33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194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115</v>
      </c>
      <c r="D8" s="140" t="s">
        <v>115</v>
      </c>
      <c r="E8" s="141" t="s">
        <v>94</v>
      </c>
      <c r="F8" s="142" t="s">
        <v>185</v>
      </c>
      <c r="G8" s="187" t="s">
        <v>193</v>
      </c>
      <c r="H8" s="141" t="s">
        <v>92</v>
      </c>
    </row>
    <row r="9" spans="2:8" x14ac:dyDescent="0.2">
      <c r="C9" s="140" t="s">
        <v>116</v>
      </c>
      <c r="D9" s="140" t="s">
        <v>116</v>
      </c>
      <c r="E9" s="141" t="s">
        <v>94</v>
      </c>
      <c r="F9" s="142" t="s">
        <v>191</v>
      </c>
      <c r="G9" s="187" t="s">
        <v>200</v>
      </c>
      <c r="H9" s="141" t="s">
        <v>92</v>
      </c>
    </row>
    <row r="10" spans="2:8" ht="11.25" customHeight="1" x14ac:dyDescent="0.2">
      <c r="C10" s="140" t="s">
        <v>117</v>
      </c>
      <c r="D10" s="140" t="s">
        <v>117</v>
      </c>
      <c r="E10" s="141" t="s">
        <v>94</v>
      </c>
      <c r="F10" s="142" t="s">
        <v>192</v>
      </c>
      <c r="G10" s="187" t="s">
        <v>201</v>
      </c>
      <c r="H10" s="141" t="s">
        <v>92</v>
      </c>
    </row>
    <row r="11" spans="2:8" x14ac:dyDescent="0.2">
      <c r="C11" s="140" t="s">
        <v>118</v>
      </c>
      <c r="D11" s="140" t="s">
        <v>118</v>
      </c>
      <c r="E11" s="141" t="s">
        <v>94</v>
      </c>
      <c r="F11" s="142" t="s">
        <v>189</v>
      </c>
      <c r="G11" s="187" t="s">
        <v>198</v>
      </c>
      <c r="H11" s="141" t="s">
        <v>92</v>
      </c>
    </row>
    <row r="12" spans="2:8" x14ac:dyDescent="0.2">
      <c r="C12" s="140" t="s">
        <v>119</v>
      </c>
      <c r="D12" s="140" t="s">
        <v>119</v>
      </c>
      <c r="E12" s="141" t="s">
        <v>94</v>
      </c>
      <c r="F12" s="142" t="s">
        <v>187</v>
      </c>
      <c r="G12" s="187" t="s">
        <v>196</v>
      </c>
      <c r="H12" s="141" t="s">
        <v>92</v>
      </c>
    </row>
    <row r="13" spans="2:8" x14ac:dyDescent="0.2">
      <c r="C13" s="140" t="s">
        <v>163</v>
      </c>
      <c r="D13" s="140" t="s">
        <v>163</v>
      </c>
      <c r="E13" s="141" t="s">
        <v>94</v>
      </c>
      <c r="F13" s="142" t="s">
        <v>186</v>
      </c>
      <c r="G13" s="187" t="s">
        <v>195</v>
      </c>
      <c r="H13" s="141" t="s">
        <v>92</v>
      </c>
    </row>
    <row r="14" spans="2:8" x14ac:dyDescent="0.2">
      <c r="C14" s="140" t="s">
        <v>120</v>
      </c>
      <c r="D14" s="140" t="s">
        <v>120</v>
      </c>
      <c r="E14" s="141" t="s">
        <v>94</v>
      </c>
      <c r="F14" s="142" t="s">
        <v>188</v>
      </c>
      <c r="G14" s="187" t="s">
        <v>199</v>
      </c>
      <c r="H14" s="141" t="s">
        <v>92</v>
      </c>
    </row>
    <row r="15" spans="2:8" x14ac:dyDescent="0.2">
      <c r="C15" s="140" t="s">
        <v>121</v>
      </c>
      <c r="D15" s="140" t="s">
        <v>121</v>
      </c>
      <c r="E15" s="141"/>
      <c r="F15" s="142" t="s">
        <v>190</v>
      </c>
      <c r="G15" s="187" t="s">
        <v>197</v>
      </c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9" sqref="A19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101</v>
      </c>
      <c r="B1" s="173"/>
    </row>
    <row r="2" spans="1:3" ht="15" x14ac:dyDescent="0.25">
      <c r="A2" s="174" t="s">
        <v>102</v>
      </c>
      <c r="B2" s="175">
        <f>COUNTIF(Sprint!$A$4:$A$101, "Feature")</f>
        <v>1</v>
      </c>
      <c r="C2" s="181">
        <f>B2/$B$6</f>
        <v>1</v>
      </c>
    </row>
    <row r="3" spans="1:3" ht="15" x14ac:dyDescent="0.25">
      <c r="A3" s="174" t="s">
        <v>103</v>
      </c>
      <c r="B3" s="175">
        <f>COUNTIF(Sprint!$A$4:$A$101, "Tax")</f>
        <v>0</v>
      </c>
      <c r="C3" s="181">
        <f t="shared" ref="C3:C5" si="0">B3/$B$6</f>
        <v>0</v>
      </c>
    </row>
    <row r="4" spans="1:3" ht="15" x14ac:dyDescent="0.25">
      <c r="A4" s="174" t="s">
        <v>104</v>
      </c>
      <c r="B4" s="175">
        <f>COUNTIF(Sprint!$A$4:$A$101, "Precondition")</f>
        <v>0</v>
      </c>
      <c r="C4" s="181">
        <f t="shared" si="0"/>
        <v>0</v>
      </c>
    </row>
    <row r="5" spans="1:3" ht="15" x14ac:dyDescent="0.25">
      <c r="A5" s="174" t="s">
        <v>105</v>
      </c>
      <c r="B5" s="175">
        <f>COUNTIF(Sprint!$A$4:$A$101, "Spike")</f>
        <v>0</v>
      </c>
      <c r="C5" s="181">
        <f t="shared" si="0"/>
        <v>0</v>
      </c>
    </row>
    <row r="6" spans="1:3" ht="15" x14ac:dyDescent="0.25">
      <c r="A6" s="176" t="s">
        <v>109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106</v>
      </c>
      <c r="B8" s="175"/>
    </row>
    <row r="9" spans="1:3" ht="15" x14ac:dyDescent="0.25">
      <c r="A9" s="174" t="s">
        <v>123</v>
      </c>
      <c r="B9" s="175">
        <f>COUNTIF(Sprint!$B$4:$B$218,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COUNTIF(Sprint!$B$4:$B$218,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COUNTIF(Sprint!$B$4:$B$218,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COUNTIF(Sprint!$B$4:$B$218, "Data Conversions")</f>
        <v>0</v>
      </c>
      <c r="C12" s="181" t="e">
        <f>B12/$B$25</f>
        <v>#DIV/0!</v>
      </c>
    </row>
    <row r="13" spans="1:3" ht="15" x14ac:dyDescent="0.25">
      <c r="A13" s="174" t="s">
        <v>177</v>
      </c>
      <c r="B13" s="175">
        <f>COUNTIF(Sprint!$B$4:$B$218,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617</v>
      </c>
      <c r="B14" s="175">
        <f>COUNTIF(Sprint!$B$4:$B$218, "Cash Payment Tracking")</f>
        <v>0</v>
      </c>
      <c r="C14" s="181" t="e">
        <f t="shared" si="1"/>
        <v>#DIV/0!</v>
      </c>
    </row>
    <row r="15" spans="1:3" ht="15" x14ac:dyDescent="0.25">
      <c r="A15" s="174" t="s">
        <v>619</v>
      </c>
      <c r="B15" s="175">
        <f>COUNTIF(Sprint!$B$4:$B$218, "Views")</f>
        <v>0</v>
      </c>
      <c r="C15" s="181" t="e">
        <f t="shared" si="1"/>
        <v>#DIV/0!</v>
      </c>
    </row>
    <row r="16" spans="1:3" ht="15" x14ac:dyDescent="0.25">
      <c r="A16" s="174" t="s">
        <v>127</v>
      </c>
      <c r="B16" s="175">
        <f>COUNTIF(Sprint!$B$4:$B$218, "Lookups")</f>
        <v>0</v>
      </c>
      <c r="C16" s="181" t="e">
        <f t="shared" si="1"/>
        <v>#DIV/0!</v>
      </c>
    </row>
    <row r="17" spans="1:3" ht="15" x14ac:dyDescent="0.25">
      <c r="A17" s="174" t="s">
        <v>127</v>
      </c>
      <c r="B17" s="175">
        <f>COUNTIF(Sprint!$B$4:$B$218, "Detail screens")</f>
        <v>0</v>
      </c>
      <c r="C17" s="181" t="e">
        <f t="shared" si="1"/>
        <v>#DIV/0!</v>
      </c>
    </row>
    <row r="18" spans="1:3" ht="15" x14ac:dyDescent="0.25">
      <c r="A18" s="174" t="s">
        <v>127</v>
      </c>
      <c r="B18" s="175">
        <f>COUNTIF(Sprint!$B$4:$B$218, "Notifications")</f>
        <v>0</v>
      </c>
      <c r="C18" s="181" t="e">
        <f t="shared" si="1"/>
        <v>#DIV/0!</v>
      </c>
    </row>
    <row r="19" spans="1:3" ht="15" x14ac:dyDescent="0.25">
      <c r="A19" s="174" t="s">
        <v>127</v>
      </c>
      <c r="B19" s="175">
        <f>COUNTIF(Sprint!$B$4:$B$218, "Reports")</f>
        <v>0</v>
      </c>
      <c r="C19" s="181" t="e">
        <f t="shared" si="1"/>
        <v>#DIV/0!</v>
      </c>
    </row>
    <row r="20" spans="1:3" ht="15" x14ac:dyDescent="0.25">
      <c r="A20" s="174" t="s">
        <v>127</v>
      </c>
      <c r="B20" s="175">
        <f>COUNTIF(Sprint!$B$4:$B$218, "Installation Package")</f>
        <v>0</v>
      </c>
      <c r="C20" s="181" t="e">
        <f t="shared" si="1"/>
        <v>#DIV/0!</v>
      </c>
    </row>
    <row r="21" spans="1:3" ht="15" x14ac:dyDescent="0.25">
      <c r="A21" s="174" t="s">
        <v>127</v>
      </c>
      <c r="B21" s="175">
        <f>COUNTIF(Sprint!$B$4:$B$218, "Deployment")</f>
        <v>0</v>
      </c>
      <c r="C21" s="181" t="e">
        <f t="shared" si="1"/>
        <v>#DIV/0!</v>
      </c>
    </row>
    <row r="22" spans="1:3" ht="15" x14ac:dyDescent="0.25">
      <c r="A22" s="174" t="s">
        <v>127</v>
      </c>
      <c r="B22" s="175">
        <f>COUNTIF(Sprint!$B$4:$B$218, "Documentation")</f>
        <v>0</v>
      </c>
      <c r="C22" s="181" t="e">
        <f t="shared" si="1"/>
        <v>#DIV/0!</v>
      </c>
    </row>
    <row r="23" spans="1:3" ht="15" x14ac:dyDescent="0.25">
      <c r="A23" s="174" t="s">
        <v>127</v>
      </c>
      <c r="B23" s="175">
        <f>COUNTIF(Sprint!$B$4:$B$218, "Testing")</f>
        <v>0</v>
      </c>
      <c r="C23" s="181" t="e">
        <f t="shared" si="1"/>
        <v>#DIV/0!</v>
      </c>
    </row>
    <row r="24" spans="1:3" ht="15" x14ac:dyDescent="0.25">
      <c r="A24" s="174" t="s">
        <v>127</v>
      </c>
      <c r="B24" s="175">
        <f>COUNTIF(Sprint!$B$4:$B$218, "Project Mgt")</f>
        <v>0</v>
      </c>
      <c r="C24" s="181" t="e">
        <f t="shared" si="1"/>
        <v>#DIV/0!</v>
      </c>
    </row>
    <row r="25" spans="1:3" ht="15" x14ac:dyDescent="0.2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108</v>
      </c>
    </row>
    <row r="28" spans="1:3" ht="15" x14ac:dyDescent="0.25">
      <c r="A28" s="174" t="s">
        <v>110</v>
      </c>
      <c r="B28" s="175">
        <f ca="1">COUNTIF(Sprint!$G$4:$G$101, "Complete")</f>
        <v>20</v>
      </c>
      <c r="C28" s="181">
        <f ca="1">B28/$B$33</f>
        <v>0.29850746268656714</v>
      </c>
    </row>
    <row r="29" spans="1:3" ht="15" x14ac:dyDescent="0.25">
      <c r="A29" s="174" t="s">
        <v>111</v>
      </c>
      <c r="B29" s="175">
        <f ca="1">COUNTIF(Sprint!$G$4:$G$101, "In Progress")</f>
        <v>3</v>
      </c>
      <c r="C29" s="181">
        <f t="shared" ref="C29:C32" ca="1" si="2">B29/$B$33</f>
        <v>4.4776119402985072E-2</v>
      </c>
    </row>
    <row r="30" spans="1:3" ht="15" x14ac:dyDescent="0.25">
      <c r="A30" s="174" t="s">
        <v>112</v>
      </c>
      <c r="B30" s="175">
        <f ca="1">COUNTIF(Sprint!$G$4:$G$101, "Pending")</f>
        <v>44</v>
      </c>
      <c r="C30" s="181">
        <f t="shared" ca="1" si="2"/>
        <v>0.65671641791044777</v>
      </c>
    </row>
    <row r="31" spans="1:3" ht="15" x14ac:dyDescent="0.25">
      <c r="A31" s="174" t="s">
        <v>107</v>
      </c>
      <c r="B31" s="175">
        <f ca="1">COUNTIF(Sprint!$G$4:$G$101, "Postponed")</f>
        <v>0</v>
      </c>
      <c r="C31" s="181">
        <f t="shared" ca="1" si="2"/>
        <v>0</v>
      </c>
    </row>
    <row r="32" spans="1:3" ht="15" x14ac:dyDescent="0.25">
      <c r="A32" s="179" t="s">
        <v>113</v>
      </c>
      <c r="B32" s="175">
        <f ca="1">COUNTIF(Sprint!$G$4:$G$101, "Cancelled")</f>
        <v>0</v>
      </c>
      <c r="C32" s="181">
        <f t="shared" ca="1" si="2"/>
        <v>0</v>
      </c>
    </row>
    <row r="33" spans="1:3" ht="15" x14ac:dyDescent="0.25">
      <c r="A33" s="184" t="s">
        <v>109</v>
      </c>
      <c r="B33" s="185">
        <f ca="1">SUM(B28:B32)</f>
        <v>67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3"/>
  <sheetViews>
    <sheetView topLeftCell="A3" workbookViewId="0">
      <selection activeCell="D6" sqref="D6"/>
    </sheetView>
  </sheetViews>
  <sheetFormatPr defaultRowHeight="12.75" x14ac:dyDescent="0.2"/>
  <cols>
    <col min="1" max="1" width="9.140625" style="188"/>
    <col min="2" max="2" width="65.7109375" customWidth="1"/>
    <col min="4" max="4" width="16" customWidth="1"/>
    <col min="5" max="5" width="7.42578125" customWidth="1"/>
    <col min="6" max="6" width="12.7109375" style="195" customWidth="1"/>
    <col min="7" max="7" width="22.7109375" customWidth="1"/>
    <col min="10" max="10" width="87.7109375" customWidth="1"/>
  </cols>
  <sheetData>
    <row r="1" spans="1:12" hidden="1" x14ac:dyDescent="0.2">
      <c r="F1" s="195" t="s">
        <v>602</v>
      </c>
    </row>
    <row r="2" spans="1:12" hidden="1" x14ac:dyDescent="0.2">
      <c r="F2" s="195" t="s">
        <v>601</v>
      </c>
    </row>
    <row r="3" spans="1:12" s="198" customFormat="1" ht="26.25" thickBot="1" x14ac:dyDescent="0.25">
      <c r="A3" s="213" t="s">
        <v>128</v>
      </c>
      <c r="B3" s="214" t="s">
        <v>600</v>
      </c>
      <c r="C3" s="213" t="s">
        <v>599</v>
      </c>
      <c r="D3" s="213" t="s">
        <v>202</v>
      </c>
      <c r="E3" s="213" t="s">
        <v>613</v>
      </c>
      <c r="F3" s="215" t="s">
        <v>598</v>
      </c>
      <c r="G3" s="214" t="s">
        <v>597</v>
      </c>
      <c r="I3" s="235" t="s">
        <v>135</v>
      </c>
      <c r="J3" s="236"/>
      <c r="K3" s="216"/>
      <c r="L3" s="217"/>
    </row>
    <row r="4" spans="1:12" x14ac:dyDescent="0.2">
      <c r="A4" s="188">
        <v>1</v>
      </c>
      <c r="B4" s="189" t="s">
        <v>129</v>
      </c>
      <c r="C4" s="196">
        <v>1</v>
      </c>
      <c r="D4" s="196">
        <v>20</v>
      </c>
      <c r="E4" s="196">
        <v>1</v>
      </c>
      <c r="F4" s="197">
        <v>40861</v>
      </c>
      <c r="G4" s="196"/>
      <c r="I4" s="190"/>
      <c r="J4" s="192"/>
      <c r="K4" s="191"/>
      <c r="L4" s="191"/>
    </row>
    <row r="5" spans="1:12" x14ac:dyDescent="0.2">
      <c r="A5" s="188">
        <v>2</v>
      </c>
      <c r="B5" s="189" t="s">
        <v>130</v>
      </c>
      <c r="C5" s="196">
        <v>1</v>
      </c>
      <c r="D5" s="196">
        <v>13</v>
      </c>
      <c r="E5" s="196">
        <v>2</v>
      </c>
      <c r="F5" s="197">
        <v>40869</v>
      </c>
      <c r="G5" s="196"/>
      <c r="I5" s="190" t="s">
        <v>136</v>
      </c>
      <c r="J5" s="192" t="s">
        <v>137</v>
      </c>
      <c r="K5" s="191"/>
      <c r="L5" s="191"/>
    </row>
    <row r="6" spans="1:12" ht="13.5" thickBot="1" x14ac:dyDescent="0.25">
      <c r="A6" s="188">
        <v>3</v>
      </c>
      <c r="B6" s="189" t="s">
        <v>131</v>
      </c>
      <c r="C6" s="196">
        <v>1</v>
      </c>
      <c r="D6" s="196">
        <v>40</v>
      </c>
      <c r="E6" s="196">
        <v>2</v>
      </c>
      <c r="F6" s="197"/>
      <c r="G6" s="196"/>
      <c r="I6" s="193" t="s">
        <v>138</v>
      </c>
      <c r="J6" s="194" t="s">
        <v>139</v>
      </c>
    </row>
    <row r="7" spans="1:12" x14ac:dyDescent="0.2">
      <c r="A7" s="188">
        <v>4</v>
      </c>
      <c r="B7" s="189" t="s">
        <v>132</v>
      </c>
      <c r="C7" s="196">
        <v>3</v>
      </c>
      <c r="D7" s="196"/>
      <c r="E7" s="196">
        <v>3</v>
      </c>
      <c r="F7" s="197"/>
      <c r="G7" s="196"/>
    </row>
    <row r="8" spans="1:12" x14ac:dyDescent="0.2">
      <c r="A8" s="188">
        <v>5</v>
      </c>
      <c r="B8" s="189" t="s">
        <v>134</v>
      </c>
      <c r="C8" s="196">
        <v>3</v>
      </c>
      <c r="D8" s="196"/>
      <c r="E8" s="196">
        <v>3</v>
      </c>
      <c r="F8" s="197"/>
      <c r="G8" s="196"/>
    </row>
    <row r="9" spans="1:12" x14ac:dyDescent="0.2">
      <c r="A9" s="188">
        <v>6</v>
      </c>
      <c r="B9" s="189" t="s">
        <v>133</v>
      </c>
      <c r="C9" s="196">
        <v>4</v>
      </c>
      <c r="D9" s="196"/>
      <c r="E9" s="196">
        <v>4</v>
      </c>
      <c r="F9" s="197"/>
      <c r="G9" s="196"/>
    </row>
    <row r="10" spans="1:12" x14ac:dyDescent="0.2">
      <c r="A10" s="188">
        <v>7</v>
      </c>
      <c r="B10" s="189" t="s">
        <v>612</v>
      </c>
      <c r="C10" s="196">
        <v>4</v>
      </c>
      <c r="D10" s="196"/>
      <c r="E10" s="196">
        <v>4</v>
      </c>
      <c r="F10" s="197"/>
      <c r="G10" s="196"/>
    </row>
    <row r="11" spans="1:12" x14ac:dyDescent="0.2">
      <c r="A11" s="188">
        <v>8</v>
      </c>
      <c r="B11" s="196"/>
      <c r="C11" s="196"/>
      <c r="D11" s="196"/>
      <c r="E11" s="196"/>
      <c r="F11" s="197"/>
      <c r="G11" s="196"/>
    </row>
    <row r="12" spans="1:12" x14ac:dyDescent="0.2">
      <c r="A12" s="188">
        <v>9</v>
      </c>
      <c r="B12" s="196"/>
      <c r="C12" s="196"/>
      <c r="D12" s="196"/>
      <c r="E12" s="196"/>
      <c r="F12" s="197"/>
      <c r="G12" s="196"/>
    </row>
    <row r="13" spans="1:12" x14ac:dyDescent="0.2">
      <c r="A13" s="188">
        <v>10</v>
      </c>
      <c r="B13" s="196"/>
      <c r="C13" s="196"/>
      <c r="D13" s="196"/>
      <c r="E13" s="196"/>
      <c r="F13" s="197"/>
      <c r="G13" s="196"/>
    </row>
    <row r="14" spans="1:12" x14ac:dyDescent="0.2">
      <c r="A14" s="188">
        <v>11</v>
      </c>
      <c r="B14" s="196"/>
      <c r="C14" s="196"/>
      <c r="D14" s="196"/>
      <c r="E14" s="196"/>
      <c r="F14" s="197"/>
      <c r="G14" s="196"/>
    </row>
    <row r="15" spans="1:12" x14ac:dyDescent="0.2">
      <c r="A15" s="188">
        <v>12</v>
      </c>
      <c r="B15" s="196"/>
      <c r="C15" s="196"/>
      <c r="D15" s="196"/>
      <c r="E15" s="196"/>
      <c r="F15" s="197"/>
      <c r="G15" s="196"/>
    </row>
    <row r="16" spans="1:12" x14ac:dyDescent="0.2">
      <c r="A16" s="188">
        <v>13</v>
      </c>
      <c r="B16" s="196"/>
      <c r="C16" s="196"/>
      <c r="D16" s="196"/>
      <c r="E16" s="196"/>
      <c r="F16" s="197"/>
      <c r="G16" s="196"/>
    </row>
    <row r="17" spans="1:7" x14ac:dyDescent="0.2">
      <c r="A17" s="188">
        <v>14</v>
      </c>
      <c r="B17" s="196"/>
      <c r="C17" s="196"/>
      <c r="D17" s="196"/>
      <c r="E17" s="196"/>
      <c r="F17" s="197"/>
      <c r="G17" s="196"/>
    </row>
    <row r="18" spans="1:7" x14ac:dyDescent="0.2">
      <c r="A18" s="188">
        <v>15</v>
      </c>
      <c r="B18" s="196"/>
      <c r="C18" s="196"/>
      <c r="D18" s="196"/>
      <c r="E18" s="196"/>
      <c r="F18" s="197"/>
      <c r="G18" s="196"/>
    </row>
    <row r="19" spans="1:7" x14ac:dyDescent="0.2">
      <c r="A19" s="188">
        <v>16</v>
      </c>
      <c r="B19" s="196"/>
      <c r="C19" s="196"/>
      <c r="D19" s="196"/>
      <c r="E19" s="196"/>
      <c r="F19" s="197"/>
      <c r="G19" s="196"/>
    </row>
    <row r="20" spans="1:7" x14ac:dyDescent="0.2">
      <c r="A20" s="188">
        <v>17</v>
      </c>
      <c r="B20" s="196"/>
      <c r="C20" s="196"/>
      <c r="D20" s="196"/>
      <c r="E20" s="196"/>
      <c r="F20" s="197"/>
      <c r="G20" s="196"/>
    </row>
    <row r="21" spans="1:7" x14ac:dyDescent="0.2">
      <c r="A21" s="188">
        <v>18</v>
      </c>
      <c r="B21" s="196"/>
      <c r="C21" s="196"/>
      <c r="D21" s="196"/>
      <c r="E21" s="196"/>
      <c r="F21" s="197"/>
      <c r="G21" s="196"/>
    </row>
    <row r="22" spans="1:7" x14ac:dyDescent="0.2">
      <c r="A22" s="188">
        <v>19</v>
      </c>
      <c r="B22" s="196"/>
      <c r="C22" s="196"/>
      <c r="D22" s="196"/>
      <c r="E22" s="196"/>
      <c r="F22" s="197"/>
      <c r="G22" s="196"/>
    </row>
    <row r="23" spans="1:7" x14ac:dyDescent="0.2">
      <c r="A23" s="188">
        <v>20</v>
      </c>
      <c r="B23" s="196"/>
      <c r="C23" s="196"/>
      <c r="D23" s="196"/>
      <c r="E23" s="196"/>
      <c r="F23" s="197"/>
      <c r="G23" s="196"/>
    </row>
    <row r="24" spans="1:7" x14ac:dyDescent="0.2">
      <c r="A24" s="188">
        <v>21</v>
      </c>
      <c r="B24" s="196"/>
      <c r="C24" s="196"/>
      <c r="D24" s="196"/>
      <c r="E24" s="196"/>
      <c r="F24" s="197"/>
      <c r="G24" s="196"/>
    </row>
    <row r="25" spans="1:7" x14ac:dyDescent="0.2">
      <c r="A25" s="188">
        <v>22</v>
      </c>
      <c r="B25" s="196"/>
      <c r="C25" s="196"/>
      <c r="D25" s="196"/>
      <c r="E25" s="196"/>
      <c r="F25" s="197"/>
      <c r="G25" s="196"/>
    </row>
    <row r="26" spans="1:7" x14ac:dyDescent="0.2">
      <c r="A26" s="188">
        <v>23</v>
      </c>
      <c r="B26" s="196"/>
      <c r="C26" s="196"/>
      <c r="D26" s="196"/>
      <c r="E26" s="196"/>
      <c r="F26" s="197"/>
      <c r="G26" s="196"/>
    </row>
    <row r="27" spans="1:7" x14ac:dyDescent="0.2">
      <c r="A27" s="188">
        <v>24</v>
      </c>
      <c r="B27" s="196"/>
      <c r="C27" s="196"/>
      <c r="D27" s="196"/>
      <c r="E27" s="196"/>
      <c r="F27" s="197"/>
      <c r="G27" s="196"/>
    </row>
    <row r="28" spans="1:7" x14ac:dyDescent="0.2">
      <c r="A28" s="188">
        <v>25</v>
      </c>
      <c r="B28" s="196"/>
      <c r="C28" s="196"/>
      <c r="D28" s="196"/>
      <c r="E28" s="196"/>
      <c r="F28" s="197"/>
      <c r="G28" s="196"/>
    </row>
    <row r="29" spans="1:7" x14ac:dyDescent="0.2">
      <c r="A29" s="188">
        <v>26</v>
      </c>
      <c r="B29" s="196"/>
      <c r="C29" s="196"/>
      <c r="D29" s="196"/>
      <c r="E29" s="196"/>
      <c r="F29" s="197"/>
      <c r="G29" s="196"/>
    </row>
    <row r="30" spans="1:7" x14ac:dyDescent="0.2">
      <c r="A30" s="188">
        <v>27</v>
      </c>
      <c r="B30" s="196"/>
      <c r="C30" s="196"/>
      <c r="D30" s="196"/>
      <c r="E30" s="196"/>
      <c r="F30" s="197"/>
      <c r="G30" s="196"/>
    </row>
    <row r="31" spans="1:7" x14ac:dyDescent="0.2">
      <c r="A31" s="188">
        <v>28</v>
      </c>
      <c r="B31" s="196"/>
      <c r="C31" s="196"/>
      <c r="D31" s="196"/>
      <c r="E31" s="196"/>
      <c r="F31" s="197"/>
      <c r="G31" s="196"/>
    </row>
    <row r="32" spans="1:7" x14ac:dyDescent="0.2">
      <c r="A32" s="188">
        <v>29</v>
      </c>
      <c r="B32" s="196"/>
      <c r="C32" s="196"/>
      <c r="D32" s="196"/>
      <c r="E32" s="196"/>
      <c r="F32" s="197"/>
      <c r="G32" s="196"/>
    </row>
    <row r="33" spans="1:7" x14ac:dyDescent="0.2">
      <c r="A33" s="188">
        <v>30</v>
      </c>
      <c r="B33" s="196"/>
      <c r="C33" s="196"/>
      <c r="D33" s="196"/>
      <c r="E33" s="196"/>
      <c r="F33" s="197"/>
      <c r="G33" s="196"/>
    </row>
    <row r="34" spans="1:7" x14ac:dyDescent="0.2">
      <c r="A34" s="188">
        <v>31</v>
      </c>
      <c r="B34" s="196"/>
      <c r="C34" s="196"/>
      <c r="D34" s="196"/>
      <c r="E34" s="196"/>
      <c r="F34" s="197"/>
      <c r="G34" s="196"/>
    </row>
    <row r="35" spans="1:7" x14ac:dyDescent="0.2">
      <c r="A35" s="188">
        <v>32</v>
      </c>
      <c r="B35" s="196"/>
      <c r="C35" s="196"/>
      <c r="D35" s="196"/>
      <c r="E35" s="196"/>
      <c r="F35" s="197"/>
      <c r="G35" s="196"/>
    </row>
    <row r="36" spans="1:7" x14ac:dyDescent="0.2">
      <c r="A36" s="188">
        <v>33</v>
      </c>
      <c r="B36" s="196"/>
      <c r="C36" s="196"/>
      <c r="D36" s="196"/>
      <c r="E36" s="196"/>
      <c r="F36" s="197"/>
      <c r="G36" s="196"/>
    </row>
    <row r="37" spans="1:7" x14ac:dyDescent="0.2">
      <c r="A37" s="188">
        <v>34</v>
      </c>
      <c r="B37" s="196"/>
      <c r="C37" s="196"/>
      <c r="D37" s="196"/>
      <c r="E37" s="196"/>
      <c r="F37" s="197"/>
      <c r="G37" s="196"/>
    </row>
    <row r="38" spans="1:7" x14ac:dyDescent="0.2">
      <c r="A38" s="188">
        <v>35</v>
      </c>
      <c r="B38" s="196"/>
      <c r="C38" s="196"/>
      <c r="D38" s="196"/>
      <c r="E38" s="196"/>
      <c r="F38" s="197"/>
      <c r="G38" s="196"/>
    </row>
    <row r="39" spans="1:7" x14ac:dyDescent="0.2">
      <c r="A39" s="188">
        <v>36</v>
      </c>
      <c r="B39" s="196"/>
      <c r="C39" s="196"/>
      <c r="D39" s="196"/>
      <c r="E39" s="196"/>
      <c r="F39" s="197"/>
      <c r="G39" s="196"/>
    </row>
    <row r="40" spans="1:7" x14ac:dyDescent="0.2">
      <c r="A40" s="188">
        <v>37</v>
      </c>
      <c r="B40" s="196"/>
      <c r="C40" s="196"/>
      <c r="D40" s="196"/>
      <c r="E40" s="196"/>
      <c r="F40" s="197"/>
      <c r="G40" s="196"/>
    </row>
    <row r="41" spans="1:7" x14ac:dyDescent="0.2">
      <c r="A41" s="188">
        <v>38</v>
      </c>
      <c r="B41" s="196"/>
      <c r="C41" s="196"/>
      <c r="D41" s="196"/>
      <c r="E41" s="196"/>
      <c r="F41" s="197"/>
      <c r="G41" s="196"/>
    </row>
    <row r="42" spans="1:7" x14ac:dyDescent="0.2">
      <c r="A42" s="188">
        <v>39</v>
      </c>
      <c r="B42" s="196"/>
      <c r="C42" s="196"/>
      <c r="D42" s="196"/>
      <c r="E42" s="196"/>
      <c r="F42" s="197"/>
      <c r="G42" s="196"/>
    </row>
    <row r="43" spans="1:7" x14ac:dyDescent="0.2">
      <c r="A43" s="188">
        <v>40</v>
      </c>
      <c r="B43" s="196"/>
      <c r="C43" s="196"/>
      <c r="D43" s="196"/>
      <c r="E43" s="196"/>
      <c r="F43" s="197"/>
      <c r="G43" s="196"/>
    </row>
    <row r="44" spans="1:7" x14ac:dyDescent="0.2">
      <c r="A44" s="188">
        <v>41</v>
      </c>
      <c r="B44" s="196"/>
      <c r="C44" s="196"/>
      <c r="D44" s="196"/>
      <c r="E44" s="196"/>
      <c r="F44" s="197"/>
      <c r="G44" s="196"/>
    </row>
    <row r="45" spans="1:7" x14ac:dyDescent="0.2">
      <c r="A45" s="188">
        <v>42</v>
      </c>
      <c r="B45" s="196"/>
      <c r="C45" s="196"/>
      <c r="D45" s="196"/>
      <c r="E45" s="196"/>
      <c r="F45" s="197"/>
      <c r="G45" s="196"/>
    </row>
    <row r="46" spans="1:7" x14ac:dyDescent="0.2">
      <c r="A46" s="188">
        <v>43</v>
      </c>
      <c r="B46" s="196"/>
      <c r="C46" s="196"/>
      <c r="D46" s="196"/>
      <c r="E46" s="196"/>
      <c r="F46" s="197"/>
      <c r="G46" s="196"/>
    </row>
    <row r="47" spans="1:7" x14ac:dyDescent="0.2">
      <c r="A47" s="188">
        <v>44</v>
      </c>
      <c r="B47" s="196"/>
      <c r="C47" s="196"/>
      <c r="D47" s="196"/>
      <c r="E47" s="196"/>
      <c r="F47" s="197"/>
      <c r="G47" s="196"/>
    </row>
    <row r="48" spans="1:7" x14ac:dyDescent="0.2">
      <c r="A48" s="188">
        <v>45</v>
      </c>
      <c r="B48" s="196"/>
      <c r="C48" s="196"/>
      <c r="D48" s="196"/>
      <c r="E48" s="196"/>
      <c r="F48" s="197"/>
      <c r="G48" s="196"/>
    </row>
    <row r="49" spans="1:7" x14ac:dyDescent="0.2">
      <c r="A49" s="188">
        <v>46</v>
      </c>
      <c r="B49" s="196"/>
      <c r="C49" s="196"/>
      <c r="D49" s="196"/>
      <c r="E49" s="196"/>
      <c r="F49" s="197"/>
      <c r="G49" s="196"/>
    </row>
    <row r="50" spans="1:7" x14ac:dyDescent="0.2">
      <c r="A50" s="188">
        <v>47</v>
      </c>
      <c r="B50" s="196"/>
      <c r="C50" s="196"/>
      <c r="D50" s="196"/>
      <c r="E50" s="196"/>
      <c r="F50" s="197"/>
      <c r="G50" s="196"/>
    </row>
    <row r="51" spans="1:7" x14ac:dyDescent="0.2">
      <c r="A51" s="188">
        <v>48</v>
      </c>
      <c r="B51" s="196"/>
      <c r="C51" s="196"/>
      <c r="D51" s="196"/>
      <c r="E51" s="196"/>
      <c r="F51" s="197"/>
      <c r="G51" s="196"/>
    </row>
    <row r="52" spans="1:7" x14ac:dyDescent="0.2">
      <c r="A52" s="188">
        <v>49</v>
      </c>
      <c r="B52" s="196"/>
      <c r="C52" s="196"/>
      <c r="D52" s="196"/>
      <c r="E52" s="196"/>
      <c r="F52" s="197"/>
      <c r="G52" s="196"/>
    </row>
    <row r="53" spans="1:7" x14ac:dyDescent="0.2">
      <c r="A53" s="188">
        <v>50</v>
      </c>
      <c r="B53" s="196"/>
      <c r="C53" s="196"/>
      <c r="D53" s="196"/>
      <c r="E53" s="196"/>
      <c r="F53" s="197"/>
      <c r="G53" s="196"/>
    </row>
    <row r="54" spans="1:7" x14ac:dyDescent="0.2">
      <c r="A54" s="188">
        <v>51</v>
      </c>
      <c r="B54" s="196"/>
      <c r="C54" s="196"/>
      <c r="D54" s="196"/>
      <c r="E54" s="196"/>
      <c r="F54" s="197"/>
      <c r="G54" s="196"/>
    </row>
    <row r="55" spans="1:7" x14ac:dyDescent="0.2">
      <c r="A55" s="188">
        <v>52</v>
      </c>
      <c r="B55" s="196"/>
      <c r="C55" s="196"/>
      <c r="D55" s="196"/>
      <c r="E55" s="196"/>
      <c r="F55" s="197"/>
      <c r="G55" s="196"/>
    </row>
    <row r="56" spans="1:7" x14ac:dyDescent="0.2">
      <c r="A56" s="188">
        <v>53</v>
      </c>
      <c r="B56" s="196"/>
      <c r="C56" s="196"/>
      <c r="D56" s="196"/>
      <c r="E56" s="196"/>
      <c r="F56" s="197"/>
      <c r="G56" s="196"/>
    </row>
    <row r="57" spans="1:7" x14ac:dyDescent="0.2">
      <c r="A57" s="188">
        <v>54</v>
      </c>
      <c r="B57" s="196"/>
      <c r="C57" s="196"/>
      <c r="D57" s="196"/>
      <c r="E57" s="196"/>
      <c r="F57" s="197"/>
      <c r="G57" s="196"/>
    </row>
    <row r="58" spans="1:7" x14ac:dyDescent="0.2">
      <c r="A58" s="188">
        <v>55</v>
      </c>
      <c r="B58" s="196"/>
      <c r="C58" s="196"/>
      <c r="D58" s="196"/>
      <c r="E58" s="196"/>
      <c r="F58" s="197"/>
      <c r="G58" s="196"/>
    </row>
    <row r="59" spans="1:7" x14ac:dyDescent="0.2">
      <c r="A59" s="188">
        <v>56</v>
      </c>
      <c r="B59" s="196"/>
      <c r="C59" s="196"/>
      <c r="D59" s="196"/>
      <c r="E59" s="196"/>
      <c r="F59" s="197"/>
      <c r="G59" s="196"/>
    </row>
    <row r="60" spans="1:7" x14ac:dyDescent="0.2">
      <c r="A60" s="188">
        <v>57</v>
      </c>
      <c r="B60" s="196"/>
      <c r="C60" s="196"/>
      <c r="D60" s="196"/>
      <c r="E60" s="196"/>
      <c r="F60" s="197"/>
      <c r="G60" s="196"/>
    </row>
    <row r="61" spans="1:7" x14ac:dyDescent="0.2">
      <c r="A61" s="188">
        <v>58</v>
      </c>
      <c r="B61" s="196"/>
      <c r="C61" s="196"/>
      <c r="D61" s="196"/>
      <c r="E61" s="196"/>
      <c r="F61" s="197"/>
      <c r="G61" s="196"/>
    </row>
    <row r="62" spans="1:7" x14ac:dyDescent="0.2">
      <c r="A62" s="188">
        <v>59</v>
      </c>
      <c r="B62" s="196"/>
      <c r="C62" s="196"/>
      <c r="D62" s="196"/>
      <c r="E62" s="196"/>
      <c r="F62" s="197"/>
      <c r="G62" s="196"/>
    </row>
    <row r="63" spans="1:7" x14ac:dyDescent="0.2">
      <c r="A63" s="188">
        <v>60</v>
      </c>
      <c r="B63" s="196"/>
      <c r="C63" s="196"/>
      <c r="D63" s="196"/>
      <c r="E63" s="196"/>
      <c r="F63" s="197"/>
      <c r="G63" s="196"/>
    </row>
    <row r="64" spans="1:7" x14ac:dyDescent="0.2">
      <c r="A64" s="188">
        <v>61</v>
      </c>
      <c r="B64" s="196"/>
      <c r="C64" s="196"/>
      <c r="D64" s="196"/>
      <c r="E64" s="196"/>
      <c r="F64" s="197"/>
      <c r="G64" s="196"/>
    </row>
    <row r="65" spans="1:7" x14ac:dyDescent="0.2">
      <c r="A65" s="188">
        <v>62</v>
      </c>
      <c r="B65" s="196"/>
      <c r="C65" s="196"/>
      <c r="D65" s="196"/>
      <c r="E65" s="196"/>
      <c r="F65" s="197"/>
      <c r="G65" s="196"/>
    </row>
    <row r="66" spans="1:7" x14ac:dyDescent="0.2">
      <c r="A66" s="188">
        <v>63</v>
      </c>
      <c r="B66" s="196"/>
      <c r="C66" s="196"/>
      <c r="D66" s="196"/>
      <c r="E66" s="196"/>
      <c r="F66" s="197"/>
      <c r="G66" s="196"/>
    </row>
    <row r="67" spans="1:7" x14ac:dyDescent="0.2">
      <c r="A67" s="188">
        <v>64</v>
      </c>
      <c r="B67" s="196"/>
      <c r="C67" s="196"/>
      <c r="D67" s="196"/>
      <c r="E67" s="196"/>
      <c r="F67" s="197"/>
      <c r="G67" s="196"/>
    </row>
    <row r="68" spans="1:7" x14ac:dyDescent="0.2">
      <c r="A68" s="188">
        <v>65</v>
      </c>
      <c r="B68" s="196"/>
      <c r="C68" s="196"/>
      <c r="D68" s="196"/>
      <c r="E68" s="196"/>
      <c r="F68" s="197"/>
      <c r="G68" s="196"/>
    </row>
    <row r="69" spans="1:7" x14ac:dyDescent="0.2">
      <c r="A69" s="188">
        <v>66</v>
      </c>
      <c r="B69" s="196"/>
      <c r="C69" s="196"/>
      <c r="D69" s="196"/>
      <c r="E69" s="196"/>
      <c r="F69" s="197"/>
      <c r="G69" s="196"/>
    </row>
    <row r="70" spans="1:7" x14ac:dyDescent="0.2">
      <c r="A70" s="188">
        <v>67</v>
      </c>
      <c r="B70" s="196"/>
      <c r="C70" s="196"/>
      <c r="D70" s="196"/>
      <c r="E70" s="196"/>
      <c r="F70" s="197"/>
      <c r="G70" s="196"/>
    </row>
    <row r="71" spans="1:7" x14ac:dyDescent="0.2">
      <c r="A71" s="188">
        <v>68</v>
      </c>
      <c r="B71" s="196"/>
      <c r="C71" s="196"/>
      <c r="D71" s="196"/>
      <c r="E71" s="196"/>
      <c r="F71" s="197"/>
      <c r="G71" s="196"/>
    </row>
    <row r="72" spans="1:7" x14ac:dyDescent="0.2">
      <c r="A72" s="188">
        <v>69</v>
      </c>
      <c r="B72" s="196"/>
      <c r="C72" s="196"/>
      <c r="D72" s="196"/>
      <c r="E72" s="196"/>
      <c r="F72" s="197"/>
      <c r="G72" s="196"/>
    </row>
    <row r="73" spans="1:7" x14ac:dyDescent="0.2">
      <c r="A73" s="188">
        <v>70</v>
      </c>
      <c r="B73" s="196"/>
      <c r="C73" s="196"/>
      <c r="D73" s="196"/>
      <c r="E73" s="196"/>
      <c r="F73" s="197"/>
      <c r="G73" s="196"/>
    </row>
    <row r="74" spans="1:7" x14ac:dyDescent="0.2">
      <c r="A74" s="188">
        <v>71</v>
      </c>
      <c r="B74" s="196"/>
      <c r="C74" s="196"/>
      <c r="D74" s="196"/>
      <c r="E74" s="196"/>
      <c r="F74" s="197"/>
      <c r="G74" s="196"/>
    </row>
    <row r="75" spans="1:7" x14ac:dyDescent="0.2">
      <c r="A75" s="188">
        <v>72</v>
      </c>
      <c r="B75" s="196"/>
      <c r="C75" s="196"/>
      <c r="D75" s="196"/>
      <c r="E75" s="196"/>
      <c r="F75" s="197"/>
      <c r="G75" s="196"/>
    </row>
    <row r="76" spans="1:7" x14ac:dyDescent="0.2">
      <c r="A76" s="188">
        <v>73</v>
      </c>
      <c r="B76" s="196"/>
      <c r="C76" s="196"/>
      <c r="D76" s="196"/>
      <c r="E76" s="196"/>
      <c r="F76" s="197"/>
      <c r="G76" s="196"/>
    </row>
    <row r="77" spans="1:7" x14ac:dyDescent="0.2">
      <c r="A77" s="188">
        <v>74</v>
      </c>
      <c r="B77" s="196"/>
      <c r="C77" s="196"/>
      <c r="D77" s="196"/>
      <c r="E77" s="196"/>
      <c r="F77" s="197"/>
      <c r="G77" s="196"/>
    </row>
    <row r="78" spans="1:7" x14ac:dyDescent="0.2">
      <c r="A78" s="188">
        <v>75</v>
      </c>
      <c r="B78" s="196"/>
      <c r="C78" s="196"/>
      <c r="D78" s="196"/>
      <c r="E78" s="196"/>
      <c r="F78" s="197"/>
      <c r="G78" s="196"/>
    </row>
    <row r="79" spans="1:7" x14ac:dyDescent="0.2">
      <c r="A79" s="188">
        <v>76</v>
      </c>
      <c r="B79" s="196"/>
      <c r="C79" s="196"/>
      <c r="D79" s="196"/>
      <c r="E79" s="196"/>
      <c r="F79" s="197"/>
      <c r="G79" s="196"/>
    </row>
    <row r="80" spans="1:7" x14ac:dyDescent="0.2">
      <c r="A80" s="188">
        <v>77</v>
      </c>
      <c r="B80" s="196"/>
      <c r="C80" s="196"/>
      <c r="D80" s="196"/>
      <c r="E80" s="196"/>
      <c r="F80" s="197"/>
      <c r="G80" s="196"/>
    </row>
    <row r="81" spans="1:7" x14ac:dyDescent="0.2">
      <c r="A81" s="188">
        <v>78</v>
      </c>
      <c r="B81" s="196"/>
      <c r="C81" s="196"/>
      <c r="D81" s="196"/>
      <c r="E81" s="196"/>
      <c r="F81" s="197"/>
      <c r="G81" s="196"/>
    </row>
    <row r="82" spans="1:7" x14ac:dyDescent="0.2">
      <c r="A82" s="188">
        <v>79</v>
      </c>
      <c r="B82" s="196"/>
      <c r="C82" s="196"/>
      <c r="D82" s="196"/>
      <c r="E82" s="196"/>
      <c r="F82" s="197"/>
      <c r="G82" s="196"/>
    </row>
    <row r="83" spans="1:7" x14ac:dyDescent="0.2">
      <c r="A83" s="188">
        <v>80</v>
      </c>
      <c r="B83" s="196"/>
      <c r="C83" s="196"/>
      <c r="D83" s="196"/>
      <c r="E83" s="196"/>
      <c r="F83" s="197"/>
      <c r="G83" s="196"/>
    </row>
    <row r="84" spans="1:7" x14ac:dyDescent="0.2">
      <c r="A84" s="188">
        <v>81</v>
      </c>
      <c r="B84" s="196"/>
      <c r="C84" s="196"/>
      <c r="D84" s="196"/>
      <c r="E84" s="196"/>
      <c r="F84" s="197"/>
      <c r="G84" s="196"/>
    </row>
    <row r="85" spans="1:7" x14ac:dyDescent="0.2">
      <c r="A85" s="188">
        <v>82</v>
      </c>
      <c r="B85" s="196"/>
      <c r="C85" s="196"/>
      <c r="D85" s="196"/>
      <c r="E85" s="196"/>
      <c r="F85" s="197"/>
      <c r="G85" s="196"/>
    </row>
    <row r="86" spans="1:7" x14ac:dyDescent="0.2">
      <c r="A86" s="188">
        <v>83</v>
      </c>
      <c r="B86" s="196"/>
      <c r="C86" s="196"/>
      <c r="D86" s="196"/>
      <c r="E86" s="196"/>
      <c r="F86" s="197"/>
      <c r="G86" s="196"/>
    </row>
    <row r="87" spans="1:7" x14ac:dyDescent="0.2">
      <c r="A87" s="188">
        <v>84</v>
      </c>
      <c r="B87" s="196"/>
      <c r="C87" s="196"/>
      <c r="D87" s="196"/>
      <c r="E87" s="196"/>
      <c r="F87" s="197"/>
      <c r="G87" s="196"/>
    </row>
    <row r="88" spans="1:7" x14ac:dyDescent="0.2">
      <c r="A88" s="188">
        <v>85</v>
      </c>
      <c r="B88" s="196"/>
      <c r="C88" s="196"/>
      <c r="D88" s="196"/>
      <c r="E88" s="196"/>
      <c r="F88" s="197"/>
      <c r="G88" s="196"/>
    </row>
    <row r="89" spans="1:7" x14ac:dyDescent="0.2">
      <c r="A89" s="188">
        <v>86</v>
      </c>
      <c r="B89" s="196"/>
      <c r="C89" s="196"/>
      <c r="D89" s="196"/>
      <c r="E89" s="196"/>
      <c r="F89" s="197"/>
      <c r="G89" s="196"/>
    </row>
    <row r="90" spans="1:7" x14ac:dyDescent="0.2">
      <c r="A90" s="188">
        <v>87</v>
      </c>
      <c r="B90" s="196"/>
      <c r="C90" s="196"/>
      <c r="D90" s="196"/>
      <c r="E90" s="196"/>
      <c r="F90" s="197"/>
      <c r="G90" s="196"/>
    </row>
    <row r="91" spans="1:7" x14ac:dyDescent="0.2">
      <c r="A91" s="188">
        <v>88</v>
      </c>
      <c r="B91" s="196"/>
      <c r="C91" s="196"/>
      <c r="D91" s="196"/>
      <c r="E91" s="196"/>
      <c r="F91" s="197"/>
      <c r="G91" s="196"/>
    </row>
    <row r="92" spans="1:7" x14ac:dyDescent="0.2">
      <c r="A92" s="188">
        <v>89</v>
      </c>
      <c r="B92" s="196"/>
      <c r="C92" s="196"/>
      <c r="D92" s="196"/>
      <c r="E92" s="196"/>
      <c r="F92" s="197"/>
      <c r="G92" s="196"/>
    </row>
    <row r="93" spans="1:7" x14ac:dyDescent="0.2">
      <c r="A93" s="188">
        <v>90</v>
      </c>
      <c r="B93" s="196"/>
      <c r="C93" s="196"/>
      <c r="D93" s="196"/>
      <c r="E93" s="196"/>
      <c r="F93" s="197"/>
      <c r="G93" s="196"/>
    </row>
    <row r="94" spans="1:7" x14ac:dyDescent="0.2">
      <c r="A94" s="188">
        <v>91</v>
      </c>
      <c r="B94" s="196"/>
      <c r="C94" s="196"/>
      <c r="D94" s="196"/>
      <c r="E94" s="196"/>
      <c r="F94" s="197"/>
      <c r="G94" s="196"/>
    </row>
    <row r="95" spans="1:7" x14ac:dyDescent="0.2">
      <c r="A95" s="188">
        <v>92</v>
      </c>
      <c r="B95" s="196"/>
      <c r="C95" s="196"/>
      <c r="D95" s="196"/>
      <c r="E95" s="196"/>
      <c r="F95" s="197"/>
      <c r="G95" s="196"/>
    </row>
    <row r="96" spans="1:7" x14ac:dyDescent="0.2">
      <c r="A96" s="188">
        <v>93</v>
      </c>
      <c r="B96" s="196"/>
      <c r="C96" s="196"/>
      <c r="D96" s="196"/>
      <c r="E96" s="196"/>
      <c r="F96" s="197"/>
      <c r="G96" s="196"/>
    </row>
    <row r="97" spans="1:7" x14ac:dyDescent="0.2">
      <c r="A97" s="188">
        <v>94</v>
      </c>
      <c r="B97" s="196"/>
      <c r="C97" s="196"/>
      <c r="D97" s="196"/>
      <c r="E97" s="196"/>
      <c r="F97" s="197"/>
      <c r="G97" s="196"/>
    </row>
    <row r="98" spans="1:7" x14ac:dyDescent="0.2">
      <c r="A98" s="188">
        <v>95</v>
      </c>
      <c r="B98" s="196"/>
      <c r="C98" s="196"/>
      <c r="D98" s="196"/>
      <c r="E98" s="196"/>
      <c r="F98" s="197"/>
      <c r="G98" s="196"/>
    </row>
    <row r="99" spans="1:7" x14ac:dyDescent="0.2">
      <c r="A99" s="188">
        <v>96</v>
      </c>
      <c r="B99" s="196"/>
      <c r="C99" s="196"/>
      <c r="D99" s="196"/>
      <c r="E99" s="196"/>
      <c r="F99" s="197"/>
      <c r="G99" s="196"/>
    </row>
    <row r="100" spans="1:7" x14ac:dyDescent="0.2">
      <c r="A100" s="188">
        <v>97</v>
      </c>
      <c r="B100" s="196"/>
      <c r="C100" s="196"/>
      <c r="D100" s="196"/>
      <c r="E100" s="196"/>
      <c r="F100" s="197"/>
      <c r="G100" s="196"/>
    </row>
    <row r="101" spans="1:7" x14ac:dyDescent="0.2">
      <c r="A101" s="188">
        <v>98</v>
      </c>
      <c r="B101" s="196"/>
      <c r="C101" s="196"/>
      <c r="D101" s="196"/>
      <c r="E101" s="196"/>
      <c r="F101" s="197"/>
      <c r="G101" s="196"/>
    </row>
    <row r="102" spans="1:7" x14ac:dyDescent="0.2">
      <c r="A102" s="188">
        <v>99</v>
      </c>
      <c r="B102" s="196"/>
      <c r="C102" s="196"/>
      <c r="D102" s="196"/>
      <c r="E102" s="196"/>
      <c r="F102" s="197"/>
      <c r="G102" s="196"/>
    </row>
    <row r="103" spans="1:7" x14ac:dyDescent="0.2">
      <c r="A103" s="188">
        <v>100</v>
      </c>
      <c r="B103" s="196"/>
      <c r="C103" s="196"/>
      <c r="D103" s="196"/>
      <c r="E103" s="196"/>
      <c r="F103" s="197"/>
      <c r="G103" s="196"/>
    </row>
    <row r="104" spans="1:7" x14ac:dyDescent="0.2">
      <c r="A104" s="188">
        <v>101</v>
      </c>
      <c r="B104" s="196"/>
      <c r="C104" s="196"/>
      <c r="D104" s="196"/>
      <c r="E104" s="196"/>
      <c r="F104" s="197"/>
      <c r="G104" s="196"/>
    </row>
    <row r="105" spans="1:7" x14ac:dyDescent="0.2">
      <c r="A105" s="188">
        <v>102</v>
      </c>
      <c r="B105" s="196"/>
      <c r="C105" s="196"/>
      <c r="D105" s="196"/>
      <c r="E105" s="196"/>
      <c r="F105" s="197"/>
      <c r="G105" s="196"/>
    </row>
    <row r="106" spans="1:7" x14ac:dyDescent="0.2">
      <c r="A106" s="188">
        <v>103</v>
      </c>
      <c r="B106" s="196"/>
      <c r="C106" s="196"/>
      <c r="D106" s="196"/>
      <c r="E106" s="196"/>
      <c r="F106" s="197"/>
      <c r="G106" s="196"/>
    </row>
    <row r="107" spans="1:7" x14ac:dyDescent="0.2">
      <c r="A107" s="188">
        <v>104</v>
      </c>
      <c r="B107" s="196"/>
      <c r="C107" s="196"/>
      <c r="D107" s="196"/>
      <c r="E107" s="196"/>
      <c r="F107" s="197"/>
      <c r="G107" s="196"/>
    </row>
    <row r="108" spans="1:7" x14ac:dyDescent="0.2">
      <c r="A108" s="188">
        <v>105</v>
      </c>
      <c r="B108" s="196"/>
      <c r="C108" s="196"/>
      <c r="D108" s="196"/>
      <c r="E108" s="196"/>
      <c r="F108" s="197"/>
      <c r="G108" s="196"/>
    </row>
    <row r="109" spans="1:7" x14ac:dyDescent="0.2">
      <c r="A109" s="188">
        <v>106</v>
      </c>
      <c r="B109" s="196"/>
      <c r="C109" s="196"/>
      <c r="D109" s="196"/>
      <c r="E109" s="196"/>
      <c r="F109" s="197"/>
      <c r="G109" s="196"/>
    </row>
    <row r="110" spans="1:7" x14ac:dyDescent="0.2">
      <c r="A110" s="188">
        <v>107</v>
      </c>
      <c r="B110" s="196" t="s">
        <v>596</v>
      </c>
      <c r="C110" s="196"/>
      <c r="D110" s="196"/>
      <c r="E110" s="196"/>
      <c r="F110" s="197"/>
      <c r="G110" s="196"/>
    </row>
    <row r="111" spans="1:7" x14ac:dyDescent="0.2">
      <c r="A111" s="188">
        <v>108</v>
      </c>
      <c r="B111" s="196" t="s">
        <v>595</v>
      </c>
      <c r="C111" s="196"/>
      <c r="D111" s="196"/>
      <c r="E111" s="196"/>
      <c r="F111" s="197"/>
      <c r="G111" s="196"/>
    </row>
    <row r="112" spans="1:7" x14ac:dyDescent="0.2">
      <c r="A112" s="188">
        <v>109</v>
      </c>
      <c r="B112" s="196" t="s">
        <v>594</v>
      </c>
      <c r="C112" s="196"/>
      <c r="D112" s="196"/>
      <c r="E112" s="196"/>
      <c r="F112" s="197"/>
      <c r="G112" s="196"/>
    </row>
    <row r="113" spans="1:7" x14ac:dyDescent="0.2">
      <c r="A113" s="188">
        <v>110</v>
      </c>
      <c r="B113" s="196" t="s">
        <v>593</v>
      </c>
      <c r="C113" s="196"/>
      <c r="D113" s="196"/>
      <c r="E113" s="196"/>
      <c r="F113" s="197"/>
      <c r="G113" s="196"/>
    </row>
    <row r="114" spans="1:7" x14ac:dyDescent="0.2">
      <c r="A114" s="188">
        <v>111</v>
      </c>
      <c r="B114" s="196" t="s">
        <v>592</v>
      </c>
      <c r="C114" s="196"/>
      <c r="D114" s="196"/>
      <c r="E114" s="196"/>
      <c r="F114" s="197"/>
      <c r="G114" s="196"/>
    </row>
    <row r="115" spans="1:7" x14ac:dyDescent="0.2">
      <c r="A115" s="188">
        <v>112</v>
      </c>
      <c r="B115" s="196" t="s">
        <v>591</v>
      </c>
      <c r="C115" s="196"/>
      <c r="D115" s="196"/>
      <c r="E115" s="196"/>
      <c r="F115" s="197"/>
      <c r="G115" s="196"/>
    </row>
    <row r="116" spans="1:7" x14ac:dyDescent="0.2">
      <c r="A116" s="188">
        <v>113</v>
      </c>
      <c r="B116" s="196" t="s">
        <v>590</v>
      </c>
      <c r="C116" s="196"/>
      <c r="D116" s="196"/>
      <c r="E116" s="196"/>
      <c r="F116" s="197"/>
      <c r="G116" s="196"/>
    </row>
    <row r="117" spans="1:7" x14ac:dyDescent="0.2">
      <c r="A117" s="188">
        <v>114</v>
      </c>
      <c r="B117" s="196" t="s">
        <v>589</v>
      </c>
      <c r="C117" s="196"/>
      <c r="D117" s="196"/>
      <c r="E117" s="196"/>
      <c r="F117" s="197"/>
      <c r="G117" s="196"/>
    </row>
    <row r="118" spans="1:7" x14ac:dyDescent="0.2">
      <c r="A118" s="188">
        <v>115</v>
      </c>
      <c r="B118" s="196" t="s">
        <v>588</v>
      </c>
      <c r="C118" s="196"/>
      <c r="D118" s="196"/>
      <c r="E118" s="196"/>
      <c r="F118" s="197"/>
      <c r="G118" s="196"/>
    </row>
    <row r="119" spans="1:7" x14ac:dyDescent="0.2">
      <c r="A119" s="188">
        <v>116</v>
      </c>
      <c r="B119" s="196" t="s">
        <v>587</v>
      </c>
      <c r="C119" s="196"/>
      <c r="D119" s="196"/>
      <c r="E119" s="196"/>
      <c r="F119" s="197"/>
      <c r="G119" s="196"/>
    </row>
    <row r="120" spans="1:7" x14ac:dyDescent="0.2">
      <c r="A120" s="188">
        <v>117</v>
      </c>
      <c r="B120" s="196" t="s">
        <v>586</v>
      </c>
      <c r="C120" s="196"/>
      <c r="D120" s="196"/>
      <c r="E120" s="196"/>
      <c r="F120" s="197"/>
      <c r="G120" s="196"/>
    </row>
    <row r="121" spans="1:7" x14ac:dyDescent="0.2">
      <c r="A121" s="188">
        <v>118</v>
      </c>
      <c r="B121" s="196" t="s">
        <v>585</v>
      </c>
      <c r="C121" s="196"/>
      <c r="D121" s="196"/>
      <c r="E121" s="196"/>
      <c r="F121" s="197"/>
      <c r="G121" s="196"/>
    </row>
    <row r="122" spans="1:7" x14ac:dyDescent="0.2">
      <c r="A122" s="188">
        <v>119</v>
      </c>
      <c r="B122" s="196" t="s">
        <v>584</v>
      </c>
      <c r="C122" s="196"/>
      <c r="D122" s="196"/>
      <c r="E122" s="196"/>
      <c r="F122" s="197"/>
      <c r="G122" s="196"/>
    </row>
    <row r="123" spans="1:7" x14ac:dyDescent="0.2">
      <c r="A123" s="188">
        <v>120</v>
      </c>
      <c r="B123" s="196" t="s">
        <v>583</v>
      </c>
      <c r="C123" s="196"/>
      <c r="D123" s="196"/>
      <c r="E123" s="196"/>
      <c r="F123" s="197"/>
      <c r="G123" s="196"/>
    </row>
    <row r="124" spans="1:7" x14ac:dyDescent="0.2">
      <c r="A124" s="188">
        <v>121</v>
      </c>
      <c r="B124" s="196" t="s">
        <v>582</v>
      </c>
      <c r="C124" s="196"/>
      <c r="D124" s="196"/>
      <c r="E124" s="196"/>
      <c r="F124" s="197"/>
      <c r="G124" s="196"/>
    </row>
    <row r="125" spans="1:7" x14ac:dyDescent="0.2">
      <c r="A125" s="188">
        <v>122</v>
      </c>
      <c r="B125" s="196" t="s">
        <v>581</v>
      </c>
      <c r="C125" s="196"/>
      <c r="D125" s="196"/>
      <c r="E125" s="196"/>
      <c r="F125" s="197"/>
      <c r="G125" s="196"/>
    </row>
    <row r="126" spans="1:7" x14ac:dyDescent="0.2">
      <c r="A126" s="188">
        <v>123</v>
      </c>
      <c r="B126" s="196" t="s">
        <v>580</v>
      </c>
      <c r="C126" s="196"/>
      <c r="D126" s="196"/>
      <c r="E126" s="196"/>
      <c r="F126" s="197"/>
      <c r="G126" s="196"/>
    </row>
    <row r="127" spans="1:7" x14ac:dyDescent="0.2">
      <c r="A127" s="188">
        <v>124</v>
      </c>
      <c r="B127" s="196" t="s">
        <v>579</v>
      </c>
      <c r="C127" s="196"/>
      <c r="D127" s="196"/>
      <c r="E127" s="196"/>
      <c r="F127" s="197"/>
      <c r="G127" s="196"/>
    </row>
    <row r="128" spans="1:7" x14ac:dyDescent="0.2">
      <c r="A128" s="188">
        <v>125</v>
      </c>
      <c r="B128" s="196" t="s">
        <v>578</v>
      </c>
      <c r="C128" s="196"/>
      <c r="D128" s="196"/>
      <c r="E128" s="196"/>
      <c r="F128" s="197"/>
      <c r="G128" s="196"/>
    </row>
    <row r="129" spans="1:7" x14ac:dyDescent="0.2">
      <c r="A129" s="188">
        <v>126</v>
      </c>
      <c r="B129" s="196" t="s">
        <v>577</v>
      </c>
      <c r="C129" s="196"/>
      <c r="D129" s="196"/>
      <c r="E129" s="196"/>
      <c r="F129" s="197"/>
      <c r="G129" s="196"/>
    </row>
    <row r="130" spans="1:7" x14ac:dyDescent="0.2">
      <c r="A130" s="188">
        <v>127</v>
      </c>
      <c r="B130" s="196" t="s">
        <v>576</v>
      </c>
      <c r="C130" s="196"/>
      <c r="D130" s="196"/>
      <c r="E130" s="196"/>
      <c r="F130" s="197"/>
      <c r="G130" s="196"/>
    </row>
    <row r="131" spans="1:7" x14ac:dyDescent="0.2">
      <c r="A131" s="188">
        <v>128</v>
      </c>
      <c r="B131" s="196" t="s">
        <v>575</v>
      </c>
      <c r="C131" s="196"/>
      <c r="D131" s="196"/>
      <c r="E131" s="196"/>
      <c r="F131" s="197"/>
      <c r="G131" s="196"/>
    </row>
    <row r="132" spans="1:7" x14ac:dyDescent="0.2">
      <c r="A132" s="188">
        <v>129</v>
      </c>
      <c r="B132" s="196" t="s">
        <v>574</v>
      </c>
      <c r="C132" s="196"/>
      <c r="D132" s="196"/>
      <c r="E132" s="196"/>
      <c r="F132" s="197"/>
      <c r="G132" s="196"/>
    </row>
    <row r="133" spans="1:7" x14ac:dyDescent="0.2">
      <c r="A133" s="188">
        <v>130</v>
      </c>
      <c r="B133" s="196" t="s">
        <v>573</v>
      </c>
      <c r="C133" s="196"/>
      <c r="D133" s="196"/>
      <c r="E133" s="196"/>
      <c r="F133" s="197"/>
      <c r="G133" s="196"/>
    </row>
    <row r="134" spans="1:7" x14ac:dyDescent="0.2">
      <c r="A134" s="188">
        <v>131</v>
      </c>
      <c r="B134" s="196" t="s">
        <v>572</v>
      </c>
      <c r="C134" s="196"/>
      <c r="D134" s="196"/>
      <c r="E134" s="196"/>
      <c r="F134" s="197"/>
      <c r="G134" s="196"/>
    </row>
    <row r="135" spans="1:7" x14ac:dyDescent="0.2">
      <c r="A135" s="188">
        <v>132</v>
      </c>
      <c r="B135" s="196" t="s">
        <v>571</v>
      </c>
      <c r="C135" s="196"/>
      <c r="D135" s="196"/>
      <c r="E135" s="196"/>
      <c r="F135" s="197"/>
      <c r="G135" s="196"/>
    </row>
    <row r="136" spans="1:7" x14ac:dyDescent="0.2">
      <c r="A136" s="188">
        <v>133</v>
      </c>
      <c r="B136" s="196" t="s">
        <v>570</v>
      </c>
      <c r="C136" s="196"/>
      <c r="D136" s="196"/>
      <c r="E136" s="196"/>
      <c r="F136" s="197"/>
      <c r="G136" s="196"/>
    </row>
    <row r="137" spans="1:7" x14ac:dyDescent="0.2">
      <c r="A137" s="188">
        <v>134</v>
      </c>
      <c r="B137" s="196" t="s">
        <v>569</v>
      </c>
      <c r="C137" s="196"/>
      <c r="D137" s="196"/>
      <c r="E137" s="196"/>
      <c r="F137" s="197"/>
      <c r="G137" s="196"/>
    </row>
    <row r="138" spans="1:7" x14ac:dyDescent="0.2">
      <c r="A138" s="188">
        <v>135</v>
      </c>
      <c r="B138" s="196" t="s">
        <v>568</v>
      </c>
      <c r="C138" s="196"/>
      <c r="D138" s="196"/>
      <c r="E138" s="196"/>
      <c r="F138" s="197"/>
      <c r="G138" s="196"/>
    </row>
    <row r="139" spans="1:7" x14ac:dyDescent="0.2">
      <c r="A139" s="188">
        <v>136</v>
      </c>
      <c r="B139" s="196" t="s">
        <v>567</v>
      </c>
      <c r="C139" s="196"/>
      <c r="D139" s="196"/>
      <c r="E139" s="196"/>
      <c r="F139" s="197"/>
      <c r="G139" s="196"/>
    </row>
    <row r="140" spans="1:7" x14ac:dyDescent="0.2">
      <c r="A140" s="188">
        <v>137</v>
      </c>
      <c r="B140" s="196" t="s">
        <v>566</v>
      </c>
      <c r="C140" s="196"/>
      <c r="D140" s="196"/>
      <c r="E140" s="196"/>
      <c r="F140" s="197"/>
      <c r="G140" s="196"/>
    </row>
    <row r="141" spans="1:7" x14ac:dyDescent="0.2">
      <c r="A141" s="188">
        <v>138</v>
      </c>
      <c r="B141" s="196" t="s">
        <v>565</v>
      </c>
      <c r="C141" s="196"/>
      <c r="D141" s="196"/>
      <c r="E141" s="196"/>
      <c r="F141" s="197"/>
      <c r="G141" s="196"/>
    </row>
    <row r="142" spans="1:7" x14ac:dyDescent="0.2">
      <c r="A142" s="188">
        <v>139</v>
      </c>
      <c r="B142" s="196" t="s">
        <v>564</v>
      </c>
      <c r="C142" s="196"/>
      <c r="D142" s="196"/>
      <c r="E142" s="196"/>
      <c r="F142" s="197"/>
      <c r="G142" s="196"/>
    </row>
    <row r="143" spans="1:7" x14ac:dyDescent="0.2">
      <c r="A143" s="188">
        <v>140</v>
      </c>
      <c r="B143" s="196" t="s">
        <v>563</v>
      </c>
      <c r="C143" s="196"/>
      <c r="D143" s="196"/>
      <c r="E143" s="196"/>
      <c r="F143" s="197"/>
      <c r="G143" s="196"/>
    </row>
    <row r="144" spans="1:7" x14ac:dyDescent="0.2">
      <c r="A144" s="188">
        <v>141</v>
      </c>
      <c r="B144" s="196" t="s">
        <v>562</v>
      </c>
      <c r="C144" s="196"/>
      <c r="D144" s="196"/>
      <c r="E144" s="196"/>
      <c r="F144" s="197"/>
      <c r="G144" s="196"/>
    </row>
    <row r="145" spans="1:7" x14ac:dyDescent="0.2">
      <c r="A145" s="188">
        <v>142</v>
      </c>
      <c r="B145" s="196" t="s">
        <v>561</v>
      </c>
      <c r="C145" s="196"/>
      <c r="D145" s="196"/>
      <c r="E145" s="196"/>
      <c r="F145" s="197"/>
      <c r="G145" s="196"/>
    </row>
    <row r="146" spans="1:7" x14ac:dyDescent="0.2">
      <c r="A146" s="188">
        <v>143</v>
      </c>
      <c r="B146" s="196" t="s">
        <v>560</v>
      </c>
      <c r="C146" s="196"/>
      <c r="D146" s="196"/>
      <c r="E146" s="196"/>
      <c r="F146" s="197"/>
      <c r="G146" s="196"/>
    </row>
    <row r="147" spans="1:7" x14ac:dyDescent="0.2">
      <c r="A147" s="188">
        <v>144</v>
      </c>
      <c r="B147" s="196" t="s">
        <v>559</v>
      </c>
      <c r="C147" s="196"/>
      <c r="D147" s="196"/>
      <c r="E147" s="196"/>
      <c r="F147" s="197"/>
      <c r="G147" s="196"/>
    </row>
    <row r="148" spans="1:7" x14ac:dyDescent="0.2">
      <c r="A148" s="188">
        <v>145</v>
      </c>
      <c r="B148" s="196" t="s">
        <v>558</v>
      </c>
      <c r="C148" s="196"/>
      <c r="D148" s="196"/>
      <c r="E148" s="196"/>
      <c r="F148" s="197"/>
      <c r="G148" s="196"/>
    </row>
    <row r="149" spans="1:7" x14ac:dyDescent="0.2">
      <c r="A149" s="188">
        <v>146</v>
      </c>
      <c r="B149" s="196" t="s">
        <v>557</v>
      </c>
      <c r="C149" s="196"/>
      <c r="D149" s="196"/>
      <c r="E149" s="196"/>
      <c r="F149" s="197"/>
      <c r="G149" s="196"/>
    </row>
    <row r="150" spans="1:7" x14ac:dyDescent="0.2">
      <c r="A150" s="188">
        <v>147</v>
      </c>
      <c r="B150" s="196" t="s">
        <v>556</v>
      </c>
      <c r="C150" s="196"/>
      <c r="D150" s="196"/>
      <c r="E150" s="196"/>
      <c r="F150" s="197"/>
      <c r="G150" s="196"/>
    </row>
    <row r="151" spans="1:7" x14ac:dyDescent="0.2">
      <c r="A151" s="188">
        <v>148</v>
      </c>
      <c r="B151" s="196" t="s">
        <v>555</v>
      </c>
      <c r="C151" s="196"/>
      <c r="D151" s="196"/>
      <c r="E151" s="196"/>
      <c r="F151" s="197"/>
      <c r="G151" s="196"/>
    </row>
    <row r="152" spans="1:7" x14ac:dyDescent="0.2">
      <c r="A152" s="188">
        <v>149</v>
      </c>
      <c r="B152" s="196" t="s">
        <v>554</v>
      </c>
      <c r="C152" s="196"/>
      <c r="D152" s="196"/>
      <c r="E152" s="196"/>
      <c r="F152" s="197"/>
      <c r="G152" s="196"/>
    </row>
    <row r="153" spans="1:7" x14ac:dyDescent="0.2">
      <c r="A153" s="188">
        <v>150</v>
      </c>
      <c r="B153" s="196" t="s">
        <v>553</v>
      </c>
      <c r="C153" s="196"/>
      <c r="D153" s="196"/>
      <c r="E153" s="196"/>
      <c r="F153" s="197"/>
      <c r="G153" s="196"/>
    </row>
    <row r="154" spans="1:7" x14ac:dyDescent="0.2">
      <c r="A154" s="188">
        <v>151</v>
      </c>
      <c r="B154" s="196" t="s">
        <v>552</v>
      </c>
      <c r="C154" s="196"/>
      <c r="D154" s="196"/>
      <c r="E154" s="196"/>
      <c r="F154" s="197"/>
      <c r="G154" s="196"/>
    </row>
    <row r="155" spans="1:7" x14ac:dyDescent="0.2">
      <c r="A155" s="188">
        <v>152</v>
      </c>
      <c r="B155" s="196" t="s">
        <v>551</v>
      </c>
      <c r="C155" s="196"/>
      <c r="D155" s="196"/>
      <c r="E155" s="196"/>
      <c r="F155" s="197"/>
      <c r="G155" s="196"/>
    </row>
    <row r="156" spans="1:7" x14ac:dyDescent="0.2">
      <c r="A156" s="188">
        <v>153</v>
      </c>
      <c r="B156" s="196" t="s">
        <v>550</v>
      </c>
      <c r="C156" s="196"/>
      <c r="D156" s="196"/>
      <c r="E156" s="196"/>
      <c r="F156" s="197"/>
      <c r="G156" s="196"/>
    </row>
    <row r="157" spans="1:7" x14ac:dyDescent="0.2">
      <c r="A157" s="188">
        <v>154</v>
      </c>
      <c r="B157" s="196" t="s">
        <v>549</v>
      </c>
      <c r="C157" s="196"/>
      <c r="D157" s="196"/>
      <c r="E157" s="196"/>
      <c r="F157" s="197"/>
      <c r="G157" s="196"/>
    </row>
    <row r="158" spans="1:7" x14ac:dyDescent="0.2">
      <c r="A158" s="188">
        <v>155</v>
      </c>
      <c r="B158" s="196" t="s">
        <v>548</v>
      </c>
      <c r="C158" s="196"/>
      <c r="D158" s="196"/>
      <c r="E158" s="196"/>
      <c r="F158" s="197"/>
      <c r="G158" s="196"/>
    </row>
    <row r="159" spans="1:7" x14ac:dyDescent="0.2">
      <c r="A159" s="188">
        <v>156</v>
      </c>
      <c r="B159" s="196" t="s">
        <v>547</v>
      </c>
      <c r="C159" s="196"/>
      <c r="D159" s="196"/>
      <c r="E159" s="196"/>
      <c r="F159" s="197"/>
      <c r="G159" s="196"/>
    </row>
    <row r="160" spans="1:7" x14ac:dyDescent="0.2">
      <c r="A160" s="188">
        <v>157</v>
      </c>
      <c r="B160" s="196" t="s">
        <v>546</v>
      </c>
      <c r="C160" s="196"/>
      <c r="D160" s="196"/>
      <c r="E160" s="196"/>
      <c r="F160" s="197"/>
      <c r="G160" s="196"/>
    </row>
    <row r="161" spans="1:7" x14ac:dyDescent="0.2">
      <c r="A161" s="188">
        <v>158</v>
      </c>
      <c r="B161" s="196" t="s">
        <v>545</v>
      </c>
      <c r="C161" s="196"/>
      <c r="D161" s="196"/>
      <c r="E161" s="196"/>
      <c r="F161" s="197"/>
      <c r="G161" s="196"/>
    </row>
    <row r="162" spans="1:7" x14ac:dyDescent="0.2">
      <c r="A162" s="188">
        <v>159</v>
      </c>
      <c r="B162" s="196" t="s">
        <v>544</v>
      </c>
      <c r="C162" s="196"/>
      <c r="D162" s="196"/>
      <c r="E162" s="196"/>
      <c r="F162" s="197"/>
      <c r="G162" s="196"/>
    </row>
    <row r="163" spans="1:7" x14ac:dyDescent="0.2">
      <c r="A163" s="188">
        <v>160</v>
      </c>
      <c r="B163" s="196" t="s">
        <v>543</v>
      </c>
      <c r="C163" s="196"/>
      <c r="D163" s="196"/>
      <c r="E163" s="196"/>
      <c r="F163" s="197"/>
      <c r="G163" s="196"/>
    </row>
    <row r="164" spans="1:7" x14ac:dyDescent="0.2">
      <c r="A164" s="188">
        <v>161</v>
      </c>
      <c r="B164" s="196" t="s">
        <v>542</v>
      </c>
      <c r="C164" s="196"/>
      <c r="D164" s="196"/>
      <c r="E164" s="196"/>
      <c r="F164" s="197"/>
      <c r="G164" s="196"/>
    </row>
    <row r="165" spans="1:7" x14ac:dyDescent="0.2">
      <c r="A165" s="188">
        <v>162</v>
      </c>
      <c r="B165" s="196" t="s">
        <v>541</v>
      </c>
      <c r="C165" s="196"/>
      <c r="D165" s="196"/>
      <c r="E165" s="196"/>
      <c r="F165" s="197"/>
      <c r="G165" s="196"/>
    </row>
    <row r="166" spans="1:7" x14ac:dyDescent="0.2">
      <c r="A166" s="188">
        <v>163</v>
      </c>
      <c r="B166" s="196" t="s">
        <v>540</v>
      </c>
      <c r="C166" s="196"/>
      <c r="D166" s="196"/>
      <c r="E166" s="196"/>
      <c r="F166" s="197"/>
      <c r="G166" s="196"/>
    </row>
    <row r="167" spans="1:7" x14ac:dyDescent="0.2">
      <c r="A167" s="188">
        <v>164</v>
      </c>
      <c r="B167" s="196" t="s">
        <v>539</v>
      </c>
      <c r="C167" s="196"/>
      <c r="D167" s="196"/>
      <c r="E167" s="196"/>
      <c r="F167" s="197"/>
      <c r="G167" s="196"/>
    </row>
    <row r="168" spans="1:7" x14ac:dyDescent="0.2">
      <c r="A168" s="188">
        <v>165</v>
      </c>
      <c r="B168" s="196" t="s">
        <v>538</v>
      </c>
      <c r="C168" s="196"/>
      <c r="D168" s="196"/>
      <c r="E168" s="196"/>
      <c r="F168" s="197"/>
      <c r="G168" s="196"/>
    </row>
    <row r="169" spans="1:7" x14ac:dyDescent="0.2">
      <c r="A169" s="188">
        <v>166</v>
      </c>
      <c r="B169" s="196" t="s">
        <v>537</v>
      </c>
      <c r="C169" s="196"/>
      <c r="D169" s="196"/>
      <c r="E169" s="196"/>
      <c r="F169" s="197"/>
      <c r="G169" s="196"/>
    </row>
    <row r="170" spans="1:7" x14ac:dyDescent="0.2">
      <c r="A170" s="188">
        <v>167</v>
      </c>
      <c r="B170" s="196" t="s">
        <v>536</v>
      </c>
      <c r="C170" s="196"/>
      <c r="D170" s="196"/>
      <c r="E170" s="196"/>
      <c r="F170" s="197"/>
      <c r="G170" s="196"/>
    </row>
    <row r="171" spans="1:7" x14ac:dyDescent="0.2">
      <c r="A171" s="188">
        <v>168</v>
      </c>
      <c r="B171" s="196" t="s">
        <v>535</v>
      </c>
      <c r="C171" s="196"/>
      <c r="D171" s="196"/>
      <c r="E171" s="196"/>
      <c r="F171" s="197"/>
      <c r="G171" s="196"/>
    </row>
    <row r="172" spans="1:7" x14ac:dyDescent="0.2">
      <c r="A172" s="188">
        <v>169</v>
      </c>
      <c r="B172" s="196" t="s">
        <v>534</v>
      </c>
      <c r="C172" s="196"/>
      <c r="D172" s="196"/>
      <c r="E172" s="196"/>
      <c r="F172" s="197"/>
      <c r="G172" s="196"/>
    </row>
    <row r="173" spans="1:7" x14ac:dyDescent="0.2">
      <c r="A173" s="188">
        <v>170</v>
      </c>
      <c r="B173" s="196" t="s">
        <v>533</v>
      </c>
      <c r="C173" s="196"/>
      <c r="D173" s="196"/>
      <c r="E173" s="196"/>
      <c r="F173" s="197"/>
      <c r="G173" s="196"/>
    </row>
    <row r="174" spans="1:7" x14ac:dyDescent="0.2">
      <c r="A174" s="188">
        <v>171</v>
      </c>
      <c r="B174" s="196" t="s">
        <v>532</v>
      </c>
      <c r="C174" s="196"/>
      <c r="D174" s="196"/>
      <c r="E174" s="196"/>
      <c r="F174" s="197"/>
      <c r="G174" s="196"/>
    </row>
    <row r="175" spans="1:7" x14ac:dyDescent="0.2">
      <c r="A175" s="188">
        <v>172</v>
      </c>
      <c r="B175" s="196" t="s">
        <v>531</v>
      </c>
      <c r="C175" s="196"/>
      <c r="D175" s="196"/>
      <c r="E175" s="196"/>
      <c r="F175" s="197"/>
      <c r="G175" s="196"/>
    </row>
    <row r="176" spans="1:7" x14ac:dyDescent="0.2">
      <c r="A176" s="188">
        <v>173</v>
      </c>
      <c r="B176" s="196" t="s">
        <v>530</v>
      </c>
      <c r="C176" s="196"/>
      <c r="D176" s="196"/>
      <c r="E176" s="196"/>
      <c r="F176" s="197"/>
      <c r="G176" s="196"/>
    </row>
    <row r="177" spans="1:7" x14ac:dyDescent="0.2">
      <c r="A177" s="188">
        <v>174</v>
      </c>
      <c r="B177" s="196" t="s">
        <v>529</v>
      </c>
      <c r="C177" s="196"/>
      <c r="D177" s="196"/>
      <c r="E177" s="196"/>
      <c r="F177" s="197"/>
      <c r="G177" s="196"/>
    </row>
    <row r="178" spans="1:7" x14ac:dyDescent="0.2">
      <c r="A178" s="188">
        <v>175</v>
      </c>
      <c r="B178" s="196" t="s">
        <v>528</v>
      </c>
      <c r="C178" s="196"/>
      <c r="D178" s="196"/>
      <c r="E178" s="196"/>
      <c r="F178" s="197"/>
      <c r="G178" s="196"/>
    </row>
    <row r="179" spans="1:7" x14ac:dyDescent="0.2">
      <c r="A179" s="188">
        <v>176</v>
      </c>
      <c r="B179" s="196" t="s">
        <v>527</v>
      </c>
      <c r="C179" s="196"/>
      <c r="D179" s="196"/>
      <c r="E179" s="196"/>
      <c r="F179" s="197"/>
      <c r="G179" s="196"/>
    </row>
    <row r="180" spans="1:7" x14ac:dyDescent="0.2">
      <c r="A180" s="188">
        <v>177</v>
      </c>
      <c r="B180" s="196" t="s">
        <v>526</v>
      </c>
      <c r="C180" s="196"/>
      <c r="D180" s="196"/>
      <c r="E180" s="196"/>
      <c r="F180" s="197"/>
      <c r="G180" s="196"/>
    </row>
    <row r="181" spans="1:7" x14ac:dyDescent="0.2">
      <c r="A181" s="188">
        <v>178</v>
      </c>
      <c r="B181" s="196" t="s">
        <v>525</v>
      </c>
      <c r="C181" s="196"/>
      <c r="D181" s="196"/>
      <c r="E181" s="196"/>
      <c r="F181" s="197"/>
      <c r="G181" s="196"/>
    </row>
    <row r="182" spans="1:7" x14ac:dyDescent="0.2">
      <c r="A182" s="188">
        <v>179</v>
      </c>
      <c r="B182" s="196" t="s">
        <v>524</v>
      </c>
      <c r="C182" s="196"/>
      <c r="D182" s="196"/>
      <c r="E182" s="196"/>
      <c r="F182" s="197"/>
      <c r="G182" s="196"/>
    </row>
    <row r="183" spans="1:7" x14ac:dyDescent="0.2">
      <c r="A183" s="188">
        <v>180</v>
      </c>
      <c r="B183" s="196" t="s">
        <v>523</v>
      </c>
      <c r="C183" s="196"/>
      <c r="D183" s="196"/>
      <c r="E183" s="196"/>
      <c r="F183" s="197"/>
      <c r="G183" s="196"/>
    </row>
    <row r="184" spans="1:7" x14ac:dyDescent="0.2">
      <c r="A184" s="188">
        <v>181</v>
      </c>
      <c r="B184" s="196" t="s">
        <v>522</v>
      </c>
      <c r="C184" s="196"/>
      <c r="D184" s="196"/>
      <c r="E184" s="196"/>
      <c r="F184" s="197"/>
      <c r="G184" s="196"/>
    </row>
    <row r="185" spans="1:7" x14ac:dyDescent="0.2">
      <c r="A185" s="188">
        <v>182</v>
      </c>
      <c r="B185" s="196" t="s">
        <v>521</v>
      </c>
      <c r="C185" s="196"/>
      <c r="D185" s="196"/>
      <c r="E185" s="196"/>
      <c r="F185" s="197"/>
      <c r="G185" s="196"/>
    </row>
    <row r="186" spans="1:7" x14ac:dyDescent="0.2">
      <c r="A186" s="188">
        <v>183</v>
      </c>
      <c r="B186" s="196" t="s">
        <v>520</v>
      </c>
      <c r="C186" s="196"/>
      <c r="D186" s="196"/>
      <c r="E186" s="196"/>
      <c r="F186" s="197"/>
      <c r="G186" s="196"/>
    </row>
    <row r="187" spans="1:7" x14ac:dyDescent="0.2">
      <c r="A187" s="188">
        <v>184</v>
      </c>
      <c r="B187" s="196" t="s">
        <v>519</v>
      </c>
      <c r="C187" s="196"/>
      <c r="D187" s="196"/>
      <c r="E187" s="196"/>
      <c r="F187" s="197"/>
      <c r="G187" s="196"/>
    </row>
    <row r="188" spans="1:7" x14ac:dyDescent="0.2">
      <c r="A188" s="188">
        <v>185</v>
      </c>
      <c r="B188" s="196" t="s">
        <v>518</v>
      </c>
      <c r="C188" s="196"/>
      <c r="D188" s="196"/>
      <c r="E188" s="196"/>
      <c r="F188" s="197"/>
      <c r="G188" s="196"/>
    </row>
    <row r="189" spans="1:7" x14ac:dyDescent="0.2">
      <c r="A189" s="188">
        <v>186</v>
      </c>
      <c r="B189" s="196" t="s">
        <v>517</v>
      </c>
      <c r="C189" s="196"/>
      <c r="D189" s="196"/>
      <c r="E189" s="196"/>
      <c r="F189" s="197"/>
      <c r="G189" s="196"/>
    </row>
    <row r="190" spans="1:7" x14ac:dyDescent="0.2">
      <c r="A190" s="188">
        <v>187</v>
      </c>
      <c r="B190" s="196" t="s">
        <v>516</v>
      </c>
      <c r="C190" s="196"/>
      <c r="D190" s="196"/>
      <c r="E190" s="196"/>
      <c r="F190" s="197"/>
      <c r="G190" s="196"/>
    </row>
    <row r="191" spans="1:7" x14ac:dyDescent="0.2">
      <c r="A191" s="188">
        <v>188</v>
      </c>
      <c r="B191" s="196" t="s">
        <v>515</v>
      </c>
      <c r="C191" s="196"/>
      <c r="D191" s="196"/>
      <c r="E191" s="196"/>
      <c r="F191" s="197"/>
      <c r="G191" s="196"/>
    </row>
    <row r="192" spans="1:7" x14ac:dyDescent="0.2">
      <c r="A192" s="188">
        <v>189</v>
      </c>
      <c r="B192" s="196" t="s">
        <v>514</v>
      </c>
      <c r="C192" s="196"/>
      <c r="D192" s="196"/>
      <c r="E192" s="196"/>
      <c r="F192" s="197"/>
      <c r="G192" s="196"/>
    </row>
    <row r="193" spans="1:7" x14ac:dyDescent="0.2">
      <c r="A193" s="188">
        <v>190</v>
      </c>
      <c r="B193" s="196" t="s">
        <v>513</v>
      </c>
      <c r="C193" s="196"/>
      <c r="D193" s="196"/>
      <c r="E193" s="196"/>
      <c r="F193" s="197"/>
      <c r="G193" s="196"/>
    </row>
    <row r="194" spans="1:7" x14ac:dyDescent="0.2">
      <c r="A194" s="188">
        <v>191</v>
      </c>
      <c r="B194" s="196" t="s">
        <v>512</v>
      </c>
      <c r="C194" s="196"/>
      <c r="D194" s="196"/>
      <c r="E194" s="196"/>
      <c r="F194" s="197"/>
      <c r="G194" s="196"/>
    </row>
    <row r="195" spans="1:7" x14ac:dyDescent="0.2">
      <c r="A195" s="188">
        <v>192</v>
      </c>
      <c r="B195" s="196" t="s">
        <v>511</v>
      </c>
      <c r="C195" s="196"/>
      <c r="D195" s="196"/>
      <c r="E195" s="196"/>
      <c r="F195" s="197"/>
      <c r="G195" s="196"/>
    </row>
    <row r="196" spans="1:7" x14ac:dyDescent="0.2">
      <c r="A196" s="188">
        <v>193</v>
      </c>
      <c r="B196" s="196" t="s">
        <v>510</v>
      </c>
      <c r="C196" s="196"/>
      <c r="D196" s="196"/>
      <c r="E196" s="196"/>
      <c r="F196" s="197"/>
      <c r="G196" s="196"/>
    </row>
    <row r="197" spans="1:7" x14ac:dyDescent="0.2">
      <c r="A197" s="188">
        <v>194</v>
      </c>
      <c r="B197" s="196" t="s">
        <v>509</v>
      </c>
      <c r="C197" s="196"/>
      <c r="D197" s="196"/>
      <c r="E197" s="196"/>
      <c r="F197" s="197"/>
      <c r="G197" s="196"/>
    </row>
    <row r="198" spans="1:7" x14ac:dyDescent="0.2">
      <c r="A198" s="188">
        <v>195</v>
      </c>
      <c r="B198" s="196" t="s">
        <v>508</v>
      </c>
      <c r="C198" s="196"/>
      <c r="D198" s="196"/>
      <c r="E198" s="196"/>
      <c r="F198" s="197"/>
      <c r="G198" s="196"/>
    </row>
    <row r="199" spans="1:7" x14ac:dyDescent="0.2">
      <c r="A199" s="188">
        <v>196</v>
      </c>
      <c r="B199" s="196" t="s">
        <v>507</v>
      </c>
      <c r="C199" s="196"/>
      <c r="D199" s="196"/>
      <c r="E199" s="196"/>
      <c r="F199" s="197"/>
      <c r="G199" s="196"/>
    </row>
    <row r="200" spans="1:7" x14ac:dyDescent="0.2">
      <c r="A200" s="188">
        <v>197</v>
      </c>
      <c r="B200" s="196" t="s">
        <v>506</v>
      </c>
      <c r="C200" s="196"/>
      <c r="D200" s="196"/>
      <c r="E200" s="196"/>
      <c r="F200" s="197"/>
      <c r="G200" s="196"/>
    </row>
    <row r="201" spans="1:7" x14ac:dyDescent="0.2">
      <c r="A201" s="188">
        <v>198</v>
      </c>
      <c r="B201" s="196" t="s">
        <v>505</v>
      </c>
      <c r="C201" s="196"/>
      <c r="D201" s="196"/>
      <c r="E201" s="196"/>
      <c r="F201" s="197"/>
      <c r="G201" s="196"/>
    </row>
    <row r="202" spans="1:7" x14ac:dyDescent="0.2">
      <c r="A202" s="188">
        <v>199</v>
      </c>
      <c r="B202" s="196" t="s">
        <v>504</v>
      </c>
      <c r="C202" s="196"/>
      <c r="D202" s="196"/>
      <c r="E202" s="196"/>
      <c r="F202" s="197"/>
      <c r="G202" s="196"/>
    </row>
    <row r="203" spans="1:7" x14ac:dyDescent="0.2">
      <c r="A203" s="188">
        <v>200</v>
      </c>
      <c r="B203" s="196" t="s">
        <v>503</v>
      </c>
      <c r="C203" s="196"/>
      <c r="D203" s="196"/>
      <c r="E203" s="196"/>
      <c r="F203" s="197"/>
      <c r="G203" s="196"/>
    </row>
    <row r="204" spans="1:7" x14ac:dyDescent="0.2">
      <c r="A204" s="188">
        <v>201</v>
      </c>
      <c r="B204" s="196" t="s">
        <v>502</v>
      </c>
      <c r="C204" s="196"/>
      <c r="D204" s="196"/>
      <c r="E204" s="196"/>
      <c r="F204" s="197"/>
      <c r="G204" s="196"/>
    </row>
    <row r="205" spans="1:7" x14ac:dyDescent="0.2">
      <c r="A205" s="188">
        <v>202</v>
      </c>
      <c r="B205" s="196" t="s">
        <v>501</v>
      </c>
      <c r="C205" s="196"/>
      <c r="D205" s="196"/>
      <c r="E205" s="196"/>
      <c r="F205" s="197"/>
      <c r="G205" s="196"/>
    </row>
    <row r="206" spans="1:7" x14ac:dyDescent="0.2">
      <c r="A206" s="188">
        <v>203</v>
      </c>
      <c r="B206" s="196" t="s">
        <v>500</v>
      </c>
      <c r="C206" s="196"/>
      <c r="D206" s="196"/>
      <c r="E206" s="196"/>
      <c r="F206" s="197"/>
      <c r="G206" s="196"/>
    </row>
    <row r="207" spans="1:7" x14ac:dyDescent="0.2">
      <c r="A207" s="188">
        <v>204</v>
      </c>
      <c r="B207" s="196" t="s">
        <v>499</v>
      </c>
      <c r="C207" s="196"/>
      <c r="D207" s="196"/>
      <c r="E207" s="196"/>
      <c r="F207" s="197"/>
      <c r="G207" s="196"/>
    </row>
    <row r="208" spans="1:7" x14ac:dyDescent="0.2">
      <c r="A208" s="188">
        <v>205</v>
      </c>
      <c r="B208" s="196" t="s">
        <v>498</v>
      </c>
      <c r="C208" s="196"/>
      <c r="D208" s="196"/>
      <c r="E208" s="196"/>
      <c r="F208" s="197"/>
      <c r="G208" s="196"/>
    </row>
    <row r="209" spans="1:7" x14ac:dyDescent="0.2">
      <c r="A209" s="188">
        <v>206</v>
      </c>
      <c r="B209" s="196" t="s">
        <v>497</v>
      </c>
      <c r="C209" s="196"/>
      <c r="D209" s="196"/>
      <c r="E209" s="196"/>
      <c r="F209" s="197"/>
      <c r="G209" s="196"/>
    </row>
    <row r="210" spans="1:7" x14ac:dyDescent="0.2">
      <c r="A210" s="188">
        <v>207</v>
      </c>
      <c r="B210" s="196" t="s">
        <v>496</v>
      </c>
      <c r="C210" s="196"/>
      <c r="D210" s="196"/>
      <c r="E210" s="196"/>
      <c r="F210" s="197"/>
      <c r="G210" s="196"/>
    </row>
    <row r="211" spans="1:7" x14ac:dyDescent="0.2">
      <c r="A211" s="188">
        <v>208</v>
      </c>
      <c r="B211" s="196" t="s">
        <v>495</v>
      </c>
      <c r="C211" s="196"/>
      <c r="D211" s="196"/>
      <c r="E211" s="196"/>
      <c r="F211" s="197"/>
      <c r="G211" s="196"/>
    </row>
    <row r="212" spans="1:7" x14ac:dyDescent="0.2">
      <c r="A212" s="188">
        <v>209</v>
      </c>
      <c r="B212" s="196" t="s">
        <v>494</v>
      </c>
      <c r="C212" s="196"/>
      <c r="D212" s="196"/>
      <c r="E212" s="196"/>
      <c r="F212" s="197"/>
      <c r="G212" s="196"/>
    </row>
    <row r="213" spans="1:7" x14ac:dyDescent="0.2">
      <c r="A213" s="188">
        <v>210</v>
      </c>
      <c r="B213" s="196" t="s">
        <v>493</v>
      </c>
      <c r="C213" s="196"/>
      <c r="D213" s="196"/>
      <c r="E213" s="196"/>
      <c r="F213" s="197"/>
      <c r="G213" s="196"/>
    </row>
    <row r="214" spans="1:7" x14ac:dyDescent="0.2">
      <c r="A214" s="188">
        <v>211</v>
      </c>
      <c r="B214" s="196" t="s">
        <v>492</v>
      </c>
      <c r="C214" s="196"/>
      <c r="D214" s="196"/>
      <c r="E214" s="196"/>
      <c r="F214" s="197"/>
      <c r="G214" s="196"/>
    </row>
    <row r="215" spans="1:7" x14ac:dyDescent="0.2">
      <c r="A215" s="188">
        <v>212</v>
      </c>
      <c r="B215" s="196" t="s">
        <v>491</v>
      </c>
      <c r="C215" s="196"/>
      <c r="D215" s="196"/>
      <c r="E215" s="196"/>
      <c r="F215" s="197"/>
      <c r="G215" s="196"/>
    </row>
    <row r="216" spans="1:7" x14ac:dyDescent="0.2">
      <c r="A216" s="188">
        <v>213</v>
      </c>
      <c r="B216" s="196" t="s">
        <v>490</v>
      </c>
      <c r="C216" s="196"/>
      <c r="D216" s="196"/>
      <c r="E216" s="196"/>
      <c r="F216" s="197"/>
      <c r="G216" s="196"/>
    </row>
    <row r="217" spans="1:7" x14ac:dyDescent="0.2">
      <c r="A217" s="188">
        <v>214</v>
      </c>
      <c r="B217" s="196" t="s">
        <v>489</v>
      </c>
      <c r="C217" s="196"/>
      <c r="D217" s="196"/>
      <c r="E217" s="196"/>
      <c r="F217" s="197"/>
      <c r="G217" s="196"/>
    </row>
    <row r="218" spans="1:7" x14ac:dyDescent="0.2">
      <c r="A218" s="188">
        <v>215</v>
      </c>
      <c r="B218" s="196" t="s">
        <v>488</v>
      </c>
      <c r="C218" s="196"/>
      <c r="D218" s="196"/>
      <c r="E218" s="196"/>
      <c r="F218" s="197"/>
      <c r="G218" s="196"/>
    </row>
    <row r="219" spans="1:7" x14ac:dyDescent="0.2">
      <c r="A219" s="188">
        <v>216</v>
      </c>
      <c r="B219" s="196" t="s">
        <v>487</v>
      </c>
      <c r="C219" s="196"/>
      <c r="D219" s="196"/>
      <c r="E219" s="196"/>
      <c r="F219" s="197"/>
      <c r="G219" s="196"/>
    </row>
    <row r="220" spans="1:7" x14ac:dyDescent="0.2">
      <c r="A220" s="188">
        <v>217</v>
      </c>
      <c r="B220" s="196" t="s">
        <v>486</v>
      </c>
      <c r="C220" s="196"/>
      <c r="D220" s="196"/>
      <c r="E220" s="196"/>
      <c r="F220" s="197"/>
      <c r="G220" s="196"/>
    </row>
    <row r="221" spans="1:7" x14ac:dyDescent="0.2">
      <c r="A221" s="188">
        <v>218</v>
      </c>
      <c r="B221" s="196" t="s">
        <v>485</v>
      </c>
      <c r="C221" s="196"/>
      <c r="D221" s="196"/>
      <c r="E221" s="196"/>
      <c r="F221" s="197"/>
      <c r="G221" s="196"/>
    </row>
    <row r="222" spans="1:7" x14ac:dyDescent="0.2">
      <c r="A222" s="188">
        <v>219</v>
      </c>
      <c r="B222" s="196" t="s">
        <v>484</v>
      </c>
      <c r="C222" s="196"/>
      <c r="D222" s="196"/>
      <c r="E222" s="196"/>
      <c r="F222" s="197"/>
      <c r="G222" s="196"/>
    </row>
    <row r="223" spans="1:7" x14ac:dyDescent="0.2">
      <c r="A223" s="188">
        <v>220</v>
      </c>
      <c r="B223" s="196" t="s">
        <v>483</v>
      </c>
      <c r="C223" s="196"/>
      <c r="D223" s="196"/>
      <c r="E223" s="196"/>
      <c r="F223" s="197"/>
      <c r="G223" s="196"/>
    </row>
    <row r="224" spans="1:7" x14ac:dyDescent="0.2">
      <c r="A224" s="188">
        <v>221</v>
      </c>
      <c r="B224" s="196" t="s">
        <v>482</v>
      </c>
      <c r="C224" s="196"/>
      <c r="D224" s="196"/>
      <c r="E224" s="196"/>
      <c r="F224" s="197"/>
      <c r="G224" s="196"/>
    </row>
    <row r="225" spans="1:7" x14ac:dyDescent="0.2">
      <c r="A225" s="188">
        <v>222</v>
      </c>
      <c r="B225" s="196" t="s">
        <v>481</v>
      </c>
      <c r="C225" s="196"/>
      <c r="D225" s="196"/>
      <c r="E225" s="196"/>
      <c r="F225" s="197"/>
      <c r="G225" s="196"/>
    </row>
    <row r="226" spans="1:7" x14ac:dyDescent="0.2">
      <c r="A226" s="188">
        <v>223</v>
      </c>
      <c r="B226" s="196" t="s">
        <v>480</v>
      </c>
      <c r="C226" s="196"/>
      <c r="D226" s="196"/>
      <c r="E226" s="196"/>
      <c r="F226" s="197"/>
      <c r="G226" s="196"/>
    </row>
    <row r="227" spans="1:7" x14ac:dyDescent="0.2">
      <c r="A227" s="188">
        <v>224</v>
      </c>
      <c r="B227" s="196" t="s">
        <v>479</v>
      </c>
      <c r="C227" s="196"/>
      <c r="D227" s="196"/>
      <c r="E227" s="196"/>
      <c r="F227" s="197"/>
      <c r="G227" s="196"/>
    </row>
    <row r="228" spans="1:7" x14ac:dyDescent="0.2">
      <c r="A228" s="188">
        <v>225</v>
      </c>
      <c r="B228" s="196" t="s">
        <v>478</v>
      </c>
      <c r="C228" s="196"/>
      <c r="D228" s="196"/>
      <c r="E228" s="196"/>
      <c r="F228" s="197"/>
      <c r="G228" s="196"/>
    </row>
    <row r="229" spans="1:7" x14ac:dyDescent="0.2">
      <c r="A229" s="188">
        <v>226</v>
      </c>
      <c r="B229" s="196" t="s">
        <v>477</v>
      </c>
      <c r="C229" s="196"/>
      <c r="D229" s="196"/>
      <c r="E229" s="196"/>
      <c r="F229" s="197"/>
      <c r="G229" s="196"/>
    </row>
    <row r="230" spans="1:7" x14ac:dyDescent="0.2">
      <c r="A230" s="188">
        <v>227</v>
      </c>
      <c r="B230" s="196" t="s">
        <v>476</v>
      </c>
      <c r="C230" s="196"/>
      <c r="D230" s="196"/>
      <c r="E230" s="196"/>
      <c r="F230" s="197"/>
      <c r="G230" s="196"/>
    </row>
    <row r="231" spans="1:7" x14ac:dyDescent="0.2">
      <c r="A231" s="188">
        <v>228</v>
      </c>
      <c r="B231" s="196" t="s">
        <v>475</v>
      </c>
      <c r="C231" s="196"/>
      <c r="D231" s="196"/>
      <c r="E231" s="196"/>
      <c r="F231" s="197"/>
      <c r="G231" s="196"/>
    </row>
    <row r="232" spans="1:7" x14ac:dyDescent="0.2">
      <c r="A232" s="188">
        <v>229</v>
      </c>
      <c r="B232" s="196" t="s">
        <v>474</v>
      </c>
      <c r="C232" s="196"/>
      <c r="D232" s="196"/>
      <c r="E232" s="196"/>
      <c r="F232" s="197"/>
      <c r="G232" s="196"/>
    </row>
    <row r="233" spans="1:7" x14ac:dyDescent="0.2">
      <c r="A233" s="188">
        <v>230</v>
      </c>
      <c r="B233" s="196" t="s">
        <v>473</v>
      </c>
      <c r="C233" s="196"/>
      <c r="D233" s="196"/>
      <c r="E233" s="196"/>
      <c r="F233" s="197"/>
      <c r="G233" s="196"/>
    </row>
    <row r="234" spans="1:7" x14ac:dyDescent="0.2">
      <c r="A234" s="188">
        <v>231</v>
      </c>
      <c r="B234" s="196" t="s">
        <v>472</v>
      </c>
      <c r="C234" s="196"/>
      <c r="D234" s="196"/>
      <c r="E234" s="196"/>
      <c r="F234" s="197"/>
      <c r="G234" s="196"/>
    </row>
    <row r="235" spans="1:7" x14ac:dyDescent="0.2">
      <c r="A235" s="188">
        <v>232</v>
      </c>
      <c r="B235" s="196" t="s">
        <v>471</v>
      </c>
      <c r="C235" s="196"/>
      <c r="D235" s="196"/>
      <c r="E235" s="196"/>
      <c r="F235" s="197"/>
      <c r="G235" s="196"/>
    </row>
    <row r="236" spans="1:7" x14ac:dyDescent="0.2">
      <c r="A236" s="188">
        <v>233</v>
      </c>
      <c r="B236" s="196" t="s">
        <v>470</v>
      </c>
      <c r="C236" s="196"/>
      <c r="D236" s="196"/>
      <c r="E236" s="196"/>
      <c r="F236" s="197"/>
      <c r="G236" s="196"/>
    </row>
    <row r="237" spans="1:7" x14ac:dyDescent="0.2">
      <c r="A237" s="188">
        <v>234</v>
      </c>
      <c r="B237" s="196" t="s">
        <v>469</v>
      </c>
      <c r="C237" s="196"/>
      <c r="D237" s="196"/>
      <c r="E237" s="196"/>
      <c r="F237" s="197"/>
      <c r="G237" s="196"/>
    </row>
    <row r="238" spans="1:7" x14ac:dyDescent="0.2">
      <c r="A238" s="188">
        <v>235</v>
      </c>
      <c r="B238" s="196" t="s">
        <v>468</v>
      </c>
      <c r="C238" s="196"/>
      <c r="D238" s="196"/>
      <c r="E238" s="196"/>
      <c r="F238" s="197"/>
      <c r="G238" s="196"/>
    </row>
    <row r="239" spans="1:7" x14ac:dyDescent="0.2">
      <c r="A239" s="188">
        <v>236</v>
      </c>
      <c r="B239" s="196" t="s">
        <v>467</v>
      </c>
      <c r="C239" s="196"/>
      <c r="D239" s="196"/>
      <c r="E239" s="196"/>
      <c r="F239" s="197"/>
      <c r="G239" s="196"/>
    </row>
    <row r="240" spans="1:7" x14ac:dyDescent="0.2">
      <c r="A240" s="188">
        <v>237</v>
      </c>
      <c r="B240" s="196" t="s">
        <v>466</v>
      </c>
      <c r="C240" s="196"/>
      <c r="D240" s="196"/>
      <c r="E240" s="196"/>
      <c r="F240" s="197"/>
      <c r="G240" s="196"/>
    </row>
    <row r="241" spans="1:7" x14ac:dyDescent="0.2">
      <c r="A241" s="188">
        <v>238</v>
      </c>
      <c r="B241" s="196" t="s">
        <v>465</v>
      </c>
      <c r="C241" s="196"/>
      <c r="D241" s="196"/>
      <c r="E241" s="196"/>
      <c r="F241" s="197"/>
      <c r="G241" s="196"/>
    </row>
    <row r="242" spans="1:7" x14ac:dyDescent="0.2">
      <c r="A242" s="188">
        <v>239</v>
      </c>
      <c r="B242" s="196" t="s">
        <v>464</v>
      </c>
      <c r="C242" s="196"/>
      <c r="D242" s="196"/>
      <c r="E242" s="196"/>
      <c r="F242" s="197"/>
      <c r="G242" s="196"/>
    </row>
    <row r="243" spans="1:7" x14ac:dyDescent="0.2">
      <c r="A243" s="188">
        <v>240</v>
      </c>
      <c r="B243" s="196" t="s">
        <v>463</v>
      </c>
      <c r="C243" s="196"/>
      <c r="D243" s="196"/>
      <c r="E243" s="196"/>
      <c r="F243" s="197"/>
      <c r="G243" s="196"/>
    </row>
    <row r="244" spans="1:7" x14ac:dyDescent="0.2">
      <c r="A244" s="188">
        <v>241</v>
      </c>
      <c r="B244" s="196" t="s">
        <v>462</v>
      </c>
      <c r="C244" s="196"/>
      <c r="D244" s="196"/>
      <c r="E244" s="196"/>
      <c r="F244" s="197"/>
      <c r="G244" s="196"/>
    </row>
    <row r="245" spans="1:7" x14ac:dyDescent="0.2">
      <c r="A245" s="188">
        <v>242</v>
      </c>
      <c r="B245" s="196" t="s">
        <v>461</v>
      </c>
      <c r="C245" s="196"/>
      <c r="D245" s="196"/>
      <c r="E245" s="196"/>
      <c r="F245" s="197"/>
      <c r="G245" s="196"/>
    </row>
    <row r="246" spans="1:7" x14ac:dyDescent="0.2">
      <c r="A246" s="188">
        <v>243</v>
      </c>
      <c r="B246" s="196" t="s">
        <v>460</v>
      </c>
      <c r="C246" s="196"/>
      <c r="D246" s="196"/>
      <c r="E246" s="196"/>
      <c r="F246" s="197"/>
      <c r="G246" s="196"/>
    </row>
    <row r="247" spans="1:7" x14ac:dyDescent="0.2">
      <c r="A247" s="188">
        <v>244</v>
      </c>
      <c r="B247" s="196" t="s">
        <v>459</v>
      </c>
      <c r="C247" s="196"/>
      <c r="D247" s="196"/>
      <c r="E247" s="196"/>
      <c r="F247" s="197"/>
      <c r="G247" s="196"/>
    </row>
    <row r="248" spans="1:7" x14ac:dyDescent="0.2">
      <c r="A248" s="188">
        <v>245</v>
      </c>
      <c r="B248" s="196" t="s">
        <v>458</v>
      </c>
      <c r="C248" s="196"/>
      <c r="D248" s="196"/>
      <c r="E248" s="196"/>
      <c r="F248" s="197"/>
      <c r="G248" s="196"/>
    </row>
    <row r="249" spans="1:7" x14ac:dyDescent="0.2">
      <c r="A249" s="188">
        <v>246</v>
      </c>
      <c r="B249" s="196" t="s">
        <v>457</v>
      </c>
      <c r="C249" s="196"/>
      <c r="D249" s="196"/>
      <c r="E249" s="196"/>
      <c r="F249" s="197"/>
      <c r="G249" s="196"/>
    </row>
    <row r="250" spans="1:7" x14ac:dyDescent="0.2">
      <c r="A250" s="188">
        <v>247</v>
      </c>
      <c r="B250" s="196" t="s">
        <v>456</v>
      </c>
      <c r="C250" s="196"/>
      <c r="D250" s="196"/>
      <c r="E250" s="196"/>
      <c r="F250" s="197"/>
      <c r="G250" s="196"/>
    </row>
    <row r="251" spans="1:7" x14ac:dyDescent="0.2">
      <c r="A251" s="188">
        <v>248</v>
      </c>
      <c r="B251" s="196" t="s">
        <v>455</v>
      </c>
      <c r="C251" s="196"/>
      <c r="D251" s="196"/>
      <c r="E251" s="196"/>
      <c r="F251" s="197"/>
      <c r="G251" s="196"/>
    </row>
    <row r="252" spans="1:7" x14ac:dyDescent="0.2">
      <c r="A252" s="188">
        <v>249</v>
      </c>
      <c r="B252" s="196" t="s">
        <v>454</v>
      </c>
      <c r="C252" s="196"/>
      <c r="D252" s="196"/>
      <c r="E252" s="196"/>
      <c r="F252" s="197"/>
      <c r="G252" s="196"/>
    </row>
    <row r="253" spans="1:7" x14ac:dyDescent="0.2">
      <c r="A253" s="188">
        <v>250</v>
      </c>
      <c r="B253" s="196" t="s">
        <v>453</v>
      </c>
      <c r="C253" s="196"/>
      <c r="D253" s="196"/>
      <c r="E253" s="196"/>
      <c r="F253" s="197"/>
      <c r="G253" s="196"/>
    </row>
    <row r="254" spans="1:7" x14ac:dyDescent="0.2">
      <c r="A254" s="188">
        <v>251</v>
      </c>
      <c r="B254" s="196" t="s">
        <v>452</v>
      </c>
      <c r="C254" s="196"/>
      <c r="D254" s="196"/>
      <c r="E254" s="196"/>
      <c r="F254" s="197"/>
      <c r="G254" s="196"/>
    </row>
    <row r="255" spans="1:7" x14ac:dyDescent="0.2">
      <c r="A255" s="188">
        <v>252</v>
      </c>
      <c r="B255" s="196" t="s">
        <v>451</v>
      </c>
      <c r="C255" s="196"/>
      <c r="D255" s="196"/>
      <c r="E255" s="196"/>
      <c r="F255" s="197"/>
      <c r="G255" s="196"/>
    </row>
    <row r="256" spans="1:7" x14ac:dyDescent="0.2">
      <c r="A256" s="188">
        <v>253</v>
      </c>
      <c r="B256" s="196" t="s">
        <v>450</v>
      </c>
      <c r="C256" s="196"/>
      <c r="D256" s="196"/>
      <c r="E256" s="196"/>
      <c r="F256" s="197"/>
      <c r="G256" s="196"/>
    </row>
    <row r="257" spans="1:7" x14ac:dyDescent="0.2">
      <c r="A257" s="188">
        <v>254</v>
      </c>
      <c r="B257" s="196" t="s">
        <v>449</v>
      </c>
      <c r="C257" s="196"/>
      <c r="D257" s="196"/>
      <c r="E257" s="196"/>
      <c r="F257" s="197"/>
      <c r="G257" s="196"/>
    </row>
    <row r="258" spans="1:7" x14ac:dyDescent="0.2">
      <c r="A258" s="188">
        <v>255</v>
      </c>
      <c r="B258" s="196" t="s">
        <v>448</v>
      </c>
      <c r="C258" s="196"/>
      <c r="D258" s="196"/>
      <c r="E258" s="196"/>
      <c r="F258" s="197"/>
      <c r="G258" s="196"/>
    </row>
    <row r="259" spans="1:7" x14ac:dyDescent="0.2">
      <c r="A259" s="188">
        <v>256</v>
      </c>
      <c r="B259" s="196" t="s">
        <v>447</v>
      </c>
      <c r="C259" s="196"/>
      <c r="D259" s="196"/>
      <c r="E259" s="196"/>
      <c r="F259" s="197"/>
      <c r="G259" s="196"/>
    </row>
    <row r="260" spans="1:7" x14ac:dyDescent="0.2">
      <c r="A260" s="188">
        <v>257</v>
      </c>
      <c r="B260" s="196" t="s">
        <v>446</v>
      </c>
      <c r="C260" s="196"/>
      <c r="D260" s="196"/>
      <c r="E260" s="196"/>
      <c r="F260" s="197"/>
      <c r="G260" s="196"/>
    </row>
    <row r="261" spans="1:7" x14ac:dyDescent="0.2">
      <c r="A261" s="188">
        <v>258</v>
      </c>
      <c r="B261" s="196" t="s">
        <v>445</v>
      </c>
      <c r="C261" s="196"/>
      <c r="D261" s="196"/>
      <c r="E261" s="196"/>
      <c r="F261" s="197"/>
      <c r="G261" s="196"/>
    </row>
    <row r="262" spans="1:7" x14ac:dyDescent="0.2">
      <c r="A262" s="188">
        <v>259</v>
      </c>
      <c r="B262" s="196" t="s">
        <v>444</v>
      </c>
      <c r="C262" s="196"/>
      <c r="D262" s="196"/>
      <c r="E262" s="196"/>
      <c r="F262" s="197"/>
      <c r="G262" s="196"/>
    </row>
    <row r="263" spans="1:7" x14ac:dyDescent="0.2">
      <c r="A263" s="188">
        <v>260</v>
      </c>
      <c r="B263" s="196" t="s">
        <v>443</v>
      </c>
      <c r="C263" s="196"/>
      <c r="D263" s="196"/>
      <c r="E263" s="196"/>
      <c r="F263" s="197"/>
      <c r="G263" s="196"/>
    </row>
    <row r="264" spans="1:7" x14ac:dyDescent="0.2">
      <c r="A264" s="188">
        <v>261</v>
      </c>
      <c r="B264" s="196" t="s">
        <v>442</v>
      </c>
      <c r="C264" s="196"/>
      <c r="D264" s="196"/>
      <c r="E264" s="196"/>
      <c r="F264" s="197"/>
      <c r="G264" s="196"/>
    </row>
    <row r="265" spans="1:7" x14ac:dyDescent="0.2">
      <c r="A265" s="188">
        <v>262</v>
      </c>
      <c r="B265" s="196" t="s">
        <v>441</v>
      </c>
      <c r="C265" s="196"/>
      <c r="D265" s="196"/>
      <c r="E265" s="196"/>
      <c r="F265" s="197"/>
      <c r="G265" s="196"/>
    </row>
    <row r="266" spans="1:7" x14ac:dyDescent="0.2">
      <c r="A266" s="188">
        <v>263</v>
      </c>
      <c r="B266" s="196" t="s">
        <v>440</v>
      </c>
      <c r="C266" s="196"/>
      <c r="D266" s="196"/>
      <c r="E266" s="196"/>
      <c r="F266" s="197"/>
      <c r="G266" s="196"/>
    </row>
    <row r="267" spans="1:7" x14ac:dyDescent="0.2">
      <c r="A267" s="188">
        <v>264</v>
      </c>
      <c r="B267" s="196" t="s">
        <v>439</v>
      </c>
      <c r="C267" s="196"/>
      <c r="D267" s="196"/>
      <c r="E267" s="196"/>
      <c r="F267" s="197"/>
      <c r="G267" s="196"/>
    </row>
    <row r="268" spans="1:7" x14ac:dyDescent="0.2">
      <c r="A268" s="188">
        <v>265</v>
      </c>
      <c r="B268" s="196" t="s">
        <v>438</v>
      </c>
      <c r="C268" s="196"/>
      <c r="D268" s="196"/>
      <c r="E268" s="196"/>
      <c r="F268" s="197"/>
      <c r="G268" s="196"/>
    </row>
    <row r="269" spans="1:7" x14ac:dyDescent="0.2">
      <c r="A269" s="188">
        <v>266</v>
      </c>
      <c r="B269" s="196" t="s">
        <v>437</v>
      </c>
      <c r="C269" s="196"/>
      <c r="D269" s="196"/>
      <c r="E269" s="196"/>
      <c r="F269" s="197"/>
      <c r="G269" s="196"/>
    </row>
    <row r="270" spans="1:7" x14ac:dyDescent="0.2">
      <c r="A270" s="188">
        <v>267</v>
      </c>
      <c r="B270" s="196" t="s">
        <v>436</v>
      </c>
      <c r="C270" s="196"/>
      <c r="D270" s="196"/>
      <c r="E270" s="196"/>
      <c r="F270" s="197"/>
      <c r="G270" s="196"/>
    </row>
    <row r="271" spans="1:7" x14ac:dyDescent="0.2">
      <c r="A271" s="188">
        <v>268</v>
      </c>
      <c r="B271" s="196" t="s">
        <v>435</v>
      </c>
      <c r="C271" s="196"/>
      <c r="D271" s="196"/>
      <c r="E271" s="196"/>
      <c r="F271" s="197"/>
      <c r="G271" s="196"/>
    </row>
    <row r="272" spans="1:7" x14ac:dyDescent="0.2">
      <c r="A272" s="188">
        <v>269</v>
      </c>
      <c r="B272" s="196" t="s">
        <v>434</v>
      </c>
      <c r="C272" s="196"/>
      <c r="D272" s="196"/>
      <c r="E272" s="196"/>
      <c r="F272" s="197"/>
      <c r="G272" s="196"/>
    </row>
    <row r="273" spans="1:7" x14ac:dyDescent="0.2">
      <c r="A273" s="188">
        <v>270</v>
      </c>
      <c r="B273" s="196" t="s">
        <v>433</v>
      </c>
      <c r="C273" s="196"/>
      <c r="D273" s="196"/>
      <c r="E273" s="196"/>
      <c r="F273" s="197"/>
      <c r="G273" s="196"/>
    </row>
    <row r="274" spans="1:7" x14ac:dyDescent="0.2">
      <c r="A274" s="188">
        <v>271</v>
      </c>
      <c r="B274" s="196" t="s">
        <v>432</v>
      </c>
      <c r="C274" s="196"/>
      <c r="D274" s="196"/>
      <c r="E274" s="196"/>
      <c r="F274" s="197"/>
      <c r="G274" s="196"/>
    </row>
    <row r="275" spans="1:7" x14ac:dyDescent="0.2">
      <c r="A275" s="188">
        <v>272</v>
      </c>
      <c r="B275" s="196" t="s">
        <v>431</v>
      </c>
      <c r="C275" s="196"/>
      <c r="D275" s="196"/>
      <c r="E275" s="196"/>
      <c r="F275" s="197"/>
      <c r="G275" s="196"/>
    </row>
    <row r="276" spans="1:7" x14ac:dyDescent="0.2">
      <c r="A276" s="188">
        <v>273</v>
      </c>
      <c r="B276" s="196" t="s">
        <v>430</v>
      </c>
      <c r="C276" s="196"/>
      <c r="D276" s="196"/>
      <c r="E276" s="196"/>
      <c r="F276" s="197"/>
      <c r="G276" s="196"/>
    </row>
    <row r="277" spans="1:7" x14ac:dyDescent="0.2">
      <c r="A277" s="188">
        <v>274</v>
      </c>
      <c r="B277" s="196" t="s">
        <v>429</v>
      </c>
      <c r="C277" s="196"/>
      <c r="D277" s="196"/>
      <c r="E277" s="196"/>
      <c r="F277" s="197"/>
      <c r="G277" s="196"/>
    </row>
    <row r="278" spans="1:7" x14ac:dyDescent="0.2">
      <c r="A278" s="188">
        <v>275</v>
      </c>
      <c r="B278" s="196" t="s">
        <v>428</v>
      </c>
      <c r="C278" s="196"/>
      <c r="D278" s="196"/>
      <c r="E278" s="196"/>
      <c r="F278" s="197"/>
      <c r="G278" s="196"/>
    </row>
    <row r="279" spans="1:7" x14ac:dyDescent="0.2">
      <c r="A279" s="188">
        <v>276</v>
      </c>
      <c r="B279" s="196" t="s">
        <v>427</v>
      </c>
      <c r="C279" s="196"/>
      <c r="D279" s="196"/>
      <c r="E279" s="196"/>
      <c r="F279" s="197"/>
      <c r="G279" s="196"/>
    </row>
    <row r="280" spans="1:7" x14ac:dyDescent="0.2">
      <c r="A280" s="188">
        <v>277</v>
      </c>
      <c r="B280" s="196" t="s">
        <v>426</v>
      </c>
      <c r="C280" s="196"/>
      <c r="D280" s="196"/>
      <c r="E280" s="196"/>
      <c r="F280" s="197"/>
      <c r="G280" s="196"/>
    </row>
    <row r="281" spans="1:7" x14ac:dyDescent="0.2">
      <c r="A281" s="188">
        <v>278</v>
      </c>
      <c r="B281" s="196" t="s">
        <v>425</v>
      </c>
      <c r="C281" s="196"/>
      <c r="D281" s="196"/>
      <c r="E281" s="196"/>
      <c r="F281" s="197"/>
      <c r="G281" s="196"/>
    </row>
    <row r="282" spans="1:7" x14ac:dyDescent="0.2">
      <c r="A282" s="188">
        <v>279</v>
      </c>
      <c r="B282" s="196" t="s">
        <v>424</v>
      </c>
      <c r="C282" s="196"/>
      <c r="D282" s="196"/>
      <c r="E282" s="196"/>
      <c r="F282" s="197"/>
      <c r="G282" s="196"/>
    </row>
    <row r="283" spans="1:7" x14ac:dyDescent="0.2">
      <c r="A283" s="188">
        <v>280</v>
      </c>
      <c r="B283" s="196" t="s">
        <v>423</v>
      </c>
      <c r="C283" s="196"/>
      <c r="D283" s="196"/>
      <c r="E283" s="196"/>
      <c r="F283" s="197"/>
      <c r="G283" s="196"/>
    </row>
    <row r="284" spans="1:7" x14ac:dyDescent="0.2">
      <c r="A284" s="188">
        <v>281</v>
      </c>
      <c r="B284" s="196" t="s">
        <v>422</v>
      </c>
      <c r="C284" s="196"/>
      <c r="D284" s="196"/>
      <c r="E284" s="196"/>
      <c r="F284" s="197"/>
      <c r="G284" s="196"/>
    </row>
    <row r="285" spans="1:7" x14ac:dyDescent="0.2">
      <c r="A285" s="188">
        <v>282</v>
      </c>
      <c r="B285" s="196" t="s">
        <v>421</v>
      </c>
      <c r="C285" s="196"/>
      <c r="D285" s="196"/>
      <c r="E285" s="196"/>
      <c r="F285" s="197"/>
      <c r="G285" s="196"/>
    </row>
    <row r="286" spans="1:7" x14ac:dyDescent="0.2">
      <c r="A286" s="188">
        <v>283</v>
      </c>
      <c r="B286" s="196" t="s">
        <v>420</v>
      </c>
      <c r="C286" s="196"/>
      <c r="D286" s="196"/>
      <c r="E286" s="196"/>
      <c r="F286" s="197"/>
      <c r="G286" s="196"/>
    </row>
    <row r="287" spans="1:7" x14ac:dyDescent="0.2">
      <c r="A287" s="188">
        <v>284</v>
      </c>
      <c r="B287" s="196" t="s">
        <v>419</v>
      </c>
      <c r="C287" s="196"/>
      <c r="D287" s="196"/>
      <c r="E287" s="196"/>
      <c r="F287" s="197"/>
      <c r="G287" s="196"/>
    </row>
    <row r="288" spans="1:7" x14ac:dyDescent="0.2">
      <c r="A288" s="188">
        <v>285</v>
      </c>
      <c r="B288" s="196" t="s">
        <v>418</v>
      </c>
      <c r="C288" s="196"/>
      <c r="D288" s="196"/>
      <c r="E288" s="196"/>
      <c r="F288" s="197"/>
      <c r="G288" s="196"/>
    </row>
    <row r="289" spans="1:7" x14ac:dyDescent="0.2">
      <c r="A289" s="188">
        <v>286</v>
      </c>
      <c r="B289" s="196" t="s">
        <v>417</v>
      </c>
      <c r="C289" s="196"/>
      <c r="D289" s="196"/>
      <c r="E289" s="196"/>
      <c r="F289" s="197"/>
      <c r="G289" s="196"/>
    </row>
    <row r="290" spans="1:7" x14ac:dyDescent="0.2">
      <c r="A290" s="188">
        <v>287</v>
      </c>
      <c r="B290" s="196" t="s">
        <v>416</v>
      </c>
      <c r="C290" s="196"/>
      <c r="D290" s="196"/>
      <c r="E290" s="196"/>
      <c r="F290" s="197"/>
      <c r="G290" s="196"/>
    </row>
    <row r="291" spans="1:7" x14ac:dyDescent="0.2">
      <c r="A291" s="188">
        <v>288</v>
      </c>
      <c r="B291" s="196" t="s">
        <v>415</v>
      </c>
      <c r="C291" s="196"/>
      <c r="D291" s="196"/>
      <c r="E291" s="196"/>
      <c r="F291" s="197"/>
      <c r="G291" s="196"/>
    </row>
    <row r="292" spans="1:7" x14ac:dyDescent="0.2">
      <c r="A292" s="188">
        <v>289</v>
      </c>
      <c r="B292" s="196" t="s">
        <v>414</v>
      </c>
      <c r="C292" s="196"/>
      <c r="D292" s="196"/>
      <c r="E292" s="196"/>
      <c r="F292" s="197"/>
      <c r="G292" s="196"/>
    </row>
    <row r="293" spans="1:7" x14ac:dyDescent="0.2">
      <c r="A293" s="188">
        <v>290</v>
      </c>
      <c r="B293" s="196" t="s">
        <v>413</v>
      </c>
      <c r="C293" s="196"/>
      <c r="D293" s="196"/>
      <c r="E293" s="196"/>
      <c r="F293" s="197"/>
      <c r="G293" s="196"/>
    </row>
    <row r="294" spans="1:7" x14ac:dyDescent="0.2">
      <c r="A294" s="188">
        <v>291</v>
      </c>
      <c r="B294" s="196" t="s">
        <v>412</v>
      </c>
      <c r="C294" s="196"/>
      <c r="D294" s="196"/>
      <c r="E294" s="196"/>
      <c r="F294" s="197"/>
      <c r="G294" s="196"/>
    </row>
    <row r="295" spans="1:7" x14ac:dyDescent="0.2">
      <c r="A295" s="188">
        <v>292</v>
      </c>
      <c r="B295" s="196" t="s">
        <v>411</v>
      </c>
      <c r="C295" s="196"/>
      <c r="D295" s="196"/>
      <c r="E295" s="196"/>
      <c r="F295" s="197"/>
      <c r="G295" s="196"/>
    </row>
    <row r="296" spans="1:7" x14ac:dyDescent="0.2">
      <c r="A296" s="188">
        <v>293</v>
      </c>
      <c r="B296" s="196" t="s">
        <v>410</v>
      </c>
      <c r="C296" s="196"/>
      <c r="D296" s="196"/>
      <c r="E296" s="196"/>
      <c r="F296" s="197"/>
      <c r="G296" s="196"/>
    </row>
    <row r="297" spans="1:7" x14ac:dyDescent="0.2">
      <c r="A297" s="188">
        <v>294</v>
      </c>
      <c r="B297" s="196" t="s">
        <v>409</v>
      </c>
      <c r="C297" s="196"/>
      <c r="D297" s="196"/>
      <c r="E297" s="196"/>
      <c r="F297" s="197"/>
      <c r="G297" s="196"/>
    </row>
    <row r="298" spans="1:7" x14ac:dyDescent="0.2">
      <c r="A298" s="188">
        <v>295</v>
      </c>
      <c r="B298" s="196" t="s">
        <v>408</v>
      </c>
      <c r="C298" s="196"/>
      <c r="D298" s="196"/>
      <c r="E298" s="196"/>
      <c r="F298" s="197"/>
      <c r="G298" s="196"/>
    </row>
    <row r="299" spans="1:7" x14ac:dyDescent="0.2">
      <c r="A299" s="188">
        <v>296</v>
      </c>
      <c r="B299" s="196" t="s">
        <v>407</v>
      </c>
      <c r="C299" s="196"/>
      <c r="D299" s="196"/>
      <c r="E299" s="196"/>
      <c r="F299" s="197"/>
      <c r="G299" s="196"/>
    </row>
    <row r="300" spans="1:7" x14ac:dyDescent="0.2">
      <c r="A300" s="188">
        <v>297</v>
      </c>
      <c r="B300" s="196" t="s">
        <v>406</v>
      </c>
      <c r="C300" s="196"/>
      <c r="D300" s="196"/>
      <c r="E300" s="196"/>
      <c r="F300" s="197"/>
      <c r="G300" s="196"/>
    </row>
    <row r="301" spans="1:7" x14ac:dyDescent="0.2">
      <c r="A301" s="188">
        <v>298</v>
      </c>
      <c r="B301" s="196" t="s">
        <v>405</v>
      </c>
      <c r="C301" s="196"/>
      <c r="D301" s="196"/>
      <c r="E301" s="196"/>
      <c r="F301" s="197"/>
      <c r="G301" s="196"/>
    </row>
    <row r="302" spans="1:7" x14ac:dyDescent="0.2">
      <c r="A302" s="188">
        <v>299</v>
      </c>
      <c r="B302" s="196" t="s">
        <v>404</v>
      </c>
      <c r="C302" s="196"/>
      <c r="D302" s="196"/>
      <c r="E302" s="196"/>
      <c r="F302" s="197"/>
      <c r="G302" s="196"/>
    </row>
    <row r="303" spans="1:7" x14ac:dyDescent="0.2">
      <c r="A303" s="188">
        <v>300</v>
      </c>
      <c r="B303" s="196" t="s">
        <v>403</v>
      </c>
      <c r="C303" s="196"/>
      <c r="D303" s="196"/>
      <c r="E303" s="196"/>
      <c r="F303" s="197"/>
      <c r="G303" s="196"/>
    </row>
    <row r="304" spans="1:7" x14ac:dyDescent="0.2">
      <c r="A304" s="188">
        <v>301</v>
      </c>
      <c r="B304" s="196" t="s">
        <v>402</v>
      </c>
      <c r="C304" s="196"/>
      <c r="D304" s="196"/>
      <c r="E304" s="196"/>
      <c r="F304" s="197"/>
      <c r="G304" s="196"/>
    </row>
    <row r="305" spans="1:7" x14ac:dyDescent="0.2">
      <c r="A305" s="188">
        <v>302</v>
      </c>
      <c r="B305" s="196" t="s">
        <v>401</v>
      </c>
      <c r="C305" s="196"/>
      <c r="D305" s="196"/>
      <c r="E305" s="196"/>
      <c r="F305" s="197"/>
      <c r="G305" s="196"/>
    </row>
    <row r="306" spans="1:7" x14ac:dyDescent="0.2">
      <c r="A306" s="188">
        <v>303</v>
      </c>
      <c r="B306" s="196" t="s">
        <v>400</v>
      </c>
      <c r="C306" s="196"/>
      <c r="D306" s="196"/>
      <c r="E306" s="196"/>
      <c r="F306" s="197"/>
      <c r="G306" s="196"/>
    </row>
    <row r="307" spans="1:7" x14ac:dyDescent="0.2">
      <c r="A307" s="188">
        <v>304</v>
      </c>
      <c r="B307" s="196" t="s">
        <v>399</v>
      </c>
      <c r="C307" s="196"/>
      <c r="D307" s="196"/>
      <c r="E307" s="196"/>
      <c r="F307" s="197"/>
      <c r="G307" s="196"/>
    </row>
    <row r="308" spans="1:7" x14ac:dyDescent="0.2">
      <c r="A308" s="188">
        <v>305</v>
      </c>
      <c r="B308" s="196" t="s">
        <v>398</v>
      </c>
      <c r="C308" s="196"/>
      <c r="D308" s="196"/>
      <c r="E308" s="196"/>
      <c r="F308" s="197"/>
      <c r="G308" s="196"/>
    </row>
    <row r="309" spans="1:7" x14ac:dyDescent="0.2">
      <c r="A309" s="188">
        <v>306</v>
      </c>
      <c r="B309" s="196" t="s">
        <v>397</v>
      </c>
      <c r="C309" s="196"/>
      <c r="D309" s="196"/>
      <c r="E309" s="196"/>
      <c r="F309" s="197"/>
      <c r="G309" s="196"/>
    </row>
    <row r="310" spans="1:7" x14ac:dyDescent="0.2">
      <c r="A310" s="188">
        <v>307</v>
      </c>
      <c r="B310" s="196" t="s">
        <v>396</v>
      </c>
      <c r="C310" s="196"/>
      <c r="D310" s="196"/>
      <c r="E310" s="196"/>
      <c r="F310" s="197"/>
      <c r="G310" s="196"/>
    </row>
    <row r="311" spans="1:7" x14ac:dyDescent="0.2">
      <c r="A311" s="188">
        <v>308</v>
      </c>
      <c r="B311" s="196" t="s">
        <v>395</v>
      </c>
      <c r="C311" s="196"/>
      <c r="D311" s="196"/>
      <c r="E311" s="196"/>
      <c r="F311" s="197"/>
      <c r="G311" s="196"/>
    </row>
    <row r="312" spans="1:7" x14ac:dyDescent="0.2">
      <c r="A312" s="188">
        <v>309</v>
      </c>
      <c r="B312" s="196" t="s">
        <v>394</v>
      </c>
      <c r="C312" s="196"/>
      <c r="D312" s="196"/>
      <c r="E312" s="196"/>
      <c r="F312" s="197"/>
      <c r="G312" s="196"/>
    </row>
    <row r="313" spans="1:7" x14ac:dyDescent="0.2">
      <c r="A313" s="188">
        <v>310</v>
      </c>
      <c r="B313" s="196" t="s">
        <v>393</v>
      </c>
      <c r="C313" s="196"/>
      <c r="D313" s="196"/>
      <c r="E313" s="196"/>
      <c r="F313" s="197"/>
      <c r="G313" s="196"/>
    </row>
    <row r="314" spans="1:7" x14ac:dyDescent="0.2">
      <c r="A314" s="188">
        <v>311</v>
      </c>
      <c r="B314" s="196" t="s">
        <v>392</v>
      </c>
      <c r="C314" s="196"/>
      <c r="D314" s="196"/>
      <c r="E314" s="196"/>
      <c r="F314" s="197"/>
      <c r="G314" s="196"/>
    </row>
    <row r="315" spans="1:7" x14ac:dyDescent="0.2">
      <c r="A315" s="188">
        <v>312</v>
      </c>
      <c r="B315" s="196" t="s">
        <v>391</v>
      </c>
      <c r="C315" s="196"/>
      <c r="D315" s="196"/>
      <c r="E315" s="196"/>
      <c r="F315" s="197"/>
      <c r="G315" s="196"/>
    </row>
    <row r="316" spans="1:7" x14ac:dyDescent="0.2">
      <c r="A316" s="188">
        <v>313</v>
      </c>
      <c r="B316" s="196" t="s">
        <v>390</v>
      </c>
      <c r="C316" s="196"/>
      <c r="D316" s="196"/>
      <c r="E316" s="196"/>
      <c r="F316" s="197"/>
      <c r="G316" s="196"/>
    </row>
    <row r="317" spans="1:7" x14ac:dyDescent="0.2">
      <c r="A317" s="188">
        <v>314</v>
      </c>
      <c r="B317" s="196" t="s">
        <v>389</v>
      </c>
      <c r="C317" s="196"/>
      <c r="D317" s="196"/>
      <c r="E317" s="196"/>
      <c r="F317" s="197"/>
      <c r="G317" s="196"/>
    </row>
    <row r="318" spans="1:7" x14ac:dyDescent="0.2">
      <c r="A318" s="188">
        <v>315</v>
      </c>
      <c r="B318" s="196" t="s">
        <v>388</v>
      </c>
      <c r="C318" s="196"/>
      <c r="D318" s="196"/>
      <c r="E318" s="196"/>
      <c r="F318" s="197"/>
      <c r="G318" s="196"/>
    </row>
    <row r="319" spans="1:7" x14ac:dyDescent="0.2">
      <c r="A319" s="188">
        <v>316</v>
      </c>
      <c r="B319" s="196" t="s">
        <v>387</v>
      </c>
      <c r="C319" s="196"/>
      <c r="D319" s="196"/>
      <c r="E319" s="196"/>
      <c r="F319" s="197"/>
      <c r="G319" s="196"/>
    </row>
    <row r="320" spans="1:7" x14ac:dyDescent="0.2">
      <c r="A320" s="188">
        <v>317</v>
      </c>
      <c r="B320" s="196" t="s">
        <v>386</v>
      </c>
      <c r="C320" s="196"/>
      <c r="D320" s="196"/>
      <c r="E320" s="196"/>
      <c r="F320" s="197"/>
      <c r="G320" s="196"/>
    </row>
    <row r="321" spans="1:7" x14ac:dyDescent="0.2">
      <c r="A321" s="188">
        <v>318</v>
      </c>
      <c r="B321" s="196" t="s">
        <v>385</v>
      </c>
      <c r="C321" s="196"/>
      <c r="D321" s="196"/>
      <c r="E321" s="196"/>
      <c r="F321" s="197"/>
      <c r="G321" s="196"/>
    </row>
    <row r="322" spans="1:7" x14ac:dyDescent="0.2">
      <c r="A322" s="188">
        <v>319</v>
      </c>
      <c r="B322" s="196" t="s">
        <v>384</v>
      </c>
      <c r="C322" s="196"/>
      <c r="D322" s="196"/>
      <c r="E322" s="196"/>
      <c r="F322" s="197"/>
      <c r="G322" s="196"/>
    </row>
    <row r="323" spans="1:7" x14ac:dyDescent="0.2">
      <c r="A323" s="188">
        <v>320</v>
      </c>
      <c r="B323" s="196" t="s">
        <v>383</v>
      </c>
      <c r="C323" s="196"/>
      <c r="D323" s="196"/>
      <c r="E323" s="196"/>
      <c r="F323" s="197"/>
      <c r="G323" s="196"/>
    </row>
    <row r="324" spans="1:7" x14ac:dyDescent="0.2">
      <c r="A324" s="188">
        <v>321</v>
      </c>
      <c r="B324" s="196" t="s">
        <v>382</v>
      </c>
      <c r="C324" s="196"/>
      <c r="D324" s="196"/>
      <c r="E324" s="196"/>
      <c r="F324" s="197"/>
      <c r="G324" s="196"/>
    </row>
    <row r="325" spans="1:7" x14ac:dyDescent="0.2">
      <c r="A325" s="188">
        <v>322</v>
      </c>
      <c r="B325" s="196" t="s">
        <v>381</v>
      </c>
      <c r="C325" s="196"/>
      <c r="D325" s="196"/>
      <c r="E325" s="196"/>
      <c r="F325" s="197"/>
      <c r="G325" s="196"/>
    </row>
    <row r="326" spans="1:7" x14ac:dyDescent="0.2">
      <c r="A326" s="188">
        <v>323</v>
      </c>
      <c r="B326" s="196" t="s">
        <v>380</v>
      </c>
      <c r="C326" s="196"/>
      <c r="D326" s="196"/>
      <c r="E326" s="196"/>
      <c r="F326" s="197"/>
      <c r="G326" s="196"/>
    </row>
    <row r="327" spans="1:7" x14ac:dyDescent="0.2">
      <c r="A327" s="188">
        <v>324</v>
      </c>
      <c r="B327" s="196" t="s">
        <v>379</v>
      </c>
      <c r="C327" s="196"/>
      <c r="D327" s="196"/>
      <c r="E327" s="196"/>
      <c r="F327" s="197"/>
      <c r="G327" s="196"/>
    </row>
    <row r="328" spans="1:7" x14ac:dyDescent="0.2">
      <c r="A328" s="188">
        <v>325</v>
      </c>
      <c r="B328" s="196" t="s">
        <v>378</v>
      </c>
      <c r="C328" s="196"/>
      <c r="D328" s="196"/>
      <c r="E328" s="196"/>
      <c r="F328" s="197"/>
      <c r="G328" s="196"/>
    </row>
    <row r="329" spans="1:7" x14ac:dyDescent="0.2">
      <c r="A329" s="188">
        <v>326</v>
      </c>
      <c r="B329" s="196" t="s">
        <v>377</v>
      </c>
      <c r="C329" s="196"/>
      <c r="D329" s="196"/>
      <c r="E329" s="196"/>
      <c r="F329" s="197"/>
      <c r="G329" s="196"/>
    </row>
    <row r="330" spans="1:7" x14ac:dyDescent="0.2">
      <c r="A330" s="188">
        <v>327</v>
      </c>
      <c r="B330" s="196" t="s">
        <v>376</v>
      </c>
      <c r="C330" s="196"/>
      <c r="D330" s="196"/>
      <c r="E330" s="196"/>
      <c r="F330" s="197"/>
      <c r="G330" s="196"/>
    </row>
    <row r="331" spans="1:7" x14ac:dyDescent="0.2">
      <c r="A331" s="188">
        <v>328</v>
      </c>
      <c r="B331" s="196" t="s">
        <v>375</v>
      </c>
      <c r="C331" s="196"/>
      <c r="D331" s="196"/>
      <c r="E331" s="196"/>
      <c r="F331" s="197"/>
      <c r="G331" s="196"/>
    </row>
    <row r="332" spans="1:7" x14ac:dyDescent="0.2">
      <c r="A332" s="188">
        <v>329</v>
      </c>
      <c r="B332" s="196" t="s">
        <v>374</v>
      </c>
      <c r="C332" s="196"/>
      <c r="D332" s="196"/>
      <c r="E332" s="196"/>
      <c r="F332" s="197"/>
      <c r="G332" s="196"/>
    </row>
    <row r="333" spans="1:7" x14ac:dyDescent="0.2">
      <c r="A333" s="188">
        <v>330</v>
      </c>
      <c r="B333" s="196" t="s">
        <v>373</v>
      </c>
      <c r="C333" s="196"/>
      <c r="D333" s="196"/>
      <c r="E333" s="196"/>
      <c r="F333" s="197"/>
      <c r="G333" s="196"/>
    </row>
    <row r="334" spans="1:7" x14ac:dyDescent="0.2">
      <c r="A334" s="188">
        <v>331</v>
      </c>
      <c r="B334" s="196" t="s">
        <v>372</v>
      </c>
      <c r="C334" s="196"/>
      <c r="D334" s="196"/>
      <c r="E334" s="196"/>
      <c r="F334" s="197"/>
      <c r="G334" s="196"/>
    </row>
    <row r="335" spans="1:7" x14ac:dyDescent="0.2">
      <c r="A335" s="188">
        <v>332</v>
      </c>
      <c r="B335" s="196" t="s">
        <v>371</v>
      </c>
      <c r="C335" s="196"/>
      <c r="D335" s="196"/>
      <c r="E335" s="196"/>
      <c r="F335" s="197"/>
      <c r="G335" s="196"/>
    </row>
    <row r="336" spans="1:7" x14ac:dyDescent="0.2">
      <c r="A336" s="188">
        <v>333</v>
      </c>
      <c r="B336" s="196" t="s">
        <v>370</v>
      </c>
      <c r="C336" s="196"/>
      <c r="D336" s="196"/>
      <c r="E336" s="196"/>
      <c r="F336" s="197"/>
      <c r="G336" s="196"/>
    </row>
    <row r="337" spans="1:7" x14ac:dyDescent="0.2">
      <c r="A337" s="188">
        <v>334</v>
      </c>
      <c r="B337" s="196" t="s">
        <v>369</v>
      </c>
      <c r="C337" s="196"/>
      <c r="D337" s="196"/>
      <c r="E337" s="196"/>
      <c r="F337" s="197"/>
      <c r="G337" s="196"/>
    </row>
    <row r="338" spans="1:7" x14ac:dyDescent="0.2">
      <c r="A338" s="188">
        <v>335</v>
      </c>
      <c r="B338" s="196" t="s">
        <v>368</v>
      </c>
      <c r="C338" s="196"/>
      <c r="D338" s="196"/>
      <c r="E338" s="196"/>
      <c r="F338" s="197"/>
      <c r="G338" s="196"/>
    </row>
    <row r="339" spans="1:7" x14ac:dyDescent="0.2">
      <c r="A339" s="188">
        <v>336</v>
      </c>
      <c r="B339" s="196" t="s">
        <v>367</v>
      </c>
      <c r="C339" s="196"/>
      <c r="D339" s="196"/>
      <c r="E339" s="196"/>
      <c r="F339" s="197"/>
      <c r="G339" s="196"/>
    </row>
    <row r="340" spans="1:7" x14ac:dyDescent="0.2">
      <c r="A340" s="188">
        <v>337</v>
      </c>
      <c r="B340" s="196" t="s">
        <v>366</v>
      </c>
      <c r="C340" s="196"/>
      <c r="D340" s="196"/>
      <c r="E340" s="196"/>
      <c r="F340" s="197"/>
      <c r="G340" s="196"/>
    </row>
    <row r="341" spans="1:7" x14ac:dyDescent="0.2">
      <c r="A341" s="188">
        <v>338</v>
      </c>
      <c r="B341" s="196" t="s">
        <v>365</v>
      </c>
      <c r="C341" s="196"/>
      <c r="D341" s="196"/>
      <c r="E341" s="196"/>
      <c r="F341" s="197"/>
      <c r="G341" s="196"/>
    </row>
    <row r="342" spans="1:7" x14ac:dyDescent="0.2">
      <c r="A342" s="188">
        <v>339</v>
      </c>
      <c r="B342" s="196" t="s">
        <v>364</v>
      </c>
      <c r="C342" s="196"/>
      <c r="D342" s="196"/>
      <c r="E342" s="196"/>
      <c r="F342" s="197"/>
      <c r="G342" s="196"/>
    </row>
    <row r="343" spans="1:7" x14ac:dyDescent="0.2">
      <c r="A343" s="188">
        <v>340</v>
      </c>
      <c r="B343" s="196" t="s">
        <v>363</v>
      </c>
      <c r="C343" s="196"/>
      <c r="D343" s="196"/>
      <c r="E343" s="196"/>
      <c r="F343" s="197"/>
      <c r="G343" s="196"/>
    </row>
    <row r="344" spans="1:7" x14ac:dyDescent="0.2">
      <c r="A344" s="188">
        <v>341</v>
      </c>
      <c r="B344" s="196" t="s">
        <v>362</v>
      </c>
      <c r="C344" s="196"/>
      <c r="D344" s="196"/>
      <c r="E344" s="196"/>
      <c r="F344" s="197"/>
      <c r="G344" s="196"/>
    </row>
    <row r="345" spans="1:7" x14ac:dyDescent="0.2">
      <c r="A345" s="188">
        <v>342</v>
      </c>
      <c r="B345" s="196" t="s">
        <v>361</v>
      </c>
      <c r="C345" s="196"/>
      <c r="D345" s="196"/>
      <c r="E345" s="196"/>
      <c r="F345" s="197"/>
      <c r="G345" s="196"/>
    </row>
    <row r="346" spans="1:7" x14ac:dyDescent="0.2">
      <c r="A346" s="188">
        <v>343</v>
      </c>
      <c r="B346" s="196" t="s">
        <v>360</v>
      </c>
      <c r="C346" s="196"/>
      <c r="D346" s="196"/>
      <c r="E346" s="196"/>
      <c r="F346" s="197"/>
      <c r="G346" s="196"/>
    </row>
    <row r="347" spans="1:7" x14ac:dyDescent="0.2">
      <c r="A347" s="188">
        <v>344</v>
      </c>
      <c r="B347" s="196" t="s">
        <v>359</v>
      </c>
      <c r="C347" s="196"/>
      <c r="D347" s="196"/>
      <c r="E347" s="196"/>
      <c r="F347" s="197"/>
      <c r="G347" s="196"/>
    </row>
    <row r="348" spans="1:7" x14ac:dyDescent="0.2">
      <c r="A348" s="188">
        <v>345</v>
      </c>
      <c r="B348" s="196" t="s">
        <v>358</v>
      </c>
      <c r="C348" s="196"/>
      <c r="D348" s="196"/>
      <c r="E348" s="196"/>
      <c r="F348" s="197"/>
      <c r="G348" s="196"/>
    </row>
    <row r="349" spans="1:7" x14ac:dyDescent="0.2">
      <c r="A349" s="188">
        <v>346</v>
      </c>
      <c r="B349" s="196" t="s">
        <v>357</v>
      </c>
      <c r="C349" s="196"/>
      <c r="D349" s="196"/>
      <c r="E349" s="196"/>
      <c r="F349" s="197"/>
      <c r="G349" s="196"/>
    </row>
    <row r="350" spans="1:7" x14ac:dyDescent="0.2">
      <c r="A350" s="188">
        <v>347</v>
      </c>
      <c r="B350" s="196" t="s">
        <v>356</v>
      </c>
      <c r="C350" s="196"/>
      <c r="D350" s="196"/>
      <c r="E350" s="196"/>
      <c r="F350" s="197"/>
      <c r="G350" s="196"/>
    </row>
    <row r="351" spans="1:7" x14ac:dyDescent="0.2">
      <c r="A351" s="188">
        <v>348</v>
      </c>
      <c r="B351" s="196" t="s">
        <v>355</v>
      </c>
      <c r="C351" s="196"/>
      <c r="D351" s="196"/>
      <c r="E351" s="196"/>
      <c r="F351" s="197"/>
      <c r="G351" s="196"/>
    </row>
    <row r="352" spans="1:7" x14ac:dyDescent="0.2">
      <c r="A352" s="188">
        <v>349</v>
      </c>
      <c r="B352" s="196" t="s">
        <v>354</v>
      </c>
      <c r="C352" s="196"/>
      <c r="D352" s="196"/>
      <c r="E352" s="196"/>
      <c r="F352" s="197"/>
      <c r="G352" s="196"/>
    </row>
    <row r="353" spans="1:7" x14ac:dyDescent="0.2">
      <c r="A353" s="188">
        <v>350</v>
      </c>
      <c r="B353" s="196" t="s">
        <v>353</v>
      </c>
      <c r="C353" s="196"/>
      <c r="D353" s="196"/>
      <c r="E353" s="196"/>
      <c r="F353" s="197"/>
      <c r="G353" s="196"/>
    </row>
    <row r="354" spans="1:7" x14ac:dyDescent="0.2">
      <c r="A354" s="188">
        <v>351</v>
      </c>
      <c r="B354" s="196" t="s">
        <v>352</v>
      </c>
      <c r="C354" s="196"/>
      <c r="D354" s="196"/>
      <c r="E354" s="196"/>
      <c r="F354" s="197"/>
      <c r="G354" s="196"/>
    </row>
    <row r="355" spans="1:7" x14ac:dyDescent="0.2">
      <c r="A355" s="188">
        <v>352</v>
      </c>
      <c r="B355" s="196" t="s">
        <v>351</v>
      </c>
      <c r="C355" s="196"/>
      <c r="D355" s="196"/>
      <c r="E355" s="196"/>
      <c r="F355" s="197"/>
      <c r="G355" s="196"/>
    </row>
    <row r="356" spans="1:7" x14ac:dyDescent="0.2">
      <c r="A356" s="188">
        <v>353</v>
      </c>
      <c r="B356" s="196" t="s">
        <v>350</v>
      </c>
      <c r="C356" s="196"/>
      <c r="D356" s="196"/>
      <c r="E356" s="196"/>
      <c r="F356" s="197"/>
      <c r="G356" s="196"/>
    </row>
    <row r="357" spans="1:7" x14ac:dyDescent="0.2">
      <c r="A357" s="188">
        <v>354</v>
      </c>
      <c r="B357" s="196" t="s">
        <v>349</v>
      </c>
      <c r="C357" s="196"/>
      <c r="D357" s="196"/>
      <c r="E357" s="196"/>
      <c r="F357" s="197"/>
      <c r="G357" s="196"/>
    </row>
    <row r="358" spans="1:7" x14ac:dyDescent="0.2">
      <c r="A358" s="188">
        <v>355</v>
      </c>
      <c r="B358" s="196" t="s">
        <v>348</v>
      </c>
      <c r="C358" s="196"/>
      <c r="D358" s="196"/>
      <c r="E358" s="196"/>
      <c r="F358" s="197"/>
      <c r="G358" s="196"/>
    </row>
    <row r="359" spans="1:7" x14ac:dyDescent="0.2">
      <c r="A359" s="188">
        <v>356</v>
      </c>
      <c r="B359" s="196" t="s">
        <v>347</v>
      </c>
      <c r="C359" s="196"/>
      <c r="D359" s="196"/>
      <c r="E359" s="196"/>
      <c r="F359" s="197"/>
      <c r="G359" s="196"/>
    </row>
    <row r="360" spans="1:7" x14ac:dyDescent="0.2">
      <c r="A360" s="188">
        <v>357</v>
      </c>
      <c r="B360" s="196" t="s">
        <v>346</v>
      </c>
      <c r="C360" s="196"/>
      <c r="D360" s="196"/>
      <c r="E360" s="196"/>
      <c r="F360" s="197"/>
      <c r="G360" s="196"/>
    </row>
    <row r="361" spans="1:7" x14ac:dyDescent="0.2">
      <c r="A361" s="188">
        <v>358</v>
      </c>
      <c r="B361" s="196" t="s">
        <v>345</v>
      </c>
      <c r="C361" s="196"/>
      <c r="D361" s="196"/>
      <c r="E361" s="196"/>
      <c r="F361" s="197"/>
      <c r="G361" s="196"/>
    </row>
    <row r="362" spans="1:7" x14ac:dyDescent="0.2">
      <c r="A362" s="188">
        <v>359</v>
      </c>
      <c r="B362" s="196" t="s">
        <v>344</v>
      </c>
      <c r="C362" s="196"/>
      <c r="D362" s="196"/>
      <c r="E362" s="196"/>
      <c r="F362" s="197"/>
      <c r="G362" s="196"/>
    </row>
    <row r="363" spans="1:7" x14ac:dyDescent="0.2">
      <c r="A363" s="188">
        <v>360</v>
      </c>
      <c r="B363" s="196" t="s">
        <v>343</v>
      </c>
      <c r="C363" s="196"/>
      <c r="D363" s="196"/>
      <c r="E363" s="196"/>
      <c r="F363" s="197"/>
      <c r="G363" s="196"/>
    </row>
    <row r="364" spans="1:7" x14ac:dyDescent="0.2">
      <c r="A364" s="188">
        <v>361</v>
      </c>
      <c r="B364" s="196" t="s">
        <v>342</v>
      </c>
      <c r="C364" s="196"/>
      <c r="D364" s="196"/>
      <c r="E364" s="196"/>
      <c r="F364" s="197"/>
      <c r="G364" s="196"/>
    </row>
    <row r="365" spans="1:7" x14ac:dyDescent="0.2">
      <c r="A365" s="188">
        <v>362</v>
      </c>
      <c r="B365" s="196" t="s">
        <v>341</v>
      </c>
      <c r="C365" s="196"/>
      <c r="D365" s="196"/>
      <c r="E365" s="196"/>
      <c r="F365" s="197"/>
      <c r="G365" s="196"/>
    </row>
    <row r="366" spans="1:7" x14ac:dyDescent="0.2">
      <c r="A366" s="188">
        <v>363</v>
      </c>
      <c r="B366" s="196" t="s">
        <v>340</v>
      </c>
      <c r="C366" s="196"/>
      <c r="D366" s="196"/>
      <c r="E366" s="196"/>
      <c r="F366" s="197"/>
      <c r="G366" s="196"/>
    </row>
    <row r="367" spans="1:7" x14ac:dyDescent="0.2">
      <c r="A367" s="188">
        <v>364</v>
      </c>
      <c r="B367" s="196" t="s">
        <v>339</v>
      </c>
      <c r="C367" s="196"/>
      <c r="D367" s="196"/>
      <c r="E367" s="196"/>
      <c r="F367" s="197"/>
      <c r="G367" s="196"/>
    </row>
    <row r="368" spans="1:7" x14ac:dyDescent="0.2">
      <c r="A368" s="188">
        <v>365</v>
      </c>
      <c r="B368" s="196" t="s">
        <v>338</v>
      </c>
      <c r="C368" s="196"/>
      <c r="D368" s="196"/>
      <c r="E368" s="196"/>
      <c r="F368" s="197"/>
      <c r="G368" s="196"/>
    </row>
    <row r="369" spans="1:7" x14ac:dyDescent="0.2">
      <c r="A369" s="188">
        <v>366</v>
      </c>
      <c r="B369" s="196" t="s">
        <v>337</v>
      </c>
      <c r="C369" s="196"/>
      <c r="D369" s="196"/>
      <c r="E369" s="196"/>
      <c r="F369" s="197"/>
      <c r="G369" s="196"/>
    </row>
    <row r="370" spans="1:7" x14ac:dyDescent="0.2">
      <c r="A370" s="188">
        <v>367</v>
      </c>
      <c r="B370" s="196" t="s">
        <v>336</v>
      </c>
      <c r="C370" s="196"/>
      <c r="D370" s="196"/>
      <c r="E370" s="196"/>
      <c r="F370" s="197"/>
      <c r="G370" s="196"/>
    </row>
    <row r="371" spans="1:7" x14ac:dyDescent="0.2">
      <c r="A371" s="188">
        <v>368</v>
      </c>
      <c r="B371" s="196" t="s">
        <v>335</v>
      </c>
      <c r="C371" s="196"/>
      <c r="D371" s="196"/>
      <c r="E371" s="196"/>
      <c r="F371" s="197"/>
      <c r="G371" s="196"/>
    </row>
    <row r="372" spans="1:7" x14ac:dyDescent="0.2">
      <c r="A372" s="188">
        <v>369</v>
      </c>
      <c r="B372" s="196" t="s">
        <v>334</v>
      </c>
      <c r="C372" s="196"/>
      <c r="D372" s="196"/>
      <c r="E372" s="196"/>
      <c r="F372" s="197"/>
      <c r="G372" s="196"/>
    </row>
    <row r="373" spans="1:7" x14ac:dyDescent="0.2">
      <c r="A373" s="188">
        <v>370</v>
      </c>
      <c r="B373" s="196" t="s">
        <v>333</v>
      </c>
      <c r="C373" s="196"/>
      <c r="D373" s="196"/>
      <c r="E373" s="196"/>
      <c r="F373" s="197"/>
      <c r="G373" s="196"/>
    </row>
    <row r="374" spans="1:7" x14ac:dyDescent="0.2">
      <c r="A374" s="188">
        <v>371</v>
      </c>
      <c r="B374" s="196" t="s">
        <v>332</v>
      </c>
      <c r="C374" s="196"/>
      <c r="D374" s="196"/>
      <c r="E374" s="196"/>
      <c r="F374" s="197"/>
      <c r="G374" s="196"/>
    </row>
    <row r="375" spans="1:7" x14ac:dyDescent="0.2">
      <c r="A375" s="188">
        <v>372</v>
      </c>
      <c r="B375" s="196" t="s">
        <v>331</v>
      </c>
      <c r="C375" s="196"/>
      <c r="D375" s="196"/>
      <c r="E375" s="196"/>
      <c r="F375" s="197"/>
      <c r="G375" s="196"/>
    </row>
    <row r="376" spans="1:7" x14ac:dyDescent="0.2">
      <c r="A376" s="188">
        <v>373</v>
      </c>
      <c r="B376" s="196" t="s">
        <v>330</v>
      </c>
      <c r="C376" s="196"/>
      <c r="D376" s="196"/>
      <c r="E376" s="196"/>
      <c r="F376" s="197"/>
      <c r="G376" s="196"/>
    </row>
    <row r="377" spans="1:7" x14ac:dyDescent="0.2">
      <c r="A377" s="188">
        <v>374</v>
      </c>
      <c r="B377" s="196" t="s">
        <v>329</v>
      </c>
      <c r="C377" s="196"/>
      <c r="D377" s="196"/>
      <c r="E377" s="196"/>
      <c r="F377" s="197"/>
      <c r="G377" s="196"/>
    </row>
    <row r="378" spans="1:7" x14ac:dyDescent="0.2">
      <c r="A378" s="188">
        <v>375</v>
      </c>
      <c r="B378" s="196" t="s">
        <v>328</v>
      </c>
      <c r="C378" s="196"/>
      <c r="D378" s="196"/>
      <c r="E378" s="196"/>
      <c r="F378" s="197"/>
      <c r="G378" s="196"/>
    </row>
    <row r="379" spans="1:7" x14ac:dyDescent="0.2">
      <c r="A379" s="188">
        <v>376</v>
      </c>
      <c r="B379" s="196" t="s">
        <v>327</v>
      </c>
      <c r="C379" s="196"/>
      <c r="D379" s="196"/>
      <c r="E379" s="196"/>
      <c r="F379" s="197"/>
      <c r="G379" s="196"/>
    </row>
    <row r="380" spans="1:7" x14ac:dyDescent="0.2">
      <c r="A380" s="188">
        <v>377</v>
      </c>
      <c r="B380" s="196" t="s">
        <v>326</v>
      </c>
      <c r="C380" s="196"/>
      <c r="D380" s="196"/>
      <c r="E380" s="196"/>
      <c r="F380" s="197"/>
      <c r="G380" s="196"/>
    </row>
    <row r="381" spans="1:7" x14ac:dyDescent="0.2">
      <c r="A381" s="188">
        <v>378</v>
      </c>
      <c r="B381" s="196" t="s">
        <v>325</v>
      </c>
      <c r="C381" s="196"/>
      <c r="D381" s="196"/>
      <c r="E381" s="196"/>
      <c r="F381" s="197"/>
      <c r="G381" s="196"/>
    </row>
    <row r="382" spans="1:7" x14ac:dyDescent="0.2">
      <c r="A382" s="188">
        <v>379</v>
      </c>
      <c r="B382" s="196" t="s">
        <v>324</v>
      </c>
      <c r="C382" s="196"/>
      <c r="D382" s="196"/>
      <c r="E382" s="196"/>
      <c r="F382" s="197"/>
      <c r="G382" s="196"/>
    </row>
    <row r="383" spans="1:7" x14ac:dyDescent="0.2">
      <c r="A383" s="188">
        <v>380</v>
      </c>
      <c r="B383" s="196" t="s">
        <v>323</v>
      </c>
      <c r="C383" s="196"/>
      <c r="D383" s="196"/>
      <c r="E383" s="196"/>
      <c r="F383" s="197"/>
      <c r="G383" s="196"/>
    </row>
    <row r="384" spans="1:7" x14ac:dyDescent="0.2">
      <c r="A384" s="188">
        <v>381</v>
      </c>
      <c r="B384" s="196" t="s">
        <v>322</v>
      </c>
      <c r="C384" s="196"/>
      <c r="D384" s="196"/>
      <c r="E384" s="196"/>
      <c r="F384" s="197"/>
      <c r="G384" s="196"/>
    </row>
    <row r="385" spans="1:7" x14ac:dyDescent="0.2">
      <c r="A385" s="188">
        <v>382</v>
      </c>
      <c r="B385" s="196" t="s">
        <v>321</v>
      </c>
      <c r="C385" s="196"/>
      <c r="D385" s="196"/>
      <c r="E385" s="196"/>
      <c r="F385" s="197"/>
      <c r="G385" s="196"/>
    </row>
    <row r="386" spans="1:7" x14ac:dyDescent="0.2">
      <c r="A386" s="188">
        <v>383</v>
      </c>
      <c r="B386" s="196" t="s">
        <v>320</v>
      </c>
      <c r="C386" s="196"/>
      <c r="D386" s="196"/>
      <c r="E386" s="196"/>
      <c r="F386" s="197"/>
      <c r="G386" s="196"/>
    </row>
    <row r="387" spans="1:7" x14ac:dyDescent="0.2">
      <c r="A387" s="188">
        <v>384</v>
      </c>
      <c r="B387" s="196" t="s">
        <v>319</v>
      </c>
      <c r="C387" s="196"/>
      <c r="D387" s="196"/>
      <c r="E387" s="196"/>
      <c r="F387" s="197"/>
      <c r="G387" s="196"/>
    </row>
    <row r="388" spans="1:7" x14ac:dyDescent="0.2">
      <c r="A388" s="188">
        <v>385</v>
      </c>
      <c r="B388" s="196" t="s">
        <v>318</v>
      </c>
      <c r="C388" s="196"/>
      <c r="D388" s="196"/>
      <c r="E388" s="196"/>
      <c r="F388" s="197"/>
      <c r="G388" s="196"/>
    </row>
    <row r="389" spans="1:7" x14ac:dyDescent="0.2">
      <c r="A389" s="188">
        <v>386</v>
      </c>
      <c r="B389" s="196" t="s">
        <v>317</v>
      </c>
      <c r="C389" s="196"/>
      <c r="D389" s="196"/>
      <c r="E389" s="196"/>
      <c r="F389" s="197"/>
      <c r="G389" s="196"/>
    </row>
    <row r="390" spans="1:7" x14ac:dyDescent="0.2">
      <c r="A390" s="188">
        <v>387</v>
      </c>
      <c r="B390" s="196" t="s">
        <v>316</v>
      </c>
      <c r="C390" s="196"/>
      <c r="D390" s="196"/>
      <c r="E390" s="196"/>
      <c r="F390" s="197"/>
      <c r="G390" s="196"/>
    </row>
    <row r="391" spans="1:7" x14ac:dyDescent="0.2">
      <c r="A391" s="188">
        <v>388</v>
      </c>
      <c r="B391" s="196" t="s">
        <v>315</v>
      </c>
      <c r="C391" s="196"/>
      <c r="D391" s="196"/>
      <c r="E391" s="196"/>
      <c r="F391" s="197"/>
      <c r="G391" s="196"/>
    </row>
    <row r="392" spans="1:7" x14ac:dyDescent="0.2">
      <c r="A392" s="188">
        <v>389</v>
      </c>
      <c r="B392" s="196" t="s">
        <v>314</v>
      </c>
      <c r="C392" s="196"/>
      <c r="D392" s="196"/>
      <c r="E392" s="196"/>
      <c r="F392" s="197"/>
      <c r="G392" s="196"/>
    </row>
    <row r="393" spans="1:7" x14ac:dyDescent="0.2">
      <c r="A393" s="188">
        <v>390</v>
      </c>
      <c r="B393" s="196" t="s">
        <v>313</v>
      </c>
      <c r="C393" s="196"/>
      <c r="D393" s="196"/>
      <c r="E393" s="196"/>
      <c r="F393" s="197"/>
      <c r="G393" s="196"/>
    </row>
    <row r="394" spans="1:7" x14ac:dyDescent="0.2">
      <c r="A394" s="188">
        <v>391</v>
      </c>
      <c r="B394" s="196" t="s">
        <v>312</v>
      </c>
      <c r="C394" s="196"/>
      <c r="D394" s="196"/>
      <c r="E394" s="196"/>
      <c r="F394" s="197"/>
      <c r="G394" s="196"/>
    </row>
    <row r="395" spans="1:7" x14ac:dyDescent="0.2">
      <c r="A395" s="188">
        <v>392</v>
      </c>
      <c r="B395" s="196" t="s">
        <v>311</v>
      </c>
      <c r="C395" s="196"/>
      <c r="D395" s="196"/>
      <c r="E395" s="196"/>
      <c r="F395" s="197"/>
      <c r="G395" s="196"/>
    </row>
    <row r="396" spans="1:7" x14ac:dyDescent="0.2">
      <c r="A396" s="188">
        <v>393</v>
      </c>
      <c r="B396" s="196" t="s">
        <v>310</v>
      </c>
      <c r="C396" s="196"/>
      <c r="D396" s="196"/>
      <c r="E396" s="196"/>
      <c r="F396" s="197"/>
      <c r="G396" s="196"/>
    </row>
    <row r="397" spans="1:7" x14ac:dyDescent="0.2">
      <c r="A397" s="188">
        <v>394</v>
      </c>
      <c r="B397" s="196" t="s">
        <v>309</v>
      </c>
      <c r="C397" s="196"/>
      <c r="D397" s="196"/>
      <c r="E397" s="196"/>
      <c r="F397" s="197"/>
      <c r="G397" s="196"/>
    </row>
    <row r="398" spans="1:7" x14ac:dyDescent="0.2">
      <c r="A398" s="188">
        <v>395</v>
      </c>
      <c r="B398" s="196" t="s">
        <v>308</v>
      </c>
      <c r="C398" s="196"/>
      <c r="D398" s="196"/>
      <c r="E398" s="196"/>
      <c r="F398" s="197"/>
      <c r="G398" s="196"/>
    </row>
    <row r="399" spans="1:7" x14ac:dyDescent="0.2">
      <c r="A399" s="188">
        <v>396</v>
      </c>
      <c r="B399" s="196" t="s">
        <v>307</v>
      </c>
      <c r="C399" s="196"/>
      <c r="D399" s="196"/>
      <c r="E399" s="196"/>
      <c r="F399" s="197"/>
      <c r="G399" s="196"/>
    </row>
    <row r="400" spans="1:7" x14ac:dyDescent="0.2">
      <c r="A400" s="188">
        <v>397</v>
      </c>
      <c r="B400" s="196" t="s">
        <v>306</v>
      </c>
      <c r="C400" s="196"/>
      <c r="D400" s="196"/>
      <c r="E400" s="196"/>
      <c r="F400" s="197"/>
      <c r="G400" s="196"/>
    </row>
    <row r="401" spans="1:7" x14ac:dyDescent="0.2">
      <c r="A401" s="188">
        <v>398</v>
      </c>
      <c r="B401" s="196" t="s">
        <v>305</v>
      </c>
      <c r="C401" s="196"/>
      <c r="D401" s="196"/>
      <c r="E401" s="196"/>
      <c r="F401" s="197"/>
      <c r="G401" s="196"/>
    </row>
    <row r="402" spans="1:7" x14ac:dyDescent="0.2">
      <c r="A402" s="188">
        <v>399</v>
      </c>
      <c r="B402" s="196" t="s">
        <v>304</v>
      </c>
      <c r="C402" s="196"/>
      <c r="D402" s="196"/>
      <c r="E402" s="196"/>
      <c r="F402" s="197"/>
      <c r="G402" s="196"/>
    </row>
    <row r="403" spans="1:7" x14ac:dyDescent="0.2">
      <c r="A403" s="188">
        <v>400</v>
      </c>
      <c r="B403" s="196" t="s">
        <v>303</v>
      </c>
      <c r="C403" s="196"/>
      <c r="D403" s="196"/>
      <c r="E403" s="196"/>
      <c r="F403" s="197"/>
      <c r="G403" s="196"/>
    </row>
    <row r="404" spans="1:7" x14ac:dyDescent="0.2">
      <c r="A404" s="188">
        <v>401</v>
      </c>
      <c r="B404" s="196" t="s">
        <v>302</v>
      </c>
      <c r="C404" s="196"/>
      <c r="D404" s="196"/>
      <c r="E404" s="196"/>
      <c r="F404" s="197"/>
      <c r="G404" s="196"/>
    </row>
    <row r="405" spans="1:7" x14ac:dyDescent="0.2">
      <c r="A405" s="188">
        <v>402</v>
      </c>
      <c r="B405" s="196" t="s">
        <v>301</v>
      </c>
      <c r="C405" s="196"/>
      <c r="D405" s="196"/>
      <c r="E405" s="196"/>
      <c r="F405" s="197"/>
      <c r="G405" s="196"/>
    </row>
    <row r="406" spans="1:7" x14ac:dyDescent="0.2">
      <c r="A406" s="188">
        <v>403</v>
      </c>
      <c r="B406" s="196" t="s">
        <v>300</v>
      </c>
      <c r="C406" s="196"/>
      <c r="D406" s="196"/>
      <c r="E406" s="196"/>
      <c r="F406" s="197"/>
      <c r="G406" s="196"/>
    </row>
    <row r="407" spans="1:7" x14ac:dyDescent="0.2">
      <c r="A407" s="188">
        <v>404</v>
      </c>
      <c r="B407" s="196" t="s">
        <v>299</v>
      </c>
      <c r="C407" s="196"/>
      <c r="D407" s="196"/>
      <c r="E407" s="196"/>
      <c r="F407" s="197"/>
      <c r="G407" s="196"/>
    </row>
    <row r="408" spans="1:7" x14ac:dyDescent="0.2">
      <c r="A408" s="188">
        <v>405</v>
      </c>
      <c r="B408" s="196" t="s">
        <v>298</v>
      </c>
      <c r="C408" s="196"/>
      <c r="D408" s="196"/>
      <c r="E408" s="196"/>
      <c r="F408" s="197"/>
      <c r="G408" s="196"/>
    </row>
    <row r="409" spans="1:7" x14ac:dyDescent="0.2">
      <c r="A409" s="188">
        <v>406</v>
      </c>
      <c r="B409" s="196" t="s">
        <v>297</v>
      </c>
      <c r="C409" s="196"/>
      <c r="D409" s="196"/>
      <c r="E409" s="196"/>
      <c r="F409" s="197"/>
      <c r="G409" s="196"/>
    </row>
    <row r="410" spans="1:7" x14ac:dyDescent="0.2">
      <c r="A410" s="188">
        <v>407</v>
      </c>
      <c r="B410" s="196" t="s">
        <v>296</v>
      </c>
      <c r="C410" s="196"/>
      <c r="D410" s="196"/>
      <c r="E410" s="196"/>
      <c r="F410" s="197"/>
      <c r="G410" s="196"/>
    </row>
    <row r="411" spans="1:7" x14ac:dyDescent="0.2">
      <c r="A411" s="188">
        <v>408</v>
      </c>
      <c r="B411" s="196" t="s">
        <v>295</v>
      </c>
      <c r="C411" s="196"/>
      <c r="D411" s="196"/>
      <c r="E411" s="196"/>
      <c r="F411" s="197"/>
      <c r="G411" s="196"/>
    </row>
    <row r="412" spans="1:7" x14ac:dyDescent="0.2">
      <c r="A412" s="188">
        <v>409</v>
      </c>
      <c r="B412" s="196" t="s">
        <v>294</v>
      </c>
      <c r="C412" s="196"/>
      <c r="D412" s="196"/>
      <c r="E412" s="196"/>
      <c r="F412" s="197"/>
      <c r="G412" s="196"/>
    </row>
    <row r="413" spans="1:7" x14ac:dyDescent="0.2">
      <c r="A413" s="188">
        <v>410</v>
      </c>
      <c r="B413" s="196" t="s">
        <v>293</v>
      </c>
      <c r="C413" s="196"/>
      <c r="D413" s="196"/>
      <c r="E413" s="196"/>
      <c r="F413" s="197"/>
      <c r="G413" s="196"/>
    </row>
    <row r="414" spans="1:7" x14ac:dyDescent="0.2">
      <c r="A414" s="188">
        <v>411</v>
      </c>
      <c r="B414" s="196" t="s">
        <v>292</v>
      </c>
      <c r="C414" s="196"/>
      <c r="D414" s="196"/>
      <c r="E414" s="196"/>
      <c r="F414" s="197"/>
      <c r="G414" s="196"/>
    </row>
    <row r="415" spans="1:7" x14ac:dyDescent="0.2">
      <c r="A415" s="188">
        <v>412</v>
      </c>
      <c r="B415" s="196" t="s">
        <v>291</v>
      </c>
      <c r="C415" s="196"/>
      <c r="D415" s="196"/>
      <c r="E415" s="196"/>
      <c r="F415" s="197"/>
      <c r="G415" s="196"/>
    </row>
    <row r="416" spans="1:7" x14ac:dyDescent="0.2">
      <c r="A416" s="188">
        <v>413</v>
      </c>
      <c r="B416" s="196" t="s">
        <v>290</v>
      </c>
      <c r="C416" s="196"/>
      <c r="D416" s="196"/>
      <c r="E416" s="196"/>
      <c r="F416" s="197"/>
      <c r="G416" s="196"/>
    </row>
    <row r="417" spans="1:7" x14ac:dyDescent="0.2">
      <c r="A417" s="188">
        <v>414</v>
      </c>
      <c r="B417" s="196" t="s">
        <v>289</v>
      </c>
      <c r="C417" s="196"/>
      <c r="D417" s="196"/>
      <c r="E417" s="196"/>
      <c r="F417" s="197"/>
      <c r="G417" s="196"/>
    </row>
    <row r="418" spans="1:7" x14ac:dyDescent="0.2">
      <c r="A418" s="188">
        <v>415</v>
      </c>
      <c r="B418" s="196" t="s">
        <v>288</v>
      </c>
      <c r="C418" s="196"/>
      <c r="D418" s="196"/>
      <c r="E418" s="196"/>
      <c r="F418" s="197"/>
      <c r="G418" s="196"/>
    </row>
    <row r="419" spans="1:7" x14ac:dyDescent="0.2">
      <c r="A419" s="188">
        <v>416</v>
      </c>
      <c r="B419" s="196" t="s">
        <v>287</v>
      </c>
      <c r="C419" s="196"/>
      <c r="D419" s="196"/>
      <c r="E419" s="196"/>
      <c r="F419" s="197"/>
      <c r="G419" s="196"/>
    </row>
    <row r="420" spans="1:7" x14ac:dyDescent="0.2">
      <c r="A420" s="188">
        <v>417</v>
      </c>
      <c r="B420" s="196" t="s">
        <v>286</v>
      </c>
      <c r="C420" s="196"/>
      <c r="D420" s="196"/>
      <c r="E420" s="196"/>
      <c r="F420" s="197"/>
      <c r="G420" s="196"/>
    </row>
    <row r="421" spans="1:7" x14ac:dyDescent="0.2">
      <c r="A421" s="188">
        <v>418</v>
      </c>
      <c r="B421" s="196" t="s">
        <v>285</v>
      </c>
      <c r="C421" s="196"/>
      <c r="D421" s="196"/>
      <c r="E421" s="196"/>
      <c r="F421" s="197"/>
      <c r="G421" s="196"/>
    </row>
    <row r="422" spans="1:7" x14ac:dyDescent="0.2">
      <c r="A422" s="188">
        <v>419</v>
      </c>
      <c r="B422" s="196" t="s">
        <v>284</v>
      </c>
      <c r="C422" s="196"/>
      <c r="D422" s="196"/>
      <c r="E422" s="196"/>
      <c r="F422" s="197"/>
      <c r="G422" s="196"/>
    </row>
    <row r="423" spans="1:7" x14ac:dyDescent="0.2">
      <c r="A423" s="188">
        <v>420</v>
      </c>
      <c r="B423" s="196" t="s">
        <v>283</v>
      </c>
      <c r="C423" s="196"/>
      <c r="D423" s="196"/>
      <c r="E423" s="196"/>
      <c r="F423" s="197"/>
      <c r="G423" s="196"/>
    </row>
    <row r="424" spans="1:7" x14ac:dyDescent="0.2">
      <c r="A424" s="188">
        <v>421</v>
      </c>
      <c r="B424" s="196" t="s">
        <v>282</v>
      </c>
      <c r="C424" s="196"/>
      <c r="D424" s="196"/>
      <c r="E424" s="196"/>
      <c r="F424" s="197"/>
      <c r="G424" s="196"/>
    </row>
    <row r="425" spans="1:7" x14ac:dyDescent="0.2">
      <c r="A425" s="188">
        <v>422</v>
      </c>
      <c r="B425" s="196" t="s">
        <v>281</v>
      </c>
      <c r="C425" s="196"/>
      <c r="D425" s="196"/>
      <c r="E425" s="196"/>
      <c r="F425" s="197"/>
      <c r="G425" s="196"/>
    </row>
    <row r="426" spans="1:7" x14ac:dyDescent="0.2">
      <c r="A426" s="188">
        <v>423</v>
      </c>
      <c r="B426" s="196" t="s">
        <v>280</v>
      </c>
      <c r="C426" s="196"/>
      <c r="D426" s="196"/>
      <c r="E426" s="196"/>
      <c r="F426" s="197"/>
      <c r="G426" s="196"/>
    </row>
    <row r="427" spans="1:7" x14ac:dyDescent="0.2">
      <c r="A427" s="188">
        <v>424</v>
      </c>
      <c r="B427" s="196" t="s">
        <v>279</v>
      </c>
      <c r="C427" s="196"/>
      <c r="D427" s="196"/>
      <c r="E427" s="196"/>
      <c r="F427" s="197"/>
      <c r="G427" s="196"/>
    </row>
    <row r="428" spans="1:7" x14ac:dyDescent="0.2">
      <c r="A428" s="188">
        <v>425</v>
      </c>
      <c r="B428" s="196" t="s">
        <v>278</v>
      </c>
      <c r="C428" s="196"/>
      <c r="D428" s="196"/>
      <c r="E428" s="196"/>
      <c r="F428" s="197"/>
      <c r="G428" s="196"/>
    </row>
    <row r="429" spans="1:7" x14ac:dyDescent="0.2">
      <c r="A429" s="188">
        <v>426</v>
      </c>
      <c r="B429" s="196" t="s">
        <v>277</v>
      </c>
      <c r="C429" s="196"/>
      <c r="D429" s="196"/>
      <c r="E429" s="196"/>
      <c r="F429" s="197"/>
      <c r="G429" s="196"/>
    </row>
    <row r="430" spans="1:7" x14ac:dyDescent="0.2">
      <c r="A430" s="188">
        <v>427</v>
      </c>
      <c r="B430" s="196" t="s">
        <v>276</v>
      </c>
      <c r="C430" s="196"/>
      <c r="D430" s="196"/>
      <c r="E430" s="196"/>
      <c r="F430" s="197"/>
      <c r="G430" s="196"/>
    </row>
    <row r="431" spans="1:7" x14ac:dyDescent="0.2">
      <c r="A431" s="188">
        <v>428</v>
      </c>
      <c r="B431" s="196" t="s">
        <v>275</v>
      </c>
      <c r="C431" s="196"/>
      <c r="D431" s="196"/>
      <c r="E431" s="196"/>
      <c r="F431" s="197"/>
      <c r="G431" s="196"/>
    </row>
    <row r="432" spans="1:7" x14ac:dyDescent="0.2">
      <c r="A432" s="188">
        <v>429</v>
      </c>
      <c r="B432" s="196" t="s">
        <v>274</v>
      </c>
      <c r="C432" s="196"/>
      <c r="D432" s="196"/>
      <c r="E432" s="196"/>
      <c r="F432" s="197"/>
      <c r="G432" s="196"/>
    </row>
    <row r="433" spans="1:7" x14ac:dyDescent="0.2">
      <c r="A433" s="188">
        <v>430</v>
      </c>
      <c r="B433" s="196" t="s">
        <v>273</v>
      </c>
      <c r="C433" s="196"/>
      <c r="D433" s="196"/>
      <c r="E433" s="196"/>
      <c r="F433" s="197"/>
      <c r="G433" s="196"/>
    </row>
    <row r="434" spans="1:7" x14ac:dyDescent="0.2">
      <c r="A434" s="188">
        <v>431</v>
      </c>
      <c r="B434" s="196" t="s">
        <v>272</v>
      </c>
      <c r="C434" s="196"/>
      <c r="D434" s="196"/>
      <c r="E434" s="196"/>
      <c r="F434" s="197"/>
      <c r="G434" s="196"/>
    </row>
    <row r="435" spans="1:7" x14ac:dyDescent="0.2">
      <c r="A435" s="188">
        <v>432</v>
      </c>
      <c r="B435" s="196" t="s">
        <v>271</v>
      </c>
      <c r="C435" s="196"/>
      <c r="D435" s="196"/>
      <c r="E435" s="196"/>
      <c r="F435" s="197"/>
      <c r="G435" s="196"/>
    </row>
    <row r="436" spans="1:7" x14ac:dyDescent="0.2">
      <c r="A436" s="188">
        <v>433</v>
      </c>
      <c r="B436" s="196" t="s">
        <v>270</v>
      </c>
      <c r="C436" s="196"/>
      <c r="D436" s="196"/>
      <c r="E436" s="196"/>
      <c r="F436" s="197"/>
      <c r="G436" s="196"/>
    </row>
    <row r="437" spans="1:7" x14ac:dyDescent="0.2">
      <c r="A437" s="188">
        <v>434</v>
      </c>
      <c r="B437" s="196" t="s">
        <v>269</v>
      </c>
      <c r="C437" s="196"/>
      <c r="D437" s="196"/>
      <c r="E437" s="196"/>
      <c r="F437" s="197"/>
      <c r="G437" s="196"/>
    </row>
    <row r="438" spans="1:7" x14ac:dyDescent="0.2">
      <c r="A438" s="188">
        <v>435</v>
      </c>
      <c r="B438" s="196" t="s">
        <v>268</v>
      </c>
      <c r="C438" s="196"/>
      <c r="D438" s="196"/>
      <c r="E438" s="196"/>
      <c r="F438" s="197"/>
      <c r="G438" s="196"/>
    </row>
    <row r="439" spans="1:7" x14ac:dyDescent="0.2">
      <c r="A439" s="188">
        <v>436</v>
      </c>
      <c r="B439" s="196" t="s">
        <v>267</v>
      </c>
      <c r="C439" s="196"/>
      <c r="D439" s="196"/>
      <c r="E439" s="196"/>
      <c r="F439" s="197"/>
      <c r="G439" s="196"/>
    </row>
    <row r="440" spans="1:7" x14ac:dyDescent="0.2">
      <c r="A440" s="188">
        <v>437</v>
      </c>
      <c r="B440" s="196" t="s">
        <v>266</v>
      </c>
      <c r="C440" s="196"/>
      <c r="D440" s="196"/>
      <c r="E440" s="196"/>
      <c r="F440" s="197"/>
      <c r="G440" s="196"/>
    </row>
    <row r="441" spans="1:7" x14ac:dyDescent="0.2">
      <c r="A441" s="188">
        <v>438</v>
      </c>
      <c r="B441" s="196" t="s">
        <v>265</v>
      </c>
      <c r="C441" s="196"/>
      <c r="D441" s="196"/>
      <c r="E441" s="196"/>
      <c r="F441" s="197"/>
      <c r="G441" s="196"/>
    </row>
    <row r="442" spans="1:7" x14ac:dyDescent="0.2">
      <c r="A442" s="188">
        <v>439</v>
      </c>
      <c r="B442" s="196" t="s">
        <v>264</v>
      </c>
      <c r="C442" s="196"/>
      <c r="D442" s="196"/>
      <c r="E442" s="196"/>
      <c r="F442" s="197"/>
      <c r="G442" s="196"/>
    </row>
    <row r="443" spans="1:7" x14ac:dyDescent="0.2">
      <c r="A443" s="188">
        <v>440</v>
      </c>
      <c r="B443" s="196" t="s">
        <v>263</v>
      </c>
      <c r="C443" s="196"/>
      <c r="D443" s="196"/>
      <c r="E443" s="196"/>
      <c r="F443" s="197"/>
      <c r="G443" s="196"/>
    </row>
    <row r="444" spans="1:7" x14ac:dyDescent="0.2">
      <c r="A444" s="188">
        <v>441</v>
      </c>
      <c r="B444" s="196" t="s">
        <v>262</v>
      </c>
      <c r="C444" s="196"/>
      <c r="D444" s="196"/>
      <c r="E444" s="196"/>
      <c r="F444" s="197"/>
      <c r="G444" s="196"/>
    </row>
    <row r="445" spans="1:7" x14ac:dyDescent="0.2">
      <c r="A445" s="188">
        <v>442</v>
      </c>
      <c r="B445" s="196" t="s">
        <v>261</v>
      </c>
      <c r="C445" s="196"/>
      <c r="D445" s="196"/>
      <c r="E445" s="196"/>
      <c r="F445" s="197"/>
      <c r="G445" s="196"/>
    </row>
    <row r="446" spans="1:7" x14ac:dyDescent="0.2">
      <c r="A446" s="188">
        <v>443</v>
      </c>
      <c r="B446" s="196" t="s">
        <v>260</v>
      </c>
      <c r="C446" s="196"/>
      <c r="D446" s="196"/>
      <c r="E446" s="196"/>
      <c r="F446" s="197"/>
      <c r="G446" s="196"/>
    </row>
    <row r="447" spans="1:7" x14ac:dyDescent="0.2">
      <c r="A447" s="188">
        <v>444</v>
      </c>
      <c r="B447" s="196" t="s">
        <v>259</v>
      </c>
      <c r="C447" s="196"/>
      <c r="D447" s="196"/>
      <c r="E447" s="196"/>
      <c r="F447" s="197"/>
      <c r="G447" s="196"/>
    </row>
    <row r="448" spans="1:7" x14ac:dyDescent="0.2">
      <c r="A448" s="188">
        <v>445</v>
      </c>
      <c r="B448" s="196" t="s">
        <v>258</v>
      </c>
      <c r="C448" s="196"/>
      <c r="D448" s="196"/>
      <c r="E448" s="196"/>
      <c r="F448" s="197"/>
      <c r="G448" s="196"/>
    </row>
    <row r="449" spans="1:7" x14ac:dyDescent="0.2">
      <c r="A449" s="188">
        <v>446</v>
      </c>
      <c r="B449" s="196" t="s">
        <v>257</v>
      </c>
      <c r="C449" s="196"/>
      <c r="D449" s="196"/>
      <c r="E449" s="196"/>
      <c r="F449" s="197"/>
      <c r="G449" s="196"/>
    </row>
    <row r="450" spans="1:7" x14ac:dyDescent="0.2">
      <c r="A450" s="188">
        <v>447</v>
      </c>
      <c r="B450" s="196" t="s">
        <v>256</v>
      </c>
      <c r="C450" s="196"/>
      <c r="D450" s="196"/>
      <c r="E450" s="196"/>
      <c r="F450" s="197"/>
      <c r="G450" s="196"/>
    </row>
    <row r="451" spans="1:7" x14ac:dyDescent="0.2">
      <c r="A451" s="188">
        <v>448</v>
      </c>
      <c r="B451" s="196" t="s">
        <v>255</v>
      </c>
      <c r="C451" s="196"/>
      <c r="D451" s="196"/>
      <c r="E451" s="196"/>
      <c r="F451" s="197"/>
      <c r="G451" s="196"/>
    </row>
    <row r="452" spans="1:7" x14ac:dyDescent="0.2">
      <c r="A452" s="188">
        <v>449</v>
      </c>
      <c r="B452" s="196" t="s">
        <v>254</v>
      </c>
      <c r="C452" s="196"/>
      <c r="D452" s="196"/>
      <c r="E452" s="196"/>
      <c r="F452" s="197"/>
      <c r="G452" s="196"/>
    </row>
    <row r="453" spans="1:7" x14ac:dyDescent="0.2">
      <c r="A453" s="188">
        <v>450</v>
      </c>
      <c r="B453" s="196" t="s">
        <v>253</v>
      </c>
      <c r="C453" s="196"/>
      <c r="D453" s="196"/>
      <c r="E453" s="196"/>
      <c r="F453" s="197"/>
      <c r="G453" s="196"/>
    </row>
    <row r="454" spans="1:7" x14ac:dyDescent="0.2">
      <c r="A454" s="188">
        <v>451</v>
      </c>
      <c r="B454" s="196" t="s">
        <v>252</v>
      </c>
      <c r="C454" s="196"/>
      <c r="D454" s="196"/>
      <c r="E454" s="196"/>
      <c r="F454" s="197"/>
      <c r="G454" s="196"/>
    </row>
    <row r="455" spans="1:7" x14ac:dyDescent="0.2">
      <c r="A455" s="188">
        <v>452</v>
      </c>
      <c r="B455" s="196" t="s">
        <v>251</v>
      </c>
      <c r="C455" s="196"/>
      <c r="D455" s="196"/>
      <c r="E455" s="196"/>
      <c r="F455" s="197"/>
      <c r="G455" s="196"/>
    </row>
    <row r="456" spans="1:7" x14ac:dyDescent="0.2">
      <c r="A456" s="188">
        <v>453</v>
      </c>
      <c r="B456" s="196" t="s">
        <v>250</v>
      </c>
      <c r="C456" s="196"/>
      <c r="D456" s="196"/>
      <c r="E456" s="196"/>
      <c r="F456" s="197"/>
      <c r="G456" s="196"/>
    </row>
    <row r="457" spans="1:7" x14ac:dyDescent="0.2">
      <c r="A457" s="188">
        <v>454</v>
      </c>
      <c r="B457" s="196" t="s">
        <v>249</v>
      </c>
      <c r="C457" s="196"/>
      <c r="D457" s="196"/>
      <c r="E457" s="196"/>
      <c r="F457" s="197"/>
      <c r="G457" s="196"/>
    </row>
    <row r="458" spans="1:7" x14ac:dyDescent="0.2">
      <c r="A458" s="188">
        <v>455</v>
      </c>
      <c r="B458" s="196" t="s">
        <v>248</v>
      </c>
      <c r="C458" s="196"/>
      <c r="D458" s="196"/>
      <c r="E458" s="196"/>
      <c r="F458" s="197"/>
      <c r="G458" s="196"/>
    </row>
    <row r="459" spans="1:7" x14ac:dyDescent="0.2">
      <c r="A459" s="188">
        <v>456</v>
      </c>
      <c r="B459" s="196" t="s">
        <v>247</v>
      </c>
      <c r="C459" s="196"/>
      <c r="D459" s="196"/>
      <c r="E459" s="196"/>
      <c r="F459" s="197"/>
      <c r="G459" s="196"/>
    </row>
    <row r="460" spans="1:7" x14ac:dyDescent="0.2">
      <c r="A460" s="188">
        <v>457</v>
      </c>
      <c r="B460" s="196" t="s">
        <v>246</v>
      </c>
      <c r="C460" s="196"/>
      <c r="D460" s="196"/>
      <c r="E460" s="196"/>
      <c r="F460" s="197"/>
      <c r="G460" s="196"/>
    </row>
    <row r="461" spans="1:7" x14ac:dyDescent="0.2">
      <c r="A461" s="188">
        <v>458</v>
      </c>
      <c r="B461" s="196" t="s">
        <v>245</v>
      </c>
      <c r="C461" s="196"/>
      <c r="D461" s="196"/>
      <c r="E461" s="196"/>
      <c r="F461" s="197"/>
      <c r="G461" s="196"/>
    </row>
    <row r="462" spans="1:7" x14ac:dyDescent="0.2">
      <c r="A462" s="188">
        <v>459</v>
      </c>
      <c r="B462" s="196" t="s">
        <v>244</v>
      </c>
      <c r="C462" s="196"/>
      <c r="D462" s="196"/>
      <c r="E462" s="196"/>
      <c r="F462" s="197"/>
      <c r="G462" s="196"/>
    </row>
    <row r="463" spans="1:7" x14ac:dyDescent="0.2">
      <c r="A463" s="188">
        <v>460</v>
      </c>
      <c r="B463" s="196" t="s">
        <v>243</v>
      </c>
      <c r="C463" s="196"/>
      <c r="D463" s="196"/>
      <c r="E463" s="196"/>
      <c r="F463" s="197"/>
      <c r="G463" s="196"/>
    </row>
    <row r="464" spans="1:7" x14ac:dyDescent="0.2">
      <c r="A464" s="188">
        <v>461</v>
      </c>
      <c r="B464" s="196" t="s">
        <v>242</v>
      </c>
      <c r="C464" s="196"/>
      <c r="D464" s="196"/>
      <c r="E464" s="196"/>
      <c r="F464" s="197"/>
      <c r="G464" s="196"/>
    </row>
    <row r="465" spans="1:7" x14ac:dyDescent="0.2">
      <c r="A465" s="188">
        <v>462</v>
      </c>
      <c r="B465" s="196" t="s">
        <v>241</v>
      </c>
      <c r="C465" s="196"/>
      <c r="D465" s="196"/>
      <c r="E465" s="196"/>
      <c r="F465" s="197"/>
      <c r="G465" s="196"/>
    </row>
    <row r="466" spans="1:7" x14ac:dyDescent="0.2">
      <c r="A466" s="188">
        <v>463</v>
      </c>
      <c r="B466" s="196" t="s">
        <v>240</v>
      </c>
      <c r="C466" s="196"/>
      <c r="D466" s="196"/>
      <c r="E466" s="196"/>
      <c r="F466" s="197"/>
      <c r="G466" s="196"/>
    </row>
    <row r="467" spans="1:7" x14ac:dyDescent="0.2">
      <c r="A467" s="188">
        <v>464</v>
      </c>
      <c r="B467" s="196" t="s">
        <v>239</v>
      </c>
      <c r="C467" s="196"/>
      <c r="D467" s="196"/>
      <c r="E467" s="196"/>
      <c r="F467" s="197"/>
      <c r="G467" s="196"/>
    </row>
    <row r="468" spans="1:7" x14ac:dyDescent="0.2">
      <c r="A468" s="188">
        <v>465</v>
      </c>
      <c r="B468" s="196" t="s">
        <v>238</v>
      </c>
      <c r="C468" s="196"/>
      <c r="D468" s="196"/>
      <c r="E468" s="196"/>
      <c r="F468" s="197"/>
      <c r="G468" s="196"/>
    </row>
    <row r="469" spans="1:7" x14ac:dyDescent="0.2">
      <c r="A469" s="188">
        <v>466</v>
      </c>
      <c r="B469" s="196" t="s">
        <v>237</v>
      </c>
      <c r="C469" s="196"/>
      <c r="D469" s="196"/>
      <c r="E469" s="196"/>
      <c r="F469" s="197"/>
      <c r="G469" s="196"/>
    </row>
    <row r="470" spans="1:7" x14ac:dyDescent="0.2">
      <c r="A470" s="188">
        <v>467</v>
      </c>
      <c r="B470" s="196" t="s">
        <v>236</v>
      </c>
      <c r="C470" s="196"/>
      <c r="D470" s="196"/>
      <c r="E470" s="196"/>
      <c r="F470" s="197"/>
      <c r="G470" s="196"/>
    </row>
    <row r="471" spans="1:7" x14ac:dyDescent="0.2">
      <c r="A471" s="188">
        <v>468</v>
      </c>
      <c r="B471" s="196" t="s">
        <v>235</v>
      </c>
      <c r="C471" s="196"/>
      <c r="D471" s="196"/>
      <c r="E471" s="196"/>
      <c r="F471" s="197"/>
      <c r="G471" s="196"/>
    </row>
    <row r="472" spans="1:7" x14ac:dyDescent="0.2">
      <c r="A472" s="188">
        <v>469</v>
      </c>
      <c r="B472" s="196" t="s">
        <v>234</v>
      </c>
      <c r="C472" s="196"/>
      <c r="D472" s="196"/>
      <c r="E472" s="196"/>
      <c r="F472" s="197"/>
      <c r="G472" s="196"/>
    </row>
    <row r="473" spans="1:7" x14ac:dyDescent="0.2">
      <c r="A473" s="188">
        <v>470</v>
      </c>
      <c r="B473" s="196" t="s">
        <v>233</v>
      </c>
      <c r="C473" s="196"/>
      <c r="D473" s="196"/>
      <c r="E473" s="196"/>
      <c r="F473" s="197"/>
      <c r="G473" s="196"/>
    </row>
    <row r="474" spans="1:7" x14ac:dyDescent="0.2">
      <c r="A474" s="188">
        <v>471</v>
      </c>
      <c r="B474" s="196" t="s">
        <v>232</v>
      </c>
      <c r="C474" s="196"/>
      <c r="D474" s="196"/>
      <c r="E474" s="196"/>
      <c r="F474" s="197"/>
      <c r="G474" s="196"/>
    </row>
    <row r="475" spans="1:7" x14ac:dyDescent="0.2">
      <c r="A475" s="188">
        <v>472</v>
      </c>
      <c r="B475" s="196" t="s">
        <v>231</v>
      </c>
      <c r="C475" s="196"/>
      <c r="D475" s="196"/>
      <c r="E475" s="196"/>
      <c r="F475" s="197"/>
      <c r="G475" s="196"/>
    </row>
    <row r="476" spans="1:7" x14ac:dyDescent="0.2">
      <c r="A476" s="188">
        <v>473</v>
      </c>
      <c r="B476" s="196" t="s">
        <v>230</v>
      </c>
      <c r="C476" s="196"/>
      <c r="D476" s="196"/>
      <c r="E476" s="196"/>
      <c r="F476" s="197"/>
      <c r="G476" s="196"/>
    </row>
    <row r="477" spans="1:7" x14ac:dyDescent="0.2">
      <c r="A477" s="188">
        <v>474</v>
      </c>
      <c r="B477" s="196" t="s">
        <v>229</v>
      </c>
      <c r="C477" s="196"/>
      <c r="D477" s="196"/>
      <c r="E477" s="196"/>
      <c r="F477" s="197"/>
      <c r="G477" s="196"/>
    </row>
    <row r="478" spans="1:7" x14ac:dyDescent="0.2">
      <c r="A478" s="188">
        <v>475</v>
      </c>
      <c r="B478" s="196" t="s">
        <v>228</v>
      </c>
      <c r="C478" s="196"/>
      <c r="D478" s="196"/>
      <c r="E478" s="196"/>
      <c r="F478" s="197"/>
      <c r="G478" s="196"/>
    </row>
    <row r="479" spans="1:7" x14ac:dyDescent="0.2">
      <c r="A479" s="188">
        <v>476</v>
      </c>
      <c r="B479" s="196" t="s">
        <v>227</v>
      </c>
      <c r="C479" s="196"/>
      <c r="D479" s="196"/>
      <c r="E479" s="196"/>
      <c r="F479" s="197"/>
      <c r="G479" s="196"/>
    </row>
    <row r="480" spans="1:7" x14ac:dyDescent="0.2">
      <c r="A480" s="188">
        <v>477</v>
      </c>
      <c r="B480" s="196" t="s">
        <v>226</v>
      </c>
      <c r="C480" s="196"/>
      <c r="D480" s="196"/>
      <c r="E480" s="196"/>
      <c r="F480" s="197"/>
      <c r="G480" s="196"/>
    </row>
    <row r="481" spans="1:7" x14ac:dyDescent="0.2">
      <c r="A481" s="188">
        <v>478</v>
      </c>
      <c r="B481" s="196" t="s">
        <v>225</v>
      </c>
      <c r="C481" s="196"/>
      <c r="D481" s="196"/>
      <c r="E481" s="196"/>
      <c r="F481" s="197"/>
      <c r="G481" s="196"/>
    </row>
    <row r="482" spans="1:7" x14ac:dyDescent="0.2">
      <c r="A482" s="188">
        <v>479</v>
      </c>
      <c r="B482" s="196" t="s">
        <v>224</v>
      </c>
      <c r="C482" s="196"/>
      <c r="D482" s="196"/>
      <c r="E482" s="196"/>
      <c r="F482" s="197"/>
      <c r="G482" s="196"/>
    </row>
    <row r="483" spans="1:7" x14ac:dyDescent="0.2">
      <c r="A483" s="188">
        <v>480</v>
      </c>
      <c r="B483" s="196" t="s">
        <v>223</v>
      </c>
      <c r="C483" s="196"/>
      <c r="D483" s="196"/>
      <c r="E483" s="196"/>
      <c r="F483" s="197"/>
      <c r="G483" s="196"/>
    </row>
    <row r="484" spans="1:7" x14ac:dyDescent="0.2">
      <c r="A484" s="188">
        <v>481</v>
      </c>
      <c r="B484" s="196" t="s">
        <v>222</v>
      </c>
      <c r="C484" s="196"/>
      <c r="D484" s="196"/>
      <c r="E484" s="196"/>
      <c r="F484" s="197"/>
      <c r="G484" s="196"/>
    </row>
    <row r="485" spans="1:7" x14ac:dyDescent="0.2">
      <c r="A485" s="188">
        <v>482</v>
      </c>
      <c r="B485" s="196" t="s">
        <v>221</v>
      </c>
      <c r="C485" s="196"/>
      <c r="D485" s="196"/>
      <c r="E485" s="196"/>
      <c r="F485" s="197"/>
      <c r="G485" s="196"/>
    </row>
    <row r="486" spans="1:7" x14ac:dyDescent="0.2">
      <c r="A486" s="188">
        <v>483</v>
      </c>
      <c r="B486" s="196" t="s">
        <v>220</v>
      </c>
      <c r="C486" s="196"/>
      <c r="D486" s="196"/>
      <c r="E486" s="196"/>
      <c r="F486" s="197"/>
      <c r="G486" s="196"/>
    </row>
    <row r="487" spans="1:7" x14ac:dyDescent="0.2">
      <c r="A487" s="188">
        <v>484</v>
      </c>
      <c r="B487" s="196" t="s">
        <v>219</v>
      </c>
      <c r="C487" s="196"/>
      <c r="D487" s="196"/>
      <c r="E487" s="196"/>
      <c r="F487" s="197"/>
      <c r="G487" s="196"/>
    </row>
    <row r="488" spans="1:7" x14ac:dyDescent="0.2">
      <c r="A488" s="188">
        <v>485</v>
      </c>
      <c r="B488" s="196" t="s">
        <v>218</v>
      </c>
      <c r="C488" s="196"/>
      <c r="D488" s="196"/>
      <c r="E488" s="196"/>
      <c r="F488" s="197"/>
      <c r="G488" s="196"/>
    </row>
    <row r="489" spans="1:7" x14ac:dyDescent="0.2">
      <c r="A489" s="188">
        <v>486</v>
      </c>
      <c r="B489" s="196" t="s">
        <v>217</v>
      </c>
      <c r="C489" s="196"/>
      <c r="D489" s="196"/>
      <c r="E489" s="196"/>
      <c r="F489" s="197"/>
      <c r="G489" s="196"/>
    </row>
    <row r="490" spans="1:7" x14ac:dyDescent="0.2">
      <c r="A490" s="188">
        <v>487</v>
      </c>
      <c r="B490" s="196" t="s">
        <v>216</v>
      </c>
      <c r="C490" s="196"/>
      <c r="D490" s="196"/>
      <c r="E490" s="196"/>
      <c r="F490" s="197"/>
      <c r="G490" s="196"/>
    </row>
    <row r="491" spans="1:7" x14ac:dyDescent="0.2">
      <c r="A491" s="188">
        <v>488</v>
      </c>
      <c r="B491" s="196" t="s">
        <v>215</v>
      </c>
      <c r="C491" s="196"/>
      <c r="D491" s="196"/>
      <c r="E491" s="196"/>
      <c r="F491" s="197"/>
      <c r="G491" s="196"/>
    </row>
    <row r="492" spans="1:7" x14ac:dyDescent="0.2">
      <c r="A492" s="188">
        <v>489</v>
      </c>
      <c r="B492" s="196" t="s">
        <v>214</v>
      </c>
      <c r="C492" s="196"/>
      <c r="D492" s="196"/>
      <c r="E492" s="196"/>
      <c r="F492" s="197"/>
      <c r="G492" s="196"/>
    </row>
    <row r="493" spans="1:7" x14ac:dyDescent="0.2">
      <c r="A493" s="188">
        <v>490</v>
      </c>
      <c r="B493" s="196" t="s">
        <v>213</v>
      </c>
      <c r="C493" s="196"/>
      <c r="D493" s="196"/>
      <c r="E493" s="196"/>
      <c r="F493" s="197"/>
      <c r="G493" s="196"/>
    </row>
    <row r="494" spans="1:7" x14ac:dyDescent="0.2">
      <c r="A494" s="188">
        <v>491</v>
      </c>
      <c r="B494" s="196" t="s">
        <v>212</v>
      </c>
      <c r="C494" s="196"/>
      <c r="D494" s="196"/>
      <c r="E494" s="196"/>
      <c r="F494" s="197"/>
      <c r="G494" s="196"/>
    </row>
    <row r="495" spans="1:7" x14ac:dyDescent="0.2">
      <c r="A495" s="188">
        <v>492</v>
      </c>
      <c r="B495" s="196" t="s">
        <v>211</v>
      </c>
      <c r="C495" s="196"/>
      <c r="D495" s="196"/>
      <c r="E495" s="196"/>
      <c r="F495" s="197"/>
      <c r="G495" s="196"/>
    </row>
    <row r="496" spans="1:7" x14ac:dyDescent="0.2">
      <c r="A496" s="188">
        <v>493</v>
      </c>
      <c r="B496" s="196" t="s">
        <v>210</v>
      </c>
      <c r="C496" s="196"/>
      <c r="D496" s="196"/>
      <c r="E496" s="196"/>
      <c r="F496" s="197"/>
      <c r="G496" s="196"/>
    </row>
    <row r="497" spans="1:7" x14ac:dyDescent="0.2">
      <c r="A497" s="188">
        <v>494</v>
      </c>
      <c r="B497" s="196" t="s">
        <v>209</v>
      </c>
      <c r="C497" s="196"/>
      <c r="D497" s="196"/>
      <c r="E497" s="196"/>
      <c r="F497" s="197"/>
      <c r="G497" s="196"/>
    </row>
    <row r="498" spans="1:7" x14ac:dyDescent="0.2">
      <c r="A498" s="188">
        <v>495</v>
      </c>
      <c r="B498" s="196" t="s">
        <v>208</v>
      </c>
      <c r="C498" s="196"/>
      <c r="D498" s="196"/>
      <c r="E498" s="196"/>
      <c r="F498" s="197"/>
      <c r="G498" s="196"/>
    </row>
    <row r="499" spans="1:7" x14ac:dyDescent="0.2">
      <c r="A499" s="188">
        <v>496</v>
      </c>
      <c r="B499" s="196" t="s">
        <v>207</v>
      </c>
      <c r="C499" s="196"/>
      <c r="D499" s="196"/>
      <c r="E499" s="196"/>
      <c r="F499" s="197"/>
      <c r="G499" s="196"/>
    </row>
    <row r="500" spans="1:7" x14ac:dyDescent="0.2">
      <c r="A500" s="188">
        <v>497</v>
      </c>
      <c r="B500" s="196" t="s">
        <v>206</v>
      </c>
      <c r="C500" s="196"/>
      <c r="D500" s="196"/>
      <c r="E500" s="196"/>
      <c r="F500" s="197"/>
      <c r="G500" s="196"/>
    </row>
    <row r="501" spans="1:7" x14ac:dyDescent="0.2">
      <c r="A501" s="188">
        <v>498</v>
      </c>
      <c r="B501" s="196" t="s">
        <v>205</v>
      </c>
      <c r="C501" s="196"/>
      <c r="D501" s="196"/>
      <c r="E501" s="196"/>
      <c r="F501" s="197"/>
      <c r="G501" s="196"/>
    </row>
    <row r="502" spans="1:7" x14ac:dyDescent="0.2">
      <c r="A502" s="188">
        <v>499</v>
      </c>
      <c r="B502" s="196" t="s">
        <v>204</v>
      </c>
      <c r="C502" s="196"/>
      <c r="D502" s="196"/>
      <c r="E502" s="196"/>
      <c r="F502" s="197"/>
      <c r="G502" s="196"/>
    </row>
    <row r="503" spans="1:7" x14ac:dyDescent="0.2">
      <c r="A503" s="188">
        <v>500</v>
      </c>
      <c r="B503" s="196" t="s">
        <v>203</v>
      </c>
      <c r="C503" s="196"/>
      <c r="D503" s="196"/>
      <c r="E503" s="196"/>
      <c r="F503" s="197"/>
      <c r="G503" s="196"/>
    </row>
  </sheetData>
  <autoFilter ref="A3:G503"/>
  <mergeCells count="1">
    <mergeCell ref="I3:J3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V45"/>
  <sheetViews>
    <sheetView topLeftCell="A21" workbookViewId="0">
      <selection activeCell="L8" sqref="L8"/>
    </sheetView>
  </sheetViews>
  <sheetFormatPr defaultColWidth="12.28515625" defaultRowHeight="12.75" x14ac:dyDescent="0.2"/>
  <sheetData>
    <row r="1" spans="1:256" ht="25.5" customHeight="1" x14ac:dyDescent="0.45">
      <c r="A1" s="237" t="s">
        <v>614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</row>
    <row r="3" spans="1:256" x14ac:dyDescent="0.2">
      <c r="A3" t="s">
        <v>611</v>
      </c>
      <c r="B3" s="212">
        <v>40783</v>
      </c>
    </row>
    <row r="4" spans="1:256" x14ac:dyDescent="0.2">
      <c r="A4" t="s">
        <v>610</v>
      </c>
      <c r="B4" s="212">
        <v>40896</v>
      </c>
      <c r="C4" s="200">
        <f>+IV39</f>
        <v>41037</v>
      </c>
    </row>
    <row r="5" spans="1:256" x14ac:dyDescent="0.2">
      <c r="A5" t="s">
        <v>609</v>
      </c>
      <c r="B5" s="211">
        <f>+B4-B3</f>
        <v>113</v>
      </c>
    </row>
    <row r="6" spans="1:256" x14ac:dyDescent="0.2">
      <c r="A6" t="s">
        <v>608</v>
      </c>
      <c r="B6" s="210">
        <f>SUM(estimativa)</f>
        <v>73</v>
      </c>
    </row>
    <row r="7" spans="1:256" x14ac:dyDescent="0.2">
      <c r="A7" t="s">
        <v>607</v>
      </c>
      <c r="B7" s="199">
        <f>+B6/B5</f>
        <v>0.64601769911504425</v>
      </c>
    </row>
    <row r="8" spans="1:256" s="209" customFormat="1" x14ac:dyDescent="0.2"/>
    <row r="9" spans="1:256" hidden="1" x14ac:dyDescent="0.2">
      <c r="B9" t="s">
        <v>598</v>
      </c>
      <c r="C9" t="s">
        <v>598</v>
      </c>
      <c r="D9" t="s">
        <v>598</v>
      </c>
      <c r="E9" t="s">
        <v>598</v>
      </c>
      <c r="F9" t="s">
        <v>598</v>
      </c>
      <c r="G9" t="s">
        <v>598</v>
      </c>
      <c r="H9" t="s">
        <v>598</v>
      </c>
      <c r="I9" t="s">
        <v>598</v>
      </c>
      <c r="J9" t="s">
        <v>598</v>
      </c>
      <c r="K9" t="s">
        <v>598</v>
      </c>
      <c r="L9" t="s">
        <v>598</v>
      </c>
      <c r="M9" t="s">
        <v>598</v>
      </c>
      <c r="N9" t="s">
        <v>598</v>
      </c>
      <c r="O9" t="s">
        <v>598</v>
      </c>
      <c r="P9" t="s">
        <v>598</v>
      </c>
      <c r="Q9" t="s">
        <v>598</v>
      </c>
      <c r="R9" t="s">
        <v>598</v>
      </c>
      <c r="S9" t="s">
        <v>598</v>
      </c>
      <c r="T9" t="s">
        <v>598</v>
      </c>
      <c r="U9" t="s">
        <v>598</v>
      </c>
      <c r="V9" t="s">
        <v>598</v>
      </c>
      <c r="W9" t="s">
        <v>598</v>
      </c>
      <c r="X9" t="s">
        <v>598</v>
      </c>
      <c r="Y9" t="s">
        <v>598</v>
      </c>
      <c r="Z9" t="s">
        <v>598</v>
      </c>
      <c r="AA9" t="s">
        <v>598</v>
      </c>
      <c r="AB9" t="s">
        <v>598</v>
      </c>
      <c r="AC9" t="s">
        <v>598</v>
      </c>
      <c r="AD9" t="s">
        <v>598</v>
      </c>
      <c r="AE9" t="s">
        <v>598</v>
      </c>
      <c r="AF9" t="s">
        <v>598</v>
      </c>
      <c r="AG9" t="s">
        <v>598</v>
      </c>
      <c r="AH9" t="s">
        <v>598</v>
      </c>
      <c r="AI9" t="s">
        <v>598</v>
      </c>
      <c r="AJ9" t="s">
        <v>598</v>
      </c>
      <c r="AK9" t="s">
        <v>598</v>
      </c>
      <c r="AL9" t="s">
        <v>598</v>
      </c>
      <c r="AM9" t="s">
        <v>598</v>
      </c>
      <c r="AN9" t="s">
        <v>598</v>
      </c>
      <c r="AO9" t="s">
        <v>598</v>
      </c>
      <c r="AP9" t="s">
        <v>598</v>
      </c>
      <c r="AQ9" t="s">
        <v>598</v>
      </c>
      <c r="AR9" t="s">
        <v>598</v>
      </c>
      <c r="AS9" t="s">
        <v>598</v>
      </c>
      <c r="AT9" t="s">
        <v>598</v>
      </c>
      <c r="AU9" t="s">
        <v>598</v>
      </c>
      <c r="AV9" t="s">
        <v>598</v>
      </c>
      <c r="AW9" t="s">
        <v>598</v>
      </c>
      <c r="AX9" t="s">
        <v>598</v>
      </c>
      <c r="AY9" t="s">
        <v>598</v>
      </c>
      <c r="AZ9" t="s">
        <v>598</v>
      </c>
      <c r="BA9" t="s">
        <v>598</v>
      </c>
      <c r="BB9" t="s">
        <v>598</v>
      </c>
      <c r="BC9" t="s">
        <v>598</v>
      </c>
      <c r="BD9" t="s">
        <v>598</v>
      </c>
      <c r="BE9" t="s">
        <v>598</v>
      </c>
      <c r="BF9" t="s">
        <v>598</v>
      </c>
      <c r="BG9" t="s">
        <v>598</v>
      </c>
      <c r="BH9" t="s">
        <v>598</v>
      </c>
      <c r="BI9" t="s">
        <v>598</v>
      </c>
      <c r="BJ9" t="s">
        <v>598</v>
      </c>
      <c r="BK9" t="s">
        <v>598</v>
      </c>
      <c r="BL9" t="s">
        <v>598</v>
      </c>
      <c r="BM9" t="s">
        <v>598</v>
      </c>
      <c r="BN9" t="s">
        <v>598</v>
      </c>
      <c r="BO9" t="s">
        <v>598</v>
      </c>
      <c r="BP9" t="s">
        <v>598</v>
      </c>
      <c r="BQ9" t="s">
        <v>598</v>
      </c>
      <c r="BR9" t="s">
        <v>598</v>
      </c>
      <c r="BS9" t="s">
        <v>598</v>
      </c>
      <c r="BT9" t="s">
        <v>598</v>
      </c>
      <c r="BU9" t="s">
        <v>598</v>
      </c>
      <c r="BV9" t="s">
        <v>598</v>
      </c>
      <c r="BW9" t="s">
        <v>598</v>
      </c>
      <c r="BX9" t="s">
        <v>598</v>
      </c>
      <c r="BY9" t="s">
        <v>598</v>
      </c>
      <c r="BZ9" t="s">
        <v>598</v>
      </c>
      <c r="CA9" t="s">
        <v>598</v>
      </c>
      <c r="CB9" t="s">
        <v>598</v>
      </c>
      <c r="CC9" t="s">
        <v>598</v>
      </c>
      <c r="CD9" t="s">
        <v>598</v>
      </c>
      <c r="CE9" t="s">
        <v>598</v>
      </c>
      <c r="CF9" t="s">
        <v>598</v>
      </c>
      <c r="CG9" t="s">
        <v>598</v>
      </c>
      <c r="CH9" t="s">
        <v>598</v>
      </c>
      <c r="CI9" t="s">
        <v>598</v>
      </c>
      <c r="CJ9" t="s">
        <v>598</v>
      </c>
      <c r="CK9" t="s">
        <v>598</v>
      </c>
      <c r="CL9" t="s">
        <v>598</v>
      </c>
      <c r="CM9" t="s">
        <v>598</v>
      </c>
      <c r="CN9" t="s">
        <v>598</v>
      </c>
      <c r="CO9" t="s">
        <v>598</v>
      </c>
      <c r="CP9" t="s">
        <v>598</v>
      </c>
      <c r="CQ9" t="s">
        <v>598</v>
      </c>
      <c r="CR9" t="s">
        <v>598</v>
      </c>
      <c r="CS9" t="s">
        <v>598</v>
      </c>
      <c r="CT9" t="s">
        <v>598</v>
      </c>
      <c r="CU9" t="s">
        <v>598</v>
      </c>
      <c r="CV9" t="s">
        <v>598</v>
      </c>
      <c r="CW9" t="s">
        <v>598</v>
      </c>
      <c r="CX9" t="s">
        <v>598</v>
      </c>
      <c r="CY9" t="s">
        <v>598</v>
      </c>
      <c r="CZ9" t="s">
        <v>598</v>
      </c>
      <c r="DA9" t="s">
        <v>598</v>
      </c>
      <c r="DB9" t="s">
        <v>598</v>
      </c>
      <c r="DC9" t="s">
        <v>598</v>
      </c>
      <c r="DD9" t="s">
        <v>598</v>
      </c>
      <c r="DE9" t="s">
        <v>598</v>
      </c>
      <c r="DF9" t="s">
        <v>598</v>
      </c>
      <c r="DG9" t="s">
        <v>598</v>
      </c>
      <c r="DH9" t="s">
        <v>598</v>
      </c>
      <c r="DI9" t="s">
        <v>598</v>
      </c>
      <c r="DJ9" t="s">
        <v>598</v>
      </c>
      <c r="DK9" t="s">
        <v>598</v>
      </c>
      <c r="DL9" t="s">
        <v>598</v>
      </c>
      <c r="DM9" t="s">
        <v>598</v>
      </c>
      <c r="DN9" t="s">
        <v>598</v>
      </c>
      <c r="DO9" t="s">
        <v>598</v>
      </c>
      <c r="DP9" t="s">
        <v>598</v>
      </c>
      <c r="DQ9" t="s">
        <v>598</v>
      </c>
      <c r="DR9" t="s">
        <v>598</v>
      </c>
      <c r="DS9" t="s">
        <v>598</v>
      </c>
      <c r="DT9" t="s">
        <v>598</v>
      </c>
      <c r="DU9" t="s">
        <v>598</v>
      </c>
      <c r="DV9" t="s">
        <v>598</v>
      </c>
      <c r="DW9" t="s">
        <v>598</v>
      </c>
      <c r="DX9" t="s">
        <v>598</v>
      </c>
      <c r="DY9" t="s">
        <v>598</v>
      </c>
      <c r="DZ9" t="s">
        <v>598</v>
      </c>
      <c r="EA9" t="s">
        <v>598</v>
      </c>
      <c r="EB9" t="s">
        <v>598</v>
      </c>
      <c r="EC9" t="s">
        <v>598</v>
      </c>
      <c r="ED9" t="s">
        <v>598</v>
      </c>
      <c r="EE9" t="s">
        <v>598</v>
      </c>
      <c r="EF9" t="s">
        <v>598</v>
      </c>
      <c r="EG9" t="s">
        <v>598</v>
      </c>
      <c r="EH9" t="s">
        <v>598</v>
      </c>
      <c r="EI9" t="s">
        <v>598</v>
      </c>
      <c r="EJ9" t="s">
        <v>598</v>
      </c>
      <c r="EK9" t="s">
        <v>598</v>
      </c>
      <c r="EL9" t="s">
        <v>598</v>
      </c>
      <c r="EM9" t="s">
        <v>598</v>
      </c>
      <c r="EN9" t="s">
        <v>598</v>
      </c>
      <c r="EO9" t="s">
        <v>598</v>
      </c>
      <c r="EP9" t="s">
        <v>598</v>
      </c>
      <c r="EQ9" t="s">
        <v>598</v>
      </c>
      <c r="ER9" t="s">
        <v>598</v>
      </c>
      <c r="ES9" t="s">
        <v>598</v>
      </c>
      <c r="ET9" t="s">
        <v>598</v>
      </c>
      <c r="EU9" t="s">
        <v>598</v>
      </c>
      <c r="EV9" t="s">
        <v>598</v>
      </c>
      <c r="EW9" t="s">
        <v>598</v>
      </c>
      <c r="EX9" t="s">
        <v>598</v>
      </c>
      <c r="EY9" t="s">
        <v>598</v>
      </c>
      <c r="EZ9" t="s">
        <v>598</v>
      </c>
      <c r="FA9" t="s">
        <v>598</v>
      </c>
      <c r="FB9" t="s">
        <v>598</v>
      </c>
      <c r="FC9" t="s">
        <v>598</v>
      </c>
      <c r="FD9" t="s">
        <v>598</v>
      </c>
      <c r="FE9" t="s">
        <v>598</v>
      </c>
      <c r="FF9" t="s">
        <v>598</v>
      </c>
      <c r="FG9" t="s">
        <v>598</v>
      </c>
      <c r="FH9" t="s">
        <v>598</v>
      </c>
      <c r="FI9" t="s">
        <v>598</v>
      </c>
      <c r="FJ9" t="s">
        <v>598</v>
      </c>
      <c r="FK9" t="s">
        <v>598</v>
      </c>
      <c r="FL9" t="s">
        <v>598</v>
      </c>
      <c r="FM9" t="s">
        <v>598</v>
      </c>
      <c r="FN9" t="s">
        <v>598</v>
      </c>
      <c r="FO9" t="s">
        <v>598</v>
      </c>
      <c r="FP9" t="s">
        <v>598</v>
      </c>
      <c r="FQ9" t="s">
        <v>598</v>
      </c>
      <c r="FR9" t="s">
        <v>598</v>
      </c>
      <c r="FS9" t="s">
        <v>598</v>
      </c>
      <c r="FT9" t="s">
        <v>598</v>
      </c>
      <c r="FU9" t="s">
        <v>598</v>
      </c>
      <c r="FV9" t="s">
        <v>598</v>
      </c>
      <c r="FW9" t="s">
        <v>598</v>
      </c>
      <c r="FX9" t="s">
        <v>598</v>
      </c>
      <c r="FY9" t="s">
        <v>598</v>
      </c>
      <c r="FZ9" t="s">
        <v>598</v>
      </c>
      <c r="GA9" t="s">
        <v>598</v>
      </c>
      <c r="GB9" t="s">
        <v>598</v>
      </c>
      <c r="GC9" t="s">
        <v>598</v>
      </c>
      <c r="GD9" t="s">
        <v>598</v>
      </c>
      <c r="GE9" t="s">
        <v>598</v>
      </c>
      <c r="GF9" t="s">
        <v>598</v>
      </c>
      <c r="GG9" t="s">
        <v>598</v>
      </c>
      <c r="GH9" t="s">
        <v>598</v>
      </c>
      <c r="GI9" t="s">
        <v>598</v>
      </c>
      <c r="GJ9" t="s">
        <v>598</v>
      </c>
      <c r="GK9" t="s">
        <v>598</v>
      </c>
      <c r="GL9" t="s">
        <v>598</v>
      </c>
      <c r="GM9" t="s">
        <v>598</v>
      </c>
      <c r="GN9" t="s">
        <v>598</v>
      </c>
      <c r="GO9" t="s">
        <v>598</v>
      </c>
      <c r="GP9" t="s">
        <v>598</v>
      </c>
      <c r="GQ9" t="s">
        <v>598</v>
      </c>
      <c r="GR9" t="s">
        <v>598</v>
      </c>
      <c r="GS9" t="s">
        <v>598</v>
      </c>
      <c r="GT9" t="s">
        <v>598</v>
      </c>
      <c r="GU9" t="s">
        <v>598</v>
      </c>
      <c r="GV9" t="s">
        <v>598</v>
      </c>
      <c r="GW9" t="s">
        <v>598</v>
      </c>
      <c r="GX9" t="s">
        <v>598</v>
      </c>
      <c r="GY9" t="s">
        <v>598</v>
      </c>
      <c r="GZ9" t="s">
        <v>598</v>
      </c>
      <c r="HA9" t="s">
        <v>598</v>
      </c>
      <c r="HB9" t="s">
        <v>598</v>
      </c>
      <c r="HC9" t="s">
        <v>598</v>
      </c>
      <c r="HD9" t="s">
        <v>598</v>
      </c>
      <c r="HE9" t="s">
        <v>598</v>
      </c>
      <c r="HF9" t="s">
        <v>598</v>
      </c>
      <c r="HG9" t="s">
        <v>598</v>
      </c>
      <c r="HH9" t="s">
        <v>598</v>
      </c>
      <c r="HI9" t="s">
        <v>598</v>
      </c>
      <c r="HJ9" t="s">
        <v>598</v>
      </c>
      <c r="HK9" t="s">
        <v>598</v>
      </c>
      <c r="HL9" t="s">
        <v>598</v>
      </c>
      <c r="HM9" t="s">
        <v>598</v>
      </c>
      <c r="HN9" t="s">
        <v>598</v>
      </c>
      <c r="HO9" t="s">
        <v>598</v>
      </c>
      <c r="HP9" t="s">
        <v>598</v>
      </c>
      <c r="HQ9" t="s">
        <v>598</v>
      </c>
      <c r="HR9" t="s">
        <v>598</v>
      </c>
      <c r="HS9" t="s">
        <v>598</v>
      </c>
      <c r="HT9" t="s">
        <v>598</v>
      </c>
      <c r="HU9" t="s">
        <v>598</v>
      </c>
      <c r="HV9" t="s">
        <v>598</v>
      </c>
      <c r="HW9" t="s">
        <v>598</v>
      </c>
      <c r="HX9" t="s">
        <v>598</v>
      </c>
      <c r="HY9" t="s">
        <v>598</v>
      </c>
      <c r="HZ9" t="s">
        <v>598</v>
      </c>
      <c r="IA9" t="s">
        <v>598</v>
      </c>
      <c r="IB9" t="s">
        <v>598</v>
      </c>
      <c r="IC9" t="s">
        <v>598</v>
      </c>
      <c r="ID9" t="s">
        <v>598</v>
      </c>
      <c r="IE9" t="s">
        <v>598</v>
      </c>
      <c r="IF9" t="s">
        <v>598</v>
      </c>
      <c r="IG9" t="s">
        <v>598</v>
      </c>
      <c r="IH9" t="s">
        <v>598</v>
      </c>
      <c r="II9" t="s">
        <v>598</v>
      </c>
      <c r="IJ9" t="s">
        <v>598</v>
      </c>
      <c r="IK9" t="s">
        <v>598</v>
      </c>
      <c r="IL9" t="s">
        <v>598</v>
      </c>
      <c r="IM9" t="s">
        <v>598</v>
      </c>
      <c r="IN9" t="s">
        <v>598</v>
      </c>
      <c r="IO9" t="s">
        <v>598</v>
      </c>
      <c r="IP9" t="s">
        <v>598</v>
      </c>
      <c r="IQ9" t="s">
        <v>598</v>
      </c>
      <c r="IR9" t="s">
        <v>598</v>
      </c>
      <c r="IS9" t="s">
        <v>598</v>
      </c>
      <c r="IT9" t="s">
        <v>598</v>
      </c>
      <c r="IU9" t="s">
        <v>598</v>
      </c>
      <c r="IV9" t="s">
        <v>598</v>
      </c>
    </row>
    <row r="10" spans="1:256" hidden="1" x14ac:dyDescent="0.2">
      <c r="B10" s="204" t="str">
        <f t="shared" ref="B10:BM10" si="0">CONCATENATE("=",B39)</f>
        <v>=40783</v>
      </c>
      <c r="C10" s="204" t="str">
        <f t="shared" si="0"/>
        <v>=40784</v>
      </c>
      <c r="D10" s="204" t="str">
        <f t="shared" si="0"/>
        <v>=40785</v>
      </c>
      <c r="E10" s="204" t="str">
        <f t="shared" si="0"/>
        <v>=40786</v>
      </c>
      <c r="F10" s="204" t="str">
        <f t="shared" si="0"/>
        <v>=40787</v>
      </c>
      <c r="G10" s="204" t="str">
        <f t="shared" si="0"/>
        <v>=40788</v>
      </c>
      <c r="H10" s="204" t="str">
        <f t="shared" si="0"/>
        <v>=40789</v>
      </c>
      <c r="I10" s="204" t="str">
        <f t="shared" si="0"/>
        <v>=40790</v>
      </c>
      <c r="J10" s="204" t="str">
        <f t="shared" si="0"/>
        <v>=40791</v>
      </c>
      <c r="K10" s="204" t="str">
        <f t="shared" si="0"/>
        <v>=40792</v>
      </c>
      <c r="L10" s="204" t="str">
        <f t="shared" si="0"/>
        <v>=40793</v>
      </c>
      <c r="M10" s="204" t="str">
        <f t="shared" si="0"/>
        <v>=40794</v>
      </c>
      <c r="N10" s="204" t="str">
        <f t="shared" si="0"/>
        <v>=40795</v>
      </c>
      <c r="O10" s="204" t="str">
        <f t="shared" si="0"/>
        <v>=40796</v>
      </c>
      <c r="P10" s="204" t="str">
        <f t="shared" si="0"/>
        <v>=40797</v>
      </c>
      <c r="Q10" s="204" t="str">
        <f t="shared" si="0"/>
        <v>=40798</v>
      </c>
      <c r="R10" s="204" t="str">
        <f t="shared" si="0"/>
        <v>=40799</v>
      </c>
      <c r="S10" s="204" t="str">
        <f t="shared" si="0"/>
        <v>=40800</v>
      </c>
      <c r="T10" s="204" t="str">
        <f t="shared" si="0"/>
        <v>=40801</v>
      </c>
      <c r="U10" s="204" t="str">
        <f t="shared" si="0"/>
        <v>=40802</v>
      </c>
      <c r="V10" s="204" t="str">
        <f t="shared" si="0"/>
        <v>=40803</v>
      </c>
      <c r="W10" s="204" t="str">
        <f t="shared" si="0"/>
        <v>=40804</v>
      </c>
      <c r="X10" s="204" t="str">
        <f t="shared" si="0"/>
        <v>=40805</v>
      </c>
      <c r="Y10" s="204" t="str">
        <f t="shared" si="0"/>
        <v>=40806</v>
      </c>
      <c r="Z10" s="204" t="str">
        <f t="shared" si="0"/>
        <v>=40807</v>
      </c>
      <c r="AA10" s="204" t="str">
        <f t="shared" si="0"/>
        <v>=40808</v>
      </c>
      <c r="AB10" s="204" t="str">
        <f t="shared" si="0"/>
        <v>=40809</v>
      </c>
      <c r="AC10" s="204" t="str">
        <f t="shared" si="0"/>
        <v>=40810</v>
      </c>
      <c r="AD10" s="204" t="str">
        <f t="shared" si="0"/>
        <v>=40811</v>
      </c>
      <c r="AE10" s="204" t="str">
        <f t="shared" si="0"/>
        <v>=40812</v>
      </c>
      <c r="AF10" s="204" t="str">
        <f t="shared" si="0"/>
        <v>=40813</v>
      </c>
      <c r="AG10" s="204" t="str">
        <f t="shared" si="0"/>
        <v>=40814</v>
      </c>
      <c r="AH10" s="204" t="str">
        <f t="shared" si="0"/>
        <v>=40815</v>
      </c>
      <c r="AI10" s="204" t="str">
        <f t="shared" si="0"/>
        <v>=40816</v>
      </c>
      <c r="AJ10" s="204" t="str">
        <f t="shared" si="0"/>
        <v>=40817</v>
      </c>
      <c r="AK10" s="204" t="str">
        <f t="shared" si="0"/>
        <v>=40818</v>
      </c>
      <c r="AL10" s="204" t="str">
        <f t="shared" si="0"/>
        <v>=40819</v>
      </c>
      <c r="AM10" s="204" t="str">
        <f t="shared" si="0"/>
        <v>=40820</v>
      </c>
      <c r="AN10" s="204" t="str">
        <f t="shared" si="0"/>
        <v>=40821</v>
      </c>
      <c r="AO10" s="204" t="str">
        <f t="shared" si="0"/>
        <v>=40822</v>
      </c>
      <c r="AP10" s="204" t="str">
        <f t="shared" si="0"/>
        <v>=40823</v>
      </c>
      <c r="AQ10" s="204" t="str">
        <f t="shared" si="0"/>
        <v>=40824</v>
      </c>
      <c r="AR10" s="204" t="str">
        <f t="shared" si="0"/>
        <v>=40825</v>
      </c>
      <c r="AS10" s="204" t="str">
        <f t="shared" si="0"/>
        <v>=40826</v>
      </c>
      <c r="AT10" s="204" t="str">
        <f t="shared" si="0"/>
        <v>=40827</v>
      </c>
      <c r="AU10" s="204" t="str">
        <f t="shared" si="0"/>
        <v>=40828</v>
      </c>
      <c r="AV10" s="204" t="str">
        <f t="shared" si="0"/>
        <v>=40829</v>
      </c>
      <c r="AW10" s="204" t="str">
        <f t="shared" si="0"/>
        <v>=40830</v>
      </c>
      <c r="AX10" s="204" t="str">
        <f t="shared" si="0"/>
        <v>=40831</v>
      </c>
      <c r="AY10" s="204" t="str">
        <f t="shared" si="0"/>
        <v>=40832</v>
      </c>
      <c r="AZ10" s="204" t="str">
        <f t="shared" si="0"/>
        <v>=40833</v>
      </c>
      <c r="BA10" s="204" t="str">
        <f t="shared" si="0"/>
        <v>=40834</v>
      </c>
      <c r="BB10" s="204" t="str">
        <f t="shared" si="0"/>
        <v>=40835</v>
      </c>
      <c r="BC10" s="204" t="str">
        <f t="shared" si="0"/>
        <v>=40836</v>
      </c>
      <c r="BD10" s="204" t="str">
        <f t="shared" si="0"/>
        <v>=40837</v>
      </c>
      <c r="BE10" s="204" t="str">
        <f t="shared" si="0"/>
        <v>=40838</v>
      </c>
      <c r="BF10" s="204" t="str">
        <f t="shared" si="0"/>
        <v>=40839</v>
      </c>
      <c r="BG10" s="204" t="str">
        <f t="shared" si="0"/>
        <v>=40840</v>
      </c>
      <c r="BH10" s="204" t="str">
        <f t="shared" si="0"/>
        <v>=40841</v>
      </c>
      <c r="BI10" s="204" t="str">
        <f t="shared" si="0"/>
        <v>=40842</v>
      </c>
      <c r="BJ10" s="204" t="str">
        <f t="shared" si="0"/>
        <v>=40843</v>
      </c>
      <c r="BK10" s="204" t="str">
        <f t="shared" si="0"/>
        <v>=40844</v>
      </c>
      <c r="BL10" s="204" t="str">
        <f t="shared" si="0"/>
        <v>=40845</v>
      </c>
      <c r="BM10" s="204" t="str">
        <f t="shared" si="0"/>
        <v>=40846</v>
      </c>
      <c r="BN10" s="204" t="str">
        <f t="shared" ref="BN10:DY10" si="1">CONCATENATE("=",BN39)</f>
        <v>=40847</v>
      </c>
      <c r="BO10" s="204" t="str">
        <f t="shared" si="1"/>
        <v>=40848</v>
      </c>
      <c r="BP10" s="204" t="str">
        <f t="shared" si="1"/>
        <v>=40849</v>
      </c>
      <c r="BQ10" s="204" t="str">
        <f t="shared" si="1"/>
        <v>=40850</v>
      </c>
      <c r="BR10" s="204" t="str">
        <f t="shared" si="1"/>
        <v>=40851</v>
      </c>
      <c r="BS10" s="204" t="str">
        <f t="shared" si="1"/>
        <v>=40852</v>
      </c>
      <c r="BT10" s="204" t="str">
        <f t="shared" si="1"/>
        <v>=40853</v>
      </c>
      <c r="BU10" s="204" t="str">
        <f t="shared" si="1"/>
        <v>=40854</v>
      </c>
      <c r="BV10" s="204" t="str">
        <f t="shared" si="1"/>
        <v>=40855</v>
      </c>
      <c r="BW10" s="204" t="str">
        <f t="shared" si="1"/>
        <v>=40856</v>
      </c>
      <c r="BX10" s="204" t="str">
        <f t="shared" si="1"/>
        <v>=40857</v>
      </c>
      <c r="BY10" s="204" t="str">
        <f t="shared" si="1"/>
        <v>=40858</v>
      </c>
      <c r="BZ10" s="204" t="str">
        <f t="shared" si="1"/>
        <v>=40859</v>
      </c>
      <c r="CA10" s="204" t="str">
        <f t="shared" si="1"/>
        <v>=40860</v>
      </c>
      <c r="CB10" s="204" t="str">
        <f t="shared" si="1"/>
        <v>=40861</v>
      </c>
      <c r="CC10" s="204" t="str">
        <f t="shared" si="1"/>
        <v>=40862</v>
      </c>
      <c r="CD10" s="204" t="str">
        <f t="shared" si="1"/>
        <v>=40863</v>
      </c>
      <c r="CE10" s="204" t="str">
        <f t="shared" si="1"/>
        <v>=40864</v>
      </c>
      <c r="CF10" s="204" t="str">
        <f t="shared" si="1"/>
        <v>=40865</v>
      </c>
      <c r="CG10" s="204" t="str">
        <f t="shared" si="1"/>
        <v>=40866</v>
      </c>
      <c r="CH10" s="204" t="str">
        <f t="shared" si="1"/>
        <v>=40867</v>
      </c>
      <c r="CI10" s="204" t="str">
        <f t="shared" si="1"/>
        <v>=40868</v>
      </c>
      <c r="CJ10" s="204" t="str">
        <f t="shared" si="1"/>
        <v>=40869</v>
      </c>
      <c r="CK10" s="204" t="str">
        <f t="shared" si="1"/>
        <v>=40870</v>
      </c>
      <c r="CL10" s="204" t="str">
        <f t="shared" si="1"/>
        <v>=40871</v>
      </c>
      <c r="CM10" s="204" t="str">
        <f t="shared" si="1"/>
        <v>=40872</v>
      </c>
      <c r="CN10" s="204" t="str">
        <f t="shared" si="1"/>
        <v>=40873</v>
      </c>
      <c r="CO10" s="204" t="str">
        <f t="shared" si="1"/>
        <v>=40874</v>
      </c>
      <c r="CP10" s="204" t="str">
        <f t="shared" si="1"/>
        <v>=40875</v>
      </c>
      <c r="CQ10" s="204" t="str">
        <f t="shared" si="1"/>
        <v>=40876</v>
      </c>
      <c r="CR10" s="204" t="str">
        <f t="shared" si="1"/>
        <v>=40877</v>
      </c>
      <c r="CS10" s="204" t="str">
        <f t="shared" si="1"/>
        <v>=40878</v>
      </c>
      <c r="CT10" s="204" t="str">
        <f t="shared" si="1"/>
        <v>=40879</v>
      </c>
      <c r="CU10" s="204" t="str">
        <f t="shared" si="1"/>
        <v>=40880</v>
      </c>
      <c r="CV10" s="204" t="str">
        <f t="shared" si="1"/>
        <v>=40881</v>
      </c>
      <c r="CW10" s="204" t="str">
        <f t="shared" si="1"/>
        <v>=40882</v>
      </c>
      <c r="CX10" s="204" t="str">
        <f t="shared" si="1"/>
        <v>=40883</v>
      </c>
      <c r="CY10" s="204" t="str">
        <f t="shared" si="1"/>
        <v>=40884</v>
      </c>
      <c r="CZ10" s="204" t="str">
        <f t="shared" si="1"/>
        <v>=40885</v>
      </c>
      <c r="DA10" s="204" t="str">
        <f t="shared" si="1"/>
        <v>=40886</v>
      </c>
      <c r="DB10" s="204" t="str">
        <f t="shared" si="1"/>
        <v>=40887</v>
      </c>
      <c r="DC10" s="204" t="str">
        <f t="shared" si="1"/>
        <v>=40888</v>
      </c>
      <c r="DD10" s="204" t="str">
        <f t="shared" si="1"/>
        <v>=40889</v>
      </c>
      <c r="DE10" s="204" t="str">
        <f t="shared" si="1"/>
        <v>=40890</v>
      </c>
      <c r="DF10" s="204" t="str">
        <f t="shared" si="1"/>
        <v>=40891</v>
      </c>
      <c r="DG10" s="204" t="str">
        <f t="shared" si="1"/>
        <v>=40892</v>
      </c>
      <c r="DH10" s="204" t="str">
        <f t="shared" si="1"/>
        <v>=40893</v>
      </c>
      <c r="DI10" s="204" t="str">
        <f t="shared" si="1"/>
        <v>=40894</v>
      </c>
      <c r="DJ10" s="204" t="str">
        <f t="shared" si="1"/>
        <v>=40895</v>
      </c>
      <c r="DK10" s="204" t="str">
        <f t="shared" si="1"/>
        <v>=40896</v>
      </c>
      <c r="DL10" s="204" t="str">
        <f t="shared" si="1"/>
        <v>=40897</v>
      </c>
      <c r="DM10" s="204" t="str">
        <f t="shared" si="1"/>
        <v>=40898</v>
      </c>
      <c r="DN10" s="204" t="str">
        <f t="shared" si="1"/>
        <v>=40899</v>
      </c>
      <c r="DO10" s="204" t="str">
        <f t="shared" si="1"/>
        <v>=40900</v>
      </c>
      <c r="DP10" s="204" t="str">
        <f t="shared" si="1"/>
        <v>=40901</v>
      </c>
      <c r="DQ10" s="204" t="str">
        <f t="shared" si="1"/>
        <v>=40902</v>
      </c>
      <c r="DR10" s="204" t="str">
        <f t="shared" si="1"/>
        <v>=40903</v>
      </c>
      <c r="DS10" s="204" t="str">
        <f t="shared" si="1"/>
        <v>=40904</v>
      </c>
      <c r="DT10" s="204" t="str">
        <f t="shared" si="1"/>
        <v>=40905</v>
      </c>
      <c r="DU10" s="204" t="str">
        <f t="shared" si="1"/>
        <v>=40906</v>
      </c>
      <c r="DV10" s="204" t="str">
        <f t="shared" si="1"/>
        <v>=40907</v>
      </c>
      <c r="DW10" s="204" t="str">
        <f t="shared" si="1"/>
        <v>=40908</v>
      </c>
      <c r="DX10" s="204" t="str">
        <f t="shared" si="1"/>
        <v>=40909</v>
      </c>
      <c r="DY10" s="204" t="str">
        <f t="shared" si="1"/>
        <v>=40910</v>
      </c>
      <c r="DZ10" s="204" t="str">
        <f t="shared" ref="DZ10:GK10" si="2">CONCATENATE("=",DZ39)</f>
        <v>=40911</v>
      </c>
      <c r="EA10" s="204" t="str">
        <f t="shared" si="2"/>
        <v>=40912</v>
      </c>
      <c r="EB10" s="204" t="str">
        <f t="shared" si="2"/>
        <v>=40913</v>
      </c>
      <c r="EC10" s="204" t="str">
        <f t="shared" si="2"/>
        <v>=40914</v>
      </c>
      <c r="ED10" s="204" t="str">
        <f t="shared" si="2"/>
        <v>=40915</v>
      </c>
      <c r="EE10" s="204" t="str">
        <f t="shared" si="2"/>
        <v>=40916</v>
      </c>
      <c r="EF10" s="204" t="str">
        <f t="shared" si="2"/>
        <v>=40917</v>
      </c>
      <c r="EG10" s="204" t="str">
        <f t="shared" si="2"/>
        <v>=40918</v>
      </c>
      <c r="EH10" s="204" t="str">
        <f t="shared" si="2"/>
        <v>=40919</v>
      </c>
      <c r="EI10" s="204" t="str">
        <f t="shared" si="2"/>
        <v>=40920</v>
      </c>
      <c r="EJ10" s="204" t="str">
        <f t="shared" si="2"/>
        <v>=40921</v>
      </c>
      <c r="EK10" s="204" t="str">
        <f t="shared" si="2"/>
        <v>=40922</v>
      </c>
      <c r="EL10" s="204" t="str">
        <f t="shared" si="2"/>
        <v>=40923</v>
      </c>
      <c r="EM10" s="204" t="str">
        <f t="shared" si="2"/>
        <v>=40924</v>
      </c>
      <c r="EN10" s="204" t="str">
        <f t="shared" si="2"/>
        <v>=40925</v>
      </c>
      <c r="EO10" s="204" t="str">
        <f t="shared" si="2"/>
        <v>=40926</v>
      </c>
      <c r="EP10" s="204" t="str">
        <f t="shared" si="2"/>
        <v>=40927</v>
      </c>
      <c r="EQ10" s="204" t="str">
        <f t="shared" si="2"/>
        <v>=40928</v>
      </c>
      <c r="ER10" s="204" t="str">
        <f t="shared" si="2"/>
        <v>=40929</v>
      </c>
      <c r="ES10" s="204" t="str">
        <f t="shared" si="2"/>
        <v>=40930</v>
      </c>
      <c r="ET10" s="204" t="str">
        <f t="shared" si="2"/>
        <v>=40931</v>
      </c>
      <c r="EU10" s="204" t="str">
        <f t="shared" si="2"/>
        <v>=40932</v>
      </c>
      <c r="EV10" s="204" t="str">
        <f t="shared" si="2"/>
        <v>=40933</v>
      </c>
      <c r="EW10" s="204" t="str">
        <f t="shared" si="2"/>
        <v>=40934</v>
      </c>
      <c r="EX10" s="204" t="str">
        <f t="shared" si="2"/>
        <v>=40935</v>
      </c>
      <c r="EY10" s="204" t="str">
        <f t="shared" si="2"/>
        <v>=40936</v>
      </c>
      <c r="EZ10" s="204" t="str">
        <f t="shared" si="2"/>
        <v>=40937</v>
      </c>
      <c r="FA10" s="204" t="str">
        <f t="shared" si="2"/>
        <v>=40938</v>
      </c>
      <c r="FB10" s="204" t="str">
        <f t="shared" si="2"/>
        <v>=40939</v>
      </c>
      <c r="FC10" s="204" t="str">
        <f t="shared" si="2"/>
        <v>=40940</v>
      </c>
      <c r="FD10" s="204" t="str">
        <f t="shared" si="2"/>
        <v>=40941</v>
      </c>
      <c r="FE10" s="204" t="str">
        <f t="shared" si="2"/>
        <v>=40942</v>
      </c>
      <c r="FF10" s="204" t="str">
        <f t="shared" si="2"/>
        <v>=40943</v>
      </c>
      <c r="FG10" s="204" t="str">
        <f t="shared" si="2"/>
        <v>=40944</v>
      </c>
      <c r="FH10" s="204" t="str">
        <f t="shared" si="2"/>
        <v>=40945</v>
      </c>
      <c r="FI10" s="204" t="str">
        <f t="shared" si="2"/>
        <v>=40946</v>
      </c>
      <c r="FJ10" s="204" t="str">
        <f t="shared" si="2"/>
        <v>=40947</v>
      </c>
      <c r="FK10" s="204" t="str">
        <f t="shared" si="2"/>
        <v>=40948</v>
      </c>
      <c r="FL10" s="204" t="str">
        <f t="shared" si="2"/>
        <v>=40949</v>
      </c>
      <c r="FM10" s="204" t="str">
        <f t="shared" si="2"/>
        <v>=40950</v>
      </c>
      <c r="FN10" s="204" t="str">
        <f t="shared" si="2"/>
        <v>=40951</v>
      </c>
      <c r="FO10" s="204" t="str">
        <f t="shared" si="2"/>
        <v>=40952</v>
      </c>
      <c r="FP10" s="204" t="str">
        <f t="shared" si="2"/>
        <v>=40953</v>
      </c>
      <c r="FQ10" s="204" t="str">
        <f t="shared" si="2"/>
        <v>=40954</v>
      </c>
      <c r="FR10" s="204" t="str">
        <f t="shared" si="2"/>
        <v>=40955</v>
      </c>
      <c r="FS10" s="204" t="str">
        <f t="shared" si="2"/>
        <v>=40956</v>
      </c>
      <c r="FT10" s="204" t="str">
        <f t="shared" si="2"/>
        <v>=40957</v>
      </c>
      <c r="FU10" s="204" t="str">
        <f t="shared" si="2"/>
        <v>=40958</v>
      </c>
      <c r="FV10" s="204" t="str">
        <f t="shared" si="2"/>
        <v>=40959</v>
      </c>
      <c r="FW10" s="204" t="str">
        <f t="shared" si="2"/>
        <v>=40960</v>
      </c>
      <c r="FX10" s="204" t="str">
        <f t="shared" si="2"/>
        <v>=40961</v>
      </c>
      <c r="FY10" s="204" t="str">
        <f t="shared" si="2"/>
        <v>=40962</v>
      </c>
      <c r="FZ10" s="204" t="str">
        <f t="shared" si="2"/>
        <v>=40963</v>
      </c>
      <c r="GA10" s="204" t="str">
        <f t="shared" si="2"/>
        <v>=40964</v>
      </c>
      <c r="GB10" s="204" t="str">
        <f t="shared" si="2"/>
        <v>=40965</v>
      </c>
      <c r="GC10" s="204" t="str">
        <f t="shared" si="2"/>
        <v>=40966</v>
      </c>
      <c r="GD10" s="204" t="str">
        <f t="shared" si="2"/>
        <v>=40967</v>
      </c>
      <c r="GE10" s="204" t="str">
        <f t="shared" si="2"/>
        <v>=40968</v>
      </c>
      <c r="GF10" s="204" t="str">
        <f t="shared" si="2"/>
        <v>=40969</v>
      </c>
      <c r="GG10" s="204" t="str">
        <f t="shared" si="2"/>
        <v>=40970</v>
      </c>
      <c r="GH10" s="204" t="str">
        <f t="shared" si="2"/>
        <v>=40971</v>
      </c>
      <c r="GI10" s="204" t="str">
        <f t="shared" si="2"/>
        <v>=40972</v>
      </c>
      <c r="GJ10" s="204" t="str">
        <f t="shared" si="2"/>
        <v>=40973</v>
      </c>
      <c r="GK10" s="204" t="str">
        <f t="shared" si="2"/>
        <v>=40974</v>
      </c>
      <c r="GL10" s="204" t="str">
        <f t="shared" ref="GL10:IV10" si="3">CONCATENATE("=",GL39)</f>
        <v>=40975</v>
      </c>
      <c r="GM10" s="204" t="str">
        <f t="shared" si="3"/>
        <v>=40976</v>
      </c>
      <c r="GN10" s="204" t="str">
        <f t="shared" si="3"/>
        <v>=40977</v>
      </c>
      <c r="GO10" s="204" t="str">
        <f t="shared" si="3"/>
        <v>=40978</v>
      </c>
      <c r="GP10" s="204" t="str">
        <f t="shared" si="3"/>
        <v>=40979</v>
      </c>
      <c r="GQ10" s="204" t="str">
        <f t="shared" si="3"/>
        <v>=40980</v>
      </c>
      <c r="GR10" s="204" t="str">
        <f t="shared" si="3"/>
        <v>=40981</v>
      </c>
      <c r="GS10" s="204" t="str">
        <f t="shared" si="3"/>
        <v>=40982</v>
      </c>
      <c r="GT10" s="204" t="str">
        <f t="shared" si="3"/>
        <v>=40983</v>
      </c>
      <c r="GU10" s="204" t="str">
        <f t="shared" si="3"/>
        <v>=40984</v>
      </c>
      <c r="GV10" s="204" t="str">
        <f t="shared" si="3"/>
        <v>=40985</v>
      </c>
      <c r="GW10" s="204" t="str">
        <f t="shared" si="3"/>
        <v>=40986</v>
      </c>
      <c r="GX10" s="204" t="str">
        <f t="shared" si="3"/>
        <v>=40987</v>
      </c>
      <c r="GY10" s="204" t="str">
        <f t="shared" si="3"/>
        <v>=40988</v>
      </c>
      <c r="GZ10" s="204" t="str">
        <f t="shared" si="3"/>
        <v>=40989</v>
      </c>
      <c r="HA10" s="204" t="str">
        <f t="shared" si="3"/>
        <v>=40990</v>
      </c>
      <c r="HB10" s="204" t="str">
        <f t="shared" si="3"/>
        <v>=40991</v>
      </c>
      <c r="HC10" s="204" t="str">
        <f t="shared" si="3"/>
        <v>=40992</v>
      </c>
      <c r="HD10" s="204" t="str">
        <f t="shared" si="3"/>
        <v>=40993</v>
      </c>
      <c r="HE10" s="204" t="str">
        <f t="shared" si="3"/>
        <v>=40994</v>
      </c>
      <c r="HF10" s="204" t="str">
        <f t="shared" si="3"/>
        <v>=40995</v>
      </c>
      <c r="HG10" s="204" t="str">
        <f t="shared" si="3"/>
        <v>=40996</v>
      </c>
      <c r="HH10" s="204" t="str">
        <f t="shared" si="3"/>
        <v>=40997</v>
      </c>
      <c r="HI10" s="204" t="str">
        <f t="shared" si="3"/>
        <v>=40998</v>
      </c>
      <c r="HJ10" s="204" t="str">
        <f t="shared" si="3"/>
        <v>=40999</v>
      </c>
      <c r="HK10" s="204" t="str">
        <f t="shared" si="3"/>
        <v>=41000</v>
      </c>
      <c r="HL10" s="204" t="str">
        <f t="shared" si="3"/>
        <v>=41001</v>
      </c>
      <c r="HM10" s="204" t="str">
        <f t="shared" si="3"/>
        <v>=41002</v>
      </c>
      <c r="HN10" s="204" t="str">
        <f t="shared" si="3"/>
        <v>=41003</v>
      </c>
      <c r="HO10" s="204" t="str">
        <f t="shared" si="3"/>
        <v>=41004</v>
      </c>
      <c r="HP10" s="204" t="str">
        <f t="shared" si="3"/>
        <v>=41005</v>
      </c>
      <c r="HQ10" s="204" t="str">
        <f t="shared" si="3"/>
        <v>=41006</v>
      </c>
      <c r="HR10" s="204" t="str">
        <f t="shared" si="3"/>
        <v>=41007</v>
      </c>
      <c r="HS10" s="204" t="str">
        <f t="shared" si="3"/>
        <v>=41008</v>
      </c>
      <c r="HT10" s="204" t="str">
        <f t="shared" si="3"/>
        <v>=41009</v>
      </c>
      <c r="HU10" s="204" t="str">
        <f t="shared" si="3"/>
        <v>=41010</v>
      </c>
      <c r="HV10" s="204" t="str">
        <f t="shared" si="3"/>
        <v>=41011</v>
      </c>
      <c r="HW10" s="204" t="str">
        <f t="shared" si="3"/>
        <v>=41012</v>
      </c>
      <c r="HX10" s="204" t="str">
        <f t="shared" si="3"/>
        <v>=41013</v>
      </c>
      <c r="HY10" s="204" t="str">
        <f t="shared" si="3"/>
        <v>=41014</v>
      </c>
      <c r="HZ10" s="204" t="str">
        <f t="shared" si="3"/>
        <v>=41015</v>
      </c>
      <c r="IA10" s="204" t="str">
        <f t="shared" si="3"/>
        <v>=41016</v>
      </c>
      <c r="IB10" s="204" t="str">
        <f t="shared" si="3"/>
        <v>=41017</v>
      </c>
      <c r="IC10" s="204" t="str">
        <f t="shared" si="3"/>
        <v>=41018</v>
      </c>
      <c r="ID10" s="204" t="str">
        <f t="shared" si="3"/>
        <v>=41019</v>
      </c>
      <c r="IE10" s="204" t="str">
        <f t="shared" si="3"/>
        <v>=41020</v>
      </c>
      <c r="IF10" s="204" t="str">
        <f t="shared" si="3"/>
        <v>=41021</v>
      </c>
      <c r="IG10" s="204" t="str">
        <f t="shared" si="3"/>
        <v>=41022</v>
      </c>
      <c r="IH10" s="204" t="str">
        <f t="shared" si="3"/>
        <v>=41023</v>
      </c>
      <c r="II10" s="204" t="str">
        <f t="shared" si="3"/>
        <v>=41024</v>
      </c>
      <c r="IJ10" s="204" t="str">
        <f t="shared" si="3"/>
        <v>=41025</v>
      </c>
      <c r="IK10" s="204" t="str">
        <f t="shared" si="3"/>
        <v>=41026</v>
      </c>
      <c r="IL10" s="204" t="str">
        <f t="shared" si="3"/>
        <v>=41027</v>
      </c>
      <c r="IM10" s="204" t="str">
        <f t="shared" si="3"/>
        <v>=41028</v>
      </c>
      <c r="IN10" s="204" t="str">
        <f t="shared" si="3"/>
        <v>=41029</v>
      </c>
      <c r="IO10" s="204" t="str">
        <f t="shared" si="3"/>
        <v>=41030</v>
      </c>
      <c r="IP10" s="204" t="str">
        <f t="shared" si="3"/>
        <v>=41031</v>
      </c>
      <c r="IQ10" s="204" t="str">
        <f t="shared" si="3"/>
        <v>=41032</v>
      </c>
      <c r="IR10" s="204" t="str">
        <f t="shared" si="3"/>
        <v>=41033</v>
      </c>
      <c r="IS10" s="204" t="str">
        <f t="shared" si="3"/>
        <v>=41034</v>
      </c>
      <c r="IT10" s="204" t="str">
        <f t="shared" si="3"/>
        <v>=41035</v>
      </c>
      <c r="IU10" s="204" t="str">
        <f t="shared" si="3"/>
        <v>=41036</v>
      </c>
      <c r="IV10" s="204" t="str">
        <f t="shared" si="3"/>
        <v>=41037</v>
      </c>
    </row>
    <row r="15" spans="1:256" x14ac:dyDescent="0.2">
      <c r="A15" s="200"/>
      <c r="B15" s="199"/>
    </row>
    <row r="16" spans="1:256" x14ac:dyDescent="0.2">
      <c r="A16" s="200"/>
      <c r="B16" s="199"/>
    </row>
    <row r="17" spans="1:2" x14ac:dyDescent="0.2">
      <c r="A17" s="200"/>
      <c r="B17" s="199"/>
    </row>
    <row r="18" spans="1:2" x14ac:dyDescent="0.2">
      <c r="A18" s="200"/>
      <c r="B18" s="199"/>
    </row>
    <row r="19" spans="1:2" x14ac:dyDescent="0.2">
      <c r="A19" s="200"/>
      <c r="B19" s="199"/>
    </row>
    <row r="28" spans="1:2" x14ac:dyDescent="0.2">
      <c r="A28" s="200"/>
      <c r="B28" s="199"/>
    </row>
    <row r="29" spans="1:2" x14ac:dyDescent="0.2">
      <c r="A29" s="200"/>
      <c r="B29" s="199"/>
    </row>
    <row r="30" spans="1:2" x14ac:dyDescent="0.2">
      <c r="A30" s="200"/>
      <c r="B30" s="199"/>
    </row>
    <row r="31" spans="1:2" x14ac:dyDescent="0.2">
      <c r="A31" s="200"/>
      <c r="B31" s="199"/>
    </row>
    <row r="32" spans="1:2" x14ac:dyDescent="0.2">
      <c r="A32" s="200"/>
      <c r="B32" s="199"/>
    </row>
    <row r="37" spans="1:256" x14ac:dyDescent="0.2">
      <c r="A37" s="200"/>
      <c r="B37" s="199"/>
    </row>
    <row r="38" spans="1:256" x14ac:dyDescent="0.2">
      <c r="A38" s="200"/>
      <c r="B38" s="199"/>
    </row>
    <row r="39" spans="1:256" s="200" customFormat="1" x14ac:dyDescent="0.2">
      <c r="A39" s="200" t="s">
        <v>606</v>
      </c>
      <c r="B39" s="200">
        <f>B3</f>
        <v>40783</v>
      </c>
      <c r="C39" s="200">
        <f t="shared" ref="C39:BN39" si="4">+B39+1</f>
        <v>40784</v>
      </c>
      <c r="D39" s="200">
        <f t="shared" si="4"/>
        <v>40785</v>
      </c>
      <c r="E39" s="200">
        <f t="shared" si="4"/>
        <v>40786</v>
      </c>
      <c r="F39" s="200">
        <f t="shared" si="4"/>
        <v>40787</v>
      </c>
      <c r="G39" s="200">
        <f t="shared" si="4"/>
        <v>40788</v>
      </c>
      <c r="H39" s="200">
        <f t="shared" si="4"/>
        <v>40789</v>
      </c>
      <c r="I39" s="200">
        <f t="shared" si="4"/>
        <v>40790</v>
      </c>
      <c r="J39" s="200">
        <f t="shared" si="4"/>
        <v>40791</v>
      </c>
      <c r="K39" s="200">
        <f t="shared" si="4"/>
        <v>40792</v>
      </c>
      <c r="L39" s="200">
        <f t="shared" si="4"/>
        <v>40793</v>
      </c>
      <c r="M39" s="200">
        <f t="shared" si="4"/>
        <v>40794</v>
      </c>
      <c r="N39" s="200">
        <f t="shared" si="4"/>
        <v>40795</v>
      </c>
      <c r="O39" s="200">
        <f t="shared" si="4"/>
        <v>40796</v>
      </c>
      <c r="P39" s="200">
        <f t="shared" si="4"/>
        <v>40797</v>
      </c>
      <c r="Q39" s="200">
        <f t="shared" si="4"/>
        <v>40798</v>
      </c>
      <c r="R39" s="200">
        <f t="shared" si="4"/>
        <v>40799</v>
      </c>
      <c r="S39" s="200">
        <f t="shared" si="4"/>
        <v>40800</v>
      </c>
      <c r="T39" s="200">
        <f t="shared" si="4"/>
        <v>40801</v>
      </c>
      <c r="U39" s="200">
        <f t="shared" si="4"/>
        <v>40802</v>
      </c>
      <c r="V39" s="200">
        <f t="shared" si="4"/>
        <v>40803</v>
      </c>
      <c r="W39" s="200">
        <f t="shared" si="4"/>
        <v>40804</v>
      </c>
      <c r="X39" s="200">
        <f t="shared" si="4"/>
        <v>40805</v>
      </c>
      <c r="Y39" s="200">
        <f t="shared" si="4"/>
        <v>40806</v>
      </c>
      <c r="Z39" s="200">
        <f t="shared" si="4"/>
        <v>40807</v>
      </c>
      <c r="AA39" s="200">
        <f t="shared" si="4"/>
        <v>40808</v>
      </c>
      <c r="AB39" s="200">
        <f t="shared" si="4"/>
        <v>40809</v>
      </c>
      <c r="AC39" s="200">
        <f t="shared" si="4"/>
        <v>40810</v>
      </c>
      <c r="AD39" s="200">
        <f t="shared" si="4"/>
        <v>40811</v>
      </c>
      <c r="AE39" s="200">
        <f t="shared" si="4"/>
        <v>40812</v>
      </c>
      <c r="AF39" s="200">
        <f t="shared" si="4"/>
        <v>40813</v>
      </c>
      <c r="AG39" s="200">
        <f t="shared" si="4"/>
        <v>40814</v>
      </c>
      <c r="AH39" s="200">
        <f t="shared" si="4"/>
        <v>40815</v>
      </c>
      <c r="AI39" s="200">
        <f t="shared" si="4"/>
        <v>40816</v>
      </c>
      <c r="AJ39" s="200">
        <f t="shared" si="4"/>
        <v>40817</v>
      </c>
      <c r="AK39" s="200">
        <f t="shared" si="4"/>
        <v>40818</v>
      </c>
      <c r="AL39" s="200">
        <f t="shared" si="4"/>
        <v>40819</v>
      </c>
      <c r="AM39" s="200">
        <f t="shared" si="4"/>
        <v>40820</v>
      </c>
      <c r="AN39" s="200">
        <f t="shared" si="4"/>
        <v>40821</v>
      </c>
      <c r="AO39" s="200">
        <f t="shared" si="4"/>
        <v>40822</v>
      </c>
      <c r="AP39" s="200">
        <f t="shared" si="4"/>
        <v>40823</v>
      </c>
      <c r="AQ39" s="200">
        <f t="shared" si="4"/>
        <v>40824</v>
      </c>
      <c r="AR39" s="200">
        <f t="shared" si="4"/>
        <v>40825</v>
      </c>
      <c r="AS39" s="200">
        <f t="shared" si="4"/>
        <v>40826</v>
      </c>
      <c r="AT39" s="200">
        <f t="shared" si="4"/>
        <v>40827</v>
      </c>
      <c r="AU39" s="200">
        <f t="shared" si="4"/>
        <v>40828</v>
      </c>
      <c r="AV39" s="200">
        <f t="shared" si="4"/>
        <v>40829</v>
      </c>
      <c r="AW39" s="200">
        <f t="shared" si="4"/>
        <v>40830</v>
      </c>
      <c r="AX39" s="200">
        <f t="shared" si="4"/>
        <v>40831</v>
      </c>
      <c r="AY39" s="200">
        <f t="shared" si="4"/>
        <v>40832</v>
      </c>
      <c r="AZ39" s="200">
        <f t="shared" si="4"/>
        <v>40833</v>
      </c>
      <c r="BA39" s="200">
        <f t="shared" si="4"/>
        <v>40834</v>
      </c>
      <c r="BB39" s="200">
        <f t="shared" si="4"/>
        <v>40835</v>
      </c>
      <c r="BC39" s="200">
        <f t="shared" si="4"/>
        <v>40836</v>
      </c>
      <c r="BD39" s="200">
        <f t="shared" si="4"/>
        <v>40837</v>
      </c>
      <c r="BE39" s="200">
        <f t="shared" si="4"/>
        <v>40838</v>
      </c>
      <c r="BF39" s="200">
        <f t="shared" si="4"/>
        <v>40839</v>
      </c>
      <c r="BG39" s="200">
        <f t="shared" si="4"/>
        <v>40840</v>
      </c>
      <c r="BH39" s="200">
        <f t="shared" si="4"/>
        <v>40841</v>
      </c>
      <c r="BI39" s="200">
        <f t="shared" si="4"/>
        <v>40842</v>
      </c>
      <c r="BJ39" s="200">
        <f t="shared" si="4"/>
        <v>40843</v>
      </c>
      <c r="BK39" s="200">
        <f t="shared" si="4"/>
        <v>40844</v>
      </c>
      <c r="BL39" s="200">
        <f t="shared" si="4"/>
        <v>40845</v>
      </c>
      <c r="BM39" s="200">
        <f t="shared" si="4"/>
        <v>40846</v>
      </c>
      <c r="BN39" s="200">
        <f t="shared" si="4"/>
        <v>40847</v>
      </c>
      <c r="BO39" s="200">
        <f t="shared" ref="BO39:DZ39" si="5">+BN39+1</f>
        <v>40848</v>
      </c>
      <c r="BP39" s="200">
        <f t="shared" si="5"/>
        <v>40849</v>
      </c>
      <c r="BQ39" s="200">
        <f t="shared" si="5"/>
        <v>40850</v>
      </c>
      <c r="BR39" s="200">
        <f t="shared" si="5"/>
        <v>40851</v>
      </c>
      <c r="BS39" s="200">
        <f t="shared" si="5"/>
        <v>40852</v>
      </c>
      <c r="BT39" s="200">
        <f t="shared" si="5"/>
        <v>40853</v>
      </c>
      <c r="BU39" s="200">
        <f t="shared" si="5"/>
        <v>40854</v>
      </c>
      <c r="BV39" s="200">
        <f t="shared" si="5"/>
        <v>40855</v>
      </c>
      <c r="BW39" s="200">
        <f t="shared" si="5"/>
        <v>40856</v>
      </c>
      <c r="BX39" s="200">
        <f t="shared" si="5"/>
        <v>40857</v>
      </c>
      <c r="BY39" s="200">
        <f t="shared" si="5"/>
        <v>40858</v>
      </c>
      <c r="BZ39" s="200">
        <f t="shared" si="5"/>
        <v>40859</v>
      </c>
      <c r="CA39" s="200">
        <f t="shared" si="5"/>
        <v>40860</v>
      </c>
      <c r="CB39" s="200">
        <f t="shared" si="5"/>
        <v>40861</v>
      </c>
      <c r="CC39" s="200">
        <f t="shared" si="5"/>
        <v>40862</v>
      </c>
      <c r="CD39" s="200">
        <f t="shared" si="5"/>
        <v>40863</v>
      </c>
      <c r="CE39" s="200">
        <f t="shared" si="5"/>
        <v>40864</v>
      </c>
      <c r="CF39" s="200">
        <f t="shared" si="5"/>
        <v>40865</v>
      </c>
      <c r="CG39" s="200">
        <f t="shared" si="5"/>
        <v>40866</v>
      </c>
      <c r="CH39" s="200">
        <f t="shared" si="5"/>
        <v>40867</v>
      </c>
      <c r="CI39" s="200">
        <f t="shared" si="5"/>
        <v>40868</v>
      </c>
      <c r="CJ39" s="200">
        <f t="shared" si="5"/>
        <v>40869</v>
      </c>
      <c r="CK39" s="200">
        <f t="shared" si="5"/>
        <v>40870</v>
      </c>
      <c r="CL39" s="200">
        <f t="shared" si="5"/>
        <v>40871</v>
      </c>
      <c r="CM39" s="200">
        <f t="shared" si="5"/>
        <v>40872</v>
      </c>
      <c r="CN39" s="200">
        <f t="shared" si="5"/>
        <v>40873</v>
      </c>
      <c r="CO39" s="200">
        <f t="shared" si="5"/>
        <v>40874</v>
      </c>
      <c r="CP39" s="200">
        <f t="shared" si="5"/>
        <v>40875</v>
      </c>
      <c r="CQ39" s="200">
        <f t="shared" si="5"/>
        <v>40876</v>
      </c>
      <c r="CR39" s="200">
        <f t="shared" si="5"/>
        <v>40877</v>
      </c>
      <c r="CS39" s="200">
        <f t="shared" si="5"/>
        <v>40878</v>
      </c>
      <c r="CT39" s="200">
        <f t="shared" si="5"/>
        <v>40879</v>
      </c>
      <c r="CU39" s="200">
        <f t="shared" si="5"/>
        <v>40880</v>
      </c>
      <c r="CV39" s="200">
        <f t="shared" si="5"/>
        <v>40881</v>
      </c>
      <c r="CW39" s="200">
        <f t="shared" si="5"/>
        <v>40882</v>
      </c>
      <c r="CX39" s="200">
        <f t="shared" si="5"/>
        <v>40883</v>
      </c>
      <c r="CY39" s="200">
        <f t="shared" si="5"/>
        <v>40884</v>
      </c>
      <c r="CZ39" s="200">
        <f t="shared" si="5"/>
        <v>40885</v>
      </c>
      <c r="DA39" s="200">
        <f t="shared" si="5"/>
        <v>40886</v>
      </c>
      <c r="DB39" s="200">
        <f t="shared" si="5"/>
        <v>40887</v>
      </c>
      <c r="DC39" s="200">
        <f t="shared" si="5"/>
        <v>40888</v>
      </c>
      <c r="DD39" s="200">
        <f t="shared" si="5"/>
        <v>40889</v>
      </c>
      <c r="DE39" s="200">
        <f t="shared" si="5"/>
        <v>40890</v>
      </c>
      <c r="DF39" s="200">
        <f t="shared" si="5"/>
        <v>40891</v>
      </c>
      <c r="DG39" s="200">
        <f t="shared" si="5"/>
        <v>40892</v>
      </c>
      <c r="DH39" s="200">
        <f t="shared" si="5"/>
        <v>40893</v>
      </c>
      <c r="DI39" s="200">
        <f t="shared" si="5"/>
        <v>40894</v>
      </c>
      <c r="DJ39" s="200">
        <f t="shared" si="5"/>
        <v>40895</v>
      </c>
      <c r="DK39" s="200">
        <f t="shared" si="5"/>
        <v>40896</v>
      </c>
      <c r="DL39" s="200">
        <f t="shared" si="5"/>
        <v>40897</v>
      </c>
      <c r="DM39" s="200">
        <f t="shared" si="5"/>
        <v>40898</v>
      </c>
      <c r="DN39" s="200">
        <f t="shared" si="5"/>
        <v>40899</v>
      </c>
      <c r="DO39" s="200">
        <f t="shared" si="5"/>
        <v>40900</v>
      </c>
      <c r="DP39" s="200">
        <f t="shared" si="5"/>
        <v>40901</v>
      </c>
      <c r="DQ39" s="200">
        <f t="shared" si="5"/>
        <v>40902</v>
      </c>
      <c r="DR39" s="200">
        <f t="shared" si="5"/>
        <v>40903</v>
      </c>
      <c r="DS39" s="200">
        <f t="shared" si="5"/>
        <v>40904</v>
      </c>
      <c r="DT39" s="200">
        <f t="shared" si="5"/>
        <v>40905</v>
      </c>
      <c r="DU39" s="200">
        <f t="shared" si="5"/>
        <v>40906</v>
      </c>
      <c r="DV39" s="200">
        <f t="shared" si="5"/>
        <v>40907</v>
      </c>
      <c r="DW39" s="200">
        <f t="shared" si="5"/>
        <v>40908</v>
      </c>
      <c r="DX39" s="200">
        <f t="shared" si="5"/>
        <v>40909</v>
      </c>
      <c r="DY39" s="200">
        <f t="shared" si="5"/>
        <v>40910</v>
      </c>
      <c r="DZ39" s="200">
        <f t="shared" si="5"/>
        <v>40911</v>
      </c>
      <c r="EA39" s="200">
        <f t="shared" ref="EA39:GL39" si="6">+DZ39+1</f>
        <v>40912</v>
      </c>
      <c r="EB39" s="200">
        <f t="shared" si="6"/>
        <v>40913</v>
      </c>
      <c r="EC39" s="200">
        <f t="shared" si="6"/>
        <v>40914</v>
      </c>
      <c r="ED39" s="200">
        <f t="shared" si="6"/>
        <v>40915</v>
      </c>
      <c r="EE39" s="200">
        <f t="shared" si="6"/>
        <v>40916</v>
      </c>
      <c r="EF39" s="200">
        <f t="shared" si="6"/>
        <v>40917</v>
      </c>
      <c r="EG39" s="200">
        <f t="shared" si="6"/>
        <v>40918</v>
      </c>
      <c r="EH39" s="200">
        <f t="shared" si="6"/>
        <v>40919</v>
      </c>
      <c r="EI39" s="200">
        <f t="shared" si="6"/>
        <v>40920</v>
      </c>
      <c r="EJ39" s="200">
        <f t="shared" si="6"/>
        <v>40921</v>
      </c>
      <c r="EK39" s="200">
        <f t="shared" si="6"/>
        <v>40922</v>
      </c>
      <c r="EL39" s="200">
        <f t="shared" si="6"/>
        <v>40923</v>
      </c>
      <c r="EM39" s="200">
        <f t="shared" si="6"/>
        <v>40924</v>
      </c>
      <c r="EN39" s="200">
        <f t="shared" si="6"/>
        <v>40925</v>
      </c>
      <c r="EO39" s="200">
        <f t="shared" si="6"/>
        <v>40926</v>
      </c>
      <c r="EP39" s="200">
        <f t="shared" si="6"/>
        <v>40927</v>
      </c>
      <c r="EQ39" s="200">
        <f t="shared" si="6"/>
        <v>40928</v>
      </c>
      <c r="ER39" s="200">
        <f t="shared" si="6"/>
        <v>40929</v>
      </c>
      <c r="ES39" s="200">
        <f t="shared" si="6"/>
        <v>40930</v>
      </c>
      <c r="ET39" s="200">
        <f t="shared" si="6"/>
        <v>40931</v>
      </c>
      <c r="EU39" s="200">
        <f t="shared" si="6"/>
        <v>40932</v>
      </c>
      <c r="EV39" s="200">
        <f t="shared" si="6"/>
        <v>40933</v>
      </c>
      <c r="EW39" s="200">
        <f t="shared" si="6"/>
        <v>40934</v>
      </c>
      <c r="EX39" s="200">
        <f t="shared" si="6"/>
        <v>40935</v>
      </c>
      <c r="EY39" s="200">
        <f t="shared" si="6"/>
        <v>40936</v>
      </c>
      <c r="EZ39" s="200">
        <f t="shared" si="6"/>
        <v>40937</v>
      </c>
      <c r="FA39" s="200">
        <f t="shared" si="6"/>
        <v>40938</v>
      </c>
      <c r="FB39" s="200">
        <f t="shared" si="6"/>
        <v>40939</v>
      </c>
      <c r="FC39" s="200">
        <f t="shared" si="6"/>
        <v>40940</v>
      </c>
      <c r="FD39" s="200">
        <f t="shared" si="6"/>
        <v>40941</v>
      </c>
      <c r="FE39" s="200">
        <f t="shared" si="6"/>
        <v>40942</v>
      </c>
      <c r="FF39" s="200">
        <f t="shared" si="6"/>
        <v>40943</v>
      </c>
      <c r="FG39" s="200">
        <f t="shared" si="6"/>
        <v>40944</v>
      </c>
      <c r="FH39" s="200">
        <f t="shared" si="6"/>
        <v>40945</v>
      </c>
      <c r="FI39" s="200">
        <f t="shared" si="6"/>
        <v>40946</v>
      </c>
      <c r="FJ39" s="200">
        <f t="shared" si="6"/>
        <v>40947</v>
      </c>
      <c r="FK39" s="200">
        <f t="shared" si="6"/>
        <v>40948</v>
      </c>
      <c r="FL39" s="200">
        <f t="shared" si="6"/>
        <v>40949</v>
      </c>
      <c r="FM39" s="200">
        <f t="shared" si="6"/>
        <v>40950</v>
      </c>
      <c r="FN39" s="200">
        <f t="shared" si="6"/>
        <v>40951</v>
      </c>
      <c r="FO39" s="200">
        <f t="shared" si="6"/>
        <v>40952</v>
      </c>
      <c r="FP39" s="200">
        <f t="shared" si="6"/>
        <v>40953</v>
      </c>
      <c r="FQ39" s="200">
        <f t="shared" si="6"/>
        <v>40954</v>
      </c>
      <c r="FR39" s="200">
        <f t="shared" si="6"/>
        <v>40955</v>
      </c>
      <c r="FS39" s="200">
        <f t="shared" si="6"/>
        <v>40956</v>
      </c>
      <c r="FT39" s="200">
        <f t="shared" si="6"/>
        <v>40957</v>
      </c>
      <c r="FU39" s="200">
        <f t="shared" si="6"/>
        <v>40958</v>
      </c>
      <c r="FV39" s="200">
        <f t="shared" si="6"/>
        <v>40959</v>
      </c>
      <c r="FW39" s="200">
        <f t="shared" si="6"/>
        <v>40960</v>
      </c>
      <c r="FX39" s="200">
        <f t="shared" si="6"/>
        <v>40961</v>
      </c>
      <c r="FY39" s="200">
        <f t="shared" si="6"/>
        <v>40962</v>
      </c>
      <c r="FZ39" s="200">
        <f t="shared" si="6"/>
        <v>40963</v>
      </c>
      <c r="GA39" s="200">
        <f t="shared" si="6"/>
        <v>40964</v>
      </c>
      <c r="GB39" s="200">
        <f t="shared" si="6"/>
        <v>40965</v>
      </c>
      <c r="GC39" s="200">
        <f t="shared" si="6"/>
        <v>40966</v>
      </c>
      <c r="GD39" s="200">
        <f t="shared" si="6"/>
        <v>40967</v>
      </c>
      <c r="GE39" s="200">
        <f t="shared" si="6"/>
        <v>40968</v>
      </c>
      <c r="GF39" s="200">
        <f t="shared" si="6"/>
        <v>40969</v>
      </c>
      <c r="GG39" s="200">
        <f t="shared" si="6"/>
        <v>40970</v>
      </c>
      <c r="GH39" s="200">
        <f t="shared" si="6"/>
        <v>40971</v>
      </c>
      <c r="GI39" s="200">
        <f t="shared" si="6"/>
        <v>40972</v>
      </c>
      <c r="GJ39" s="200">
        <f t="shared" si="6"/>
        <v>40973</v>
      </c>
      <c r="GK39" s="200">
        <f t="shared" si="6"/>
        <v>40974</v>
      </c>
      <c r="GL39" s="200">
        <f t="shared" si="6"/>
        <v>40975</v>
      </c>
      <c r="GM39" s="200">
        <f t="shared" ref="GM39:IV39" si="7">+GL39+1</f>
        <v>40976</v>
      </c>
      <c r="GN39" s="200">
        <f t="shared" si="7"/>
        <v>40977</v>
      </c>
      <c r="GO39" s="200">
        <f t="shared" si="7"/>
        <v>40978</v>
      </c>
      <c r="GP39" s="200">
        <f t="shared" si="7"/>
        <v>40979</v>
      </c>
      <c r="GQ39" s="200">
        <f t="shared" si="7"/>
        <v>40980</v>
      </c>
      <c r="GR39" s="200">
        <f t="shared" si="7"/>
        <v>40981</v>
      </c>
      <c r="GS39" s="200">
        <f t="shared" si="7"/>
        <v>40982</v>
      </c>
      <c r="GT39" s="200">
        <f t="shared" si="7"/>
        <v>40983</v>
      </c>
      <c r="GU39" s="200">
        <f t="shared" si="7"/>
        <v>40984</v>
      </c>
      <c r="GV39" s="200">
        <f t="shared" si="7"/>
        <v>40985</v>
      </c>
      <c r="GW39" s="200">
        <f t="shared" si="7"/>
        <v>40986</v>
      </c>
      <c r="GX39" s="200">
        <f t="shared" si="7"/>
        <v>40987</v>
      </c>
      <c r="GY39" s="200">
        <f t="shared" si="7"/>
        <v>40988</v>
      </c>
      <c r="GZ39" s="200">
        <f t="shared" si="7"/>
        <v>40989</v>
      </c>
      <c r="HA39" s="200">
        <f t="shared" si="7"/>
        <v>40990</v>
      </c>
      <c r="HB39" s="200">
        <f t="shared" si="7"/>
        <v>40991</v>
      </c>
      <c r="HC39" s="200">
        <f t="shared" si="7"/>
        <v>40992</v>
      </c>
      <c r="HD39" s="200">
        <f t="shared" si="7"/>
        <v>40993</v>
      </c>
      <c r="HE39" s="200">
        <f t="shared" si="7"/>
        <v>40994</v>
      </c>
      <c r="HF39" s="200">
        <f t="shared" si="7"/>
        <v>40995</v>
      </c>
      <c r="HG39" s="200">
        <f t="shared" si="7"/>
        <v>40996</v>
      </c>
      <c r="HH39" s="200">
        <f t="shared" si="7"/>
        <v>40997</v>
      </c>
      <c r="HI39" s="200">
        <f t="shared" si="7"/>
        <v>40998</v>
      </c>
      <c r="HJ39" s="200">
        <f t="shared" si="7"/>
        <v>40999</v>
      </c>
      <c r="HK39" s="200">
        <f t="shared" si="7"/>
        <v>41000</v>
      </c>
      <c r="HL39" s="200">
        <f t="shared" si="7"/>
        <v>41001</v>
      </c>
      <c r="HM39" s="200">
        <f t="shared" si="7"/>
        <v>41002</v>
      </c>
      <c r="HN39" s="200">
        <f t="shared" si="7"/>
        <v>41003</v>
      </c>
      <c r="HO39" s="200">
        <f t="shared" si="7"/>
        <v>41004</v>
      </c>
      <c r="HP39" s="200">
        <f t="shared" si="7"/>
        <v>41005</v>
      </c>
      <c r="HQ39" s="200">
        <f t="shared" si="7"/>
        <v>41006</v>
      </c>
      <c r="HR39" s="200">
        <f t="shared" si="7"/>
        <v>41007</v>
      </c>
      <c r="HS39" s="200">
        <f t="shared" si="7"/>
        <v>41008</v>
      </c>
      <c r="HT39" s="200">
        <f t="shared" si="7"/>
        <v>41009</v>
      </c>
      <c r="HU39" s="200">
        <f t="shared" si="7"/>
        <v>41010</v>
      </c>
      <c r="HV39" s="200">
        <f t="shared" si="7"/>
        <v>41011</v>
      </c>
      <c r="HW39" s="200">
        <f t="shared" si="7"/>
        <v>41012</v>
      </c>
      <c r="HX39" s="200">
        <f t="shared" si="7"/>
        <v>41013</v>
      </c>
      <c r="HY39" s="200">
        <f t="shared" si="7"/>
        <v>41014</v>
      </c>
      <c r="HZ39" s="200">
        <f t="shared" si="7"/>
        <v>41015</v>
      </c>
      <c r="IA39" s="200">
        <f t="shared" si="7"/>
        <v>41016</v>
      </c>
      <c r="IB39" s="200">
        <f t="shared" si="7"/>
        <v>41017</v>
      </c>
      <c r="IC39" s="200">
        <f t="shared" si="7"/>
        <v>41018</v>
      </c>
      <c r="ID39" s="200">
        <f t="shared" si="7"/>
        <v>41019</v>
      </c>
      <c r="IE39" s="200">
        <f t="shared" si="7"/>
        <v>41020</v>
      </c>
      <c r="IF39" s="200">
        <f t="shared" si="7"/>
        <v>41021</v>
      </c>
      <c r="IG39" s="200">
        <f t="shared" si="7"/>
        <v>41022</v>
      </c>
      <c r="IH39" s="200">
        <f t="shared" si="7"/>
        <v>41023</v>
      </c>
      <c r="II39" s="200">
        <f t="shared" si="7"/>
        <v>41024</v>
      </c>
      <c r="IJ39" s="200">
        <f t="shared" si="7"/>
        <v>41025</v>
      </c>
      <c r="IK39" s="200">
        <f t="shared" si="7"/>
        <v>41026</v>
      </c>
      <c r="IL39" s="200">
        <f t="shared" si="7"/>
        <v>41027</v>
      </c>
      <c r="IM39" s="200">
        <f t="shared" si="7"/>
        <v>41028</v>
      </c>
      <c r="IN39" s="200">
        <f t="shared" si="7"/>
        <v>41029</v>
      </c>
      <c r="IO39" s="200">
        <f t="shared" si="7"/>
        <v>41030</v>
      </c>
      <c r="IP39" s="200">
        <f t="shared" si="7"/>
        <v>41031</v>
      </c>
      <c r="IQ39" s="200">
        <f t="shared" si="7"/>
        <v>41032</v>
      </c>
      <c r="IR39" s="200">
        <f t="shared" si="7"/>
        <v>41033</v>
      </c>
      <c r="IS39" s="200">
        <f t="shared" si="7"/>
        <v>41034</v>
      </c>
      <c r="IT39" s="200">
        <f t="shared" si="7"/>
        <v>41035</v>
      </c>
      <c r="IU39" s="200">
        <f t="shared" si="7"/>
        <v>41036</v>
      </c>
      <c r="IV39" s="200">
        <f t="shared" si="7"/>
        <v>41037</v>
      </c>
    </row>
    <row r="40" spans="1:256" s="205" customFormat="1" x14ac:dyDescent="0.2">
      <c r="A40" s="208" t="s">
        <v>605</v>
      </c>
      <c r="B40" s="207">
        <f>+B6</f>
        <v>73</v>
      </c>
      <c r="C40" s="206">
        <f t="shared" ref="C40:BN40" si="8">+B40-$B7</f>
        <v>72.353982300884951</v>
      </c>
      <c r="D40" s="206">
        <f t="shared" si="8"/>
        <v>71.707964601769902</v>
      </c>
      <c r="E40" s="206">
        <f t="shared" si="8"/>
        <v>71.061946902654853</v>
      </c>
      <c r="F40" s="206">
        <f t="shared" si="8"/>
        <v>70.415929203539804</v>
      </c>
      <c r="G40" s="206">
        <f t="shared" si="8"/>
        <v>69.769911504424755</v>
      </c>
      <c r="H40" s="206">
        <f t="shared" si="8"/>
        <v>69.123893805309706</v>
      </c>
      <c r="I40" s="206">
        <f t="shared" si="8"/>
        <v>68.477876106194657</v>
      </c>
      <c r="J40" s="206">
        <f t="shared" si="8"/>
        <v>67.831858407079608</v>
      </c>
      <c r="K40" s="206">
        <f t="shared" si="8"/>
        <v>67.185840707964559</v>
      </c>
      <c r="L40" s="206">
        <f t="shared" si="8"/>
        <v>66.53982300884951</v>
      </c>
      <c r="M40" s="206">
        <f t="shared" si="8"/>
        <v>65.893805309734461</v>
      </c>
      <c r="N40" s="206">
        <f t="shared" si="8"/>
        <v>65.247787610619412</v>
      </c>
      <c r="O40" s="206">
        <f t="shared" si="8"/>
        <v>64.601769911504363</v>
      </c>
      <c r="P40" s="206">
        <f t="shared" si="8"/>
        <v>63.955752212389321</v>
      </c>
      <c r="Q40" s="206">
        <f t="shared" si="8"/>
        <v>63.309734513274279</v>
      </c>
      <c r="R40" s="206">
        <f t="shared" si="8"/>
        <v>62.663716814159237</v>
      </c>
      <c r="S40" s="206">
        <f t="shared" si="8"/>
        <v>62.017699115044195</v>
      </c>
      <c r="T40" s="206">
        <f t="shared" si="8"/>
        <v>61.371681415929153</v>
      </c>
      <c r="U40" s="206">
        <f t="shared" si="8"/>
        <v>60.725663716814111</v>
      </c>
      <c r="V40" s="206">
        <f t="shared" si="8"/>
        <v>60.079646017699069</v>
      </c>
      <c r="W40" s="206">
        <f t="shared" si="8"/>
        <v>59.433628318584027</v>
      </c>
      <c r="X40" s="206">
        <f t="shared" si="8"/>
        <v>58.787610619468985</v>
      </c>
      <c r="Y40" s="206">
        <f t="shared" si="8"/>
        <v>58.141592920353943</v>
      </c>
      <c r="Z40" s="206">
        <f t="shared" si="8"/>
        <v>57.495575221238902</v>
      </c>
      <c r="AA40" s="206">
        <f t="shared" si="8"/>
        <v>56.84955752212386</v>
      </c>
      <c r="AB40" s="206">
        <f t="shared" si="8"/>
        <v>56.203539823008818</v>
      </c>
      <c r="AC40" s="206">
        <f t="shared" si="8"/>
        <v>55.557522123893776</v>
      </c>
      <c r="AD40" s="206">
        <f t="shared" si="8"/>
        <v>54.911504424778734</v>
      </c>
      <c r="AE40" s="206">
        <f t="shared" si="8"/>
        <v>54.265486725663692</v>
      </c>
      <c r="AF40" s="206">
        <f t="shared" si="8"/>
        <v>53.61946902654865</v>
      </c>
      <c r="AG40" s="206">
        <f t="shared" si="8"/>
        <v>52.973451327433608</v>
      </c>
      <c r="AH40" s="206">
        <f t="shared" si="8"/>
        <v>52.327433628318566</v>
      </c>
      <c r="AI40" s="206">
        <f t="shared" si="8"/>
        <v>51.681415929203524</v>
      </c>
      <c r="AJ40" s="206">
        <f t="shared" si="8"/>
        <v>51.035398230088482</v>
      </c>
      <c r="AK40" s="206">
        <f t="shared" si="8"/>
        <v>50.38938053097344</v>
      </c>
      <c r="AL40" s="206">
        <f t="shared" si="8"/>
        <v>49.743362831858398</v>
      </c>
      <c r="AM40" s="206">
        <f t="shared" si="8"/>
        <v>49.097345132743357</v>
      </c>
      <c r="AN40" s="206">
        <f t="shared" si="8"/>
        <v>48.451327433628315</v>
      </c>
      <c r="AO40" s="206">
        <f t="shared" si="8"/>
        <v>47.805309734513273</v>
      </c>
      <c r="AP40" s="206">
        <f t="shared" si="8"/>
        <v>47.159292035398231</v>
      </c>
      <c r="AQ40" s="206">
        <f t="shared" si="8"/>
        <v>46.513274336283189</v>
      </c>
      <c r="AR40" s="206">
        <f t="shared" si="8"/>
        <v>45.867256637168147</v>
      </c>
      <c r="AS40" s="206">
        <f t="shared" si="8"/>
        <v>45.221238938053105</v>
      </c>
      <c r="AT40" s="206">
        <f t="shared" si="8"/>
        <v>44.575221238938063</v>
      </c>
      <c r="AU40" s="206">
        <f t="shared" si="8"/>
        <v>43.929203539823021</v>
      </c>
      <c r="AV40" s="206">
        <f t="shared" si="8"/>
        <v>43.283185840707979</v>
      </c>
      <c r="AW40" s="206">
        <f t="shared" si="8"/>
        <v>42.637168141592937</v>
      </c>
      <c r="AX40" s="206">
        <f t="shared" si="8"/>
        <v>41.991150442477895</v>
      </c>
      <c r="AY40" s="206">
        <f t="shared" si="8"/>
        <v>41.345132743362853</v>
      </c>
      <c r="AZ40" s="206">
        <f t="shared" si="8"/>
        <v>40.699115044247812</v>
      </c>
      <c r="BA40" s="206">
        <f t="shared" si="8"/>
        <v>40.05309734513277</v>
      </c>
      <c r="BB40" s="206">
        <f t="shared" si="8"/>
        <v>39.407079646017728</v>
      </c>
      <c r="BC40" s="206">
        <f t="shared" si="8"/>
        <v>38.761061946902686</v>
      </c>
      <c r="BD40" s="206">
        <f t="shared" si="8"/>
        <v>38.115044247787644</v>
      </c>
      <c r="BE40" s="206">
        <f t="shared" si="8"/>
        <v>37.469026548672602</v>
      </c>
      <c r="BF40" s="206">
        <f t="shared" si="8"/>
        <v>36.82300884955756</v>
      </c>
      <c r="BG40" s="206">
        <f t="shared" si="8"/>
        <v>36.176991150442518</v>
      </c>
      <c r="BH40" s="206">
        <f t="shared" si="8"/>
        <v>35.530973451327476</v>
      </c>
      <c r="BI40" s="206">
        <f t="shared" si="8"/>
        <v>34.884955752212434</v>
      </c>
      <c r="BJ40" s="206">
        <f t="shared" si="8"/>
        <v>34.238938053097392</v>
      </c>
      <c r="BK40" s="206">
        <f t="shared" si="8"/>
        <v>33.59292035398235</v>
      </c>
      <c r="BL40" s="206">
        <f t="shared" si="8"/>
        <v>32.946902654867309</v>
      </c>
      <c r="BM40" s="206">
        <f t="shared" si="8"/>
        <v>32.300884955752267</v>
      </c>
      <c r="BN40" s="206">
        <f t="shared" si="8"/>
        <v>31.654867256637221</v>
      </c>
      <c r="BO40" s="206">
        <f t="shared" ref="BO40:DZ40" si="9">+BN40-$B7</f>
        <v>31.008849557522176</v>
      </c>
      <c r="BP40" s="206">
        <f t="shared" si="9"/>
        <v>30.36283185840713</v>
      </c>
      <c r="BQ40" s="206">
        <f t="shared" si="9"/>
        <v>29.716814159292085</v>
      </c>
      <c r="BR40" s="206">
        <f t="shared" si="9"/>
        <v>29.070796460177039</v>
      </c>
      <c r="BS40" s="206">
        <f t="shared" si="9"/>
        <v>28.424778761061994</v>
      </c>
      <c r="BT40" s="206">
        <f t="shared" si="9"/>
        <v>27.778761061946948</v>
      </c>
      <c r="BU40" s="206">
        <f t="shared" si="9"/>
        <v>27.132743362831903</v>
      </c>
      <c r="BV40" s="206">
        <f t="shared" si="9"/>
        <v>26.486725663716857</v>
      </c>
      <c r="BW40" s="206">
        <f t="shared" si="9"/>
        <v>25.840707964601812</v>
      </c>
      <c r="BX40" s="206">
        <f t="shared" si="9"/>
        <v>25.194690265486766</v>
      </c>
      <c r="BY40" s="206">
        <f t="shared" si="9"/>
        <v>24.548672566371721</v>
      </c>
      <c r="BZ40" s="206">
        <f t="shared" si="9"/>
        <v>23.902654867256675</v>
      </c>
      <c r="CA40" s="206">
        <f t="shared" si="9"/>
        <v>23.25663716814163</v>
      </c>
      <c r="CB40" s="206">
        <f t="shared" si="9"/>
        <v>22.610619469026584</v>
      </c>
      <c r="CC40" s="206">
        <f t="shared" si="9"/>
        <v>21.964601769911539</v>
      </c>
      <c r="CD40" s="206">
        <f t="shared" si="9"/>
        <v>21.318584070796494</v>
      </c>
      <c r="CE40" s="206">
        <f t="shared" si="9"/>
        <v>20.672566371681448</v>
      </c>
      <c r="CF40" s="206">
        <f t="shared" si="9"/>
        <v>20.026548672566403</v>
      </c>
      <c r="CG40" s="206">
        <f t="shared" si="9"/>
        <v>19.380530973451357</v>
      </c>
      <c r="CH40" s="206">
        <f t="shared" si="9"/>
        <v>18.734513274336312</v>
      </c>
      <c r="CI40" s="206">
        <f t="shared" si="9"/>
        <v>18.088495575221266</v>
      </c>
      <c r="CJ40" s="206">
        <f t="shared" si="9"/>
        <v>17.442477876106221</v>
      </c>
      <c r="CK40" s="206">
        <f t="shared" si="9"/>
        <v>16.796460176991175</v>
      </c>
      <c r="CL40" s="206">
        <f t="shared" si="9"/>
        <v>16.15044247787613</v>
      </c>
      <c r="CM40" s="206">
        <f t="shared" si="9"/>
        <v>15.504424778761086</v>
      </c>
      <c r="CN40" s="206">
        <f t="shared" si="9"/>
        <v>14.858407079646042</v>
      </c>
      <c r="CO40" s="206">
        <f t="shared" si="9"/>
        <v>14.212389380530999</v>
      </c>
      <c r="CP40" s="206">
        <f t="shared" si="9"/>
        <v>13.566371681415955</v>
      </c>
      <c r="CQ40" s="206">
        <f t="shared" si="9"/>
        <v>12.920353982300911</v>
      </c>
      <c r="CR40" s="206">
        <f t="shared" si="9"/>
        <v>12.274336283185868</v>
      </c>
      <c r="CS40" s="206">
        <f t="shared" si="9"/>
        <v>11.628318584070824</v>
      </c>
      <c r="CT40" s="206">
        <f t="shared" si="9"/>
        <v>10.98230088495578</v>
      </c>
      <c r="CU40" s="206">
        <f t="shared" si="9"/>
        <v>10.336283185840736</v>
      </c>
      <c r="CV40" s="206">
        <f t="shared" si="9"/>
        <v>9.6902654867256928</v>
      </c>
      <c r="CW40" s="206">
        <f t="shared" si="9"/>
        <v>9.0442477876106491</v>
      </c>
      <c r="CX40" s="206">
        <f t="shared" si="9"/>
        <v>8.3982300884956054</v>
      </c>
      <c r="CY40" s="206">
        <f t="shared" si="9"/>
        <v>7.7522123893805608</v>
      </c>
      <c r="CZ40" s="206">
        <f t="shared" si="9"/>
        <v>7.1061946902655162</v>
      </c>
      <c r="DA40" s="206">
        <f t="shared" si="9"/>
        <v>6.4601769911504716</v>
      </c>
      <c r="DB40" s="206">
        <f t="shared" si="9"/>
        <v>5.814159292035427</v>
      </c>
      <c r="DC40" s="206">
        <f t="shared" si="9"/>
        <v>5.1681415929203824</v>
      </c>
      <c r="DD40" s="206">
        <f t="shared" si="9"/>
        <v>4.5221238938053379</v>
      </c>
      <c r="DE40" s="206">
        <f t="shared" si="9"/>
        <v>3.8761061946902937</v>
      </c>
      <c r="DF40" s="206">
        <f t="shared" si="9"/>
        <v>3.2300884955752496</v>
      </c>
      <c r="DG40" s="206">
        <f t="shared" si="9"/>
        <v>2.5840707964602054</v>
      </c>
      <c r="DH40" s="206">
        <f t="shared" si="9"/>
        <v>1.9380530973451613</v>
      </c>
      <c r="DI40" s="206">
        <f t="shared" si="9"/>
        <v>1.2920353982301171</v>
      </c>
      <c r="DJ40" s="206">
        <f t="shared" si="9"/>
        <v>0.6460176991150729</v>
      </c>
      <c r="DK40" s="206">
        <f t="shared" si="9"/>
        <v>2.8643754035329039E-14</v>
      </c>
      <c r="DL40" s="206">
        <f t="shared" si="9"/>
        <v>-0.64601769911501561</v>
      </c>
      <c r="DM40" s="206">
        <f t="shared" si="9"/>
        <v>-1.2920353982300599</v>
      </c>
      <c r="DN40" s="206">
        <f t="shared" si="9"/>
        <v>-1.938053097345104</v>
      </c>
      <c r="DO40" s="206">
        <f t="shared" si="9"/>
        <v>-2.5840707964601481</v>
      </c>
      <c r="DP40" s="206">
        <f t="shared" si="9"/>
        <v>-3.2300884955751923</v>
      </c>
      <c r="DQ40" s="206">
        <f t="shared" si="9"/>
        <v>-3.8761061946902364</v>
      </c>
      <c r="DR40" s="206">
        <f t="shared" si="9"/>
        <v>-4.522123893805281</v>
      </c>
      <c r="DS40" s="206">
        <f t="shared" si="9"/>
        <v>-5.1681415929203256</v>
      </c>
      <c r="DT40" s="206">
        <f t="shared" si="9"/>
        <v>-5.8141592920353702</v>
      </c>
      <c r="DU40" s="206">
        <f t="shared" si="9"/>
        <v>-6.4601769911504148</v>
      </c>
      <c r="DV40" s="206">
        <f t="shared" si="9"/>
        <v>-7.1061946902654594</v>
      </c>
      <c r="DW40" s="206">
        <f t="shared" si="9"/>
        <v>-7.7522123893805039</v>
      </c>
      <c r="DX40" s="206">
        <f t="shared" si="9"/>
        <v>-8.3982300884955485</v>
      </c>
      <c r="DY40" s="206">
        <f t="shared" si="9"/>
        <v>-9.0442477876105922</v>
      </c>
      <c r="DZ40" s="206">
        <f t="shared" si="9"/>
        <v>-9.6902654867256359</v>
      </c>
      <c r="EA40" s="206">
        <f t="shared" ref="EA40:GL40" si="10">+DZ40-$B7</f>
        <v>-10.33628318584068</v>
      </c>
      <c r="EB40" s="206">
        <f t="shared" si="10"/>
        <v>-10.982300884955723</v>
      </c>
      <c r="EC40" s="206">
        <f t="shared" si="10"/>
        <v>-11.628318584070767</v>
      </c>
      <c r="ED40" s="206">
        <f t="shared" si="10"/>
        <v>-12.274336283185811</v>
      </c>
      <c r="EE40" s="206">
        <f t="shared" si="10"/>
        <v>-12.920353982300854</v>
      </c>
      <c r="EF40" s="206">
        <f t="shared" si="10"/>
        <v>-13.566371681415898</v>
      </c>
      <c r="EG40" s="206">
        <f t="shared" si="10"/>
        <v>-14.212389380530942</v>
      </c>
      <c r="EH40" s="206">
        <f t="shared" si="10"/>
        <v>-14.858407079645986</v>
      </c>
      <c r="EI40" s="206">
        <f t="shared" si="10"/>
        <v>-15.504424778761029</v>
      </c>
      <c r="EJ40" s="206">
        <f t="shared" si="10"/>
        <v>-16.150442477876073</v>
      </c>
      <c r="EK40" s="206">
        <f t="shared" si="10"/>
        <v>-16.796460176991118</v>
      </c>
      <c r="EL40" s="206">
        <f t="shared" si="10"/>
        <v>-17.442477876106164</v>
      </c>
      <c r="EM40" s="206">
        <f t="shared" si="10"/>
        <v>-18.088495575221209</v>
      </c>
      <c r="EN40" s="206">
        <f t="shared" si="10"/>
        <v>-18.734513274336255</v>
      </c>
      <c r="EO40" s="206">
        <f t="shared" si="10"/>
        <v>-19.3805309734513</v>
      </c>
      <c r="EP40" s="206">
        <f t="shared" si="10"/>
        <v>-20.026548672566346</v>
      </c>
      <c r="EQ40" s="206">
        <f t="shared" si="10"/>
        <v>-20.672566371681391</v>
      </c>
      <c r="ER40" s="206">
        <f t="shared" si="10"/>
        <v>-21.318584070796437</v>
      </c>
      <c r="ES40" s="206">
        <f t="shared" si="10"/>
        <v>-21.964601769911482</v>
      </c>
      <c r="ET40" s="206">
        <f t="shared" si="10"/>
        <v>-22.610619469026528</v>
      </c>
      <c r="EU40" s="206">
        <f t="shared" si="10"/>
        <v>-23.256637168141573</v>
      </c>
      <c r="EV40" s="206">
        <f t="shared" si="10"/>
        <v>-23.902654867256619</v>
      </c>
      <c r="EW40" s="206">
        <f t="shared" si="10"/>
        <v>-24.548672566371664</v>
      </c>
      <c r="EX40" s="206">
        <f t="shared" si="10"/>
        <v>-25.19469026548671</v>
      </c>
      <c r="EY40" s="206">
        <f t="shared" si="10"/>
        <v>-25.840707964601755</v>
      </c>
      <c r="EZ40" s="206">
        <f t="shared" si="10"/>
        <v>-26.4867256637168</v>
      </c>
      <c r="FA40" s="206">
        <f t="shared" si="10"/>
        <v>-27.132743362831846</v>
      </c>
      <c r="FB40" s="206">
        <f t="shared" si="10"/>
        <v>-27.778761061946891</v>
      </c>
      <c r="FC40" s="206">
        <f t="shared" si="10"/>
        <v>-28.424778761061937</v>
      </c>
      <c r="FD40" s="206">
        <f t="shared" si="10"/>
        <v>-29.070796460176982</v>
      </c>
      <c r="FE40" s="206">
        <f t="shared" si="10"/>
        <v>-29.716814159292028</v>
      </c>
      <c r="FF40" s="206">
        <f t="shared" si="10"/>
        <v>-30.362831858407073</v>
      </c>
      <c r="FG40" s="206">
        <f t="shared" si="10"/>
        <v>-31.008849557522119</v>
      </c>
      <c r="FH40" s="206">
        <f t="shared" si="10"/>
        <v>-31.654867256637164</v>
      </c>
      <c r="FI40" s="206">
        <f t="shared" si="10"/>
        <v>-32.30088495575221</v>
      </c>
      <c r="FJ40" s="206">
        <f t="shared" si="10"/>
        <v>-32.946902654867252</v>
      </c>
      <c r="FK40" s="206">
        <f t="shared" si="10"/>
        <v>-33.592920353982294</v>
      </c>
      <c r="FL40" s="206">
        <f t="shared" si="10"/>
        <v>-34.238938053097336</v>
      </c>
      <c r="FM40" s="206">
        <f t="shared" si="10"/>
        <v>-34.884955752212377</v>
      </c>
      <c r="FN40" s="206">
        <f t="shared" si="10"/>
        <v>-35.530973451327419</v>
      </c>
      <c r="FO40" s="206">
        <f t="shared" si="10"/>
        <v>-36.176991150442461</v>
      </c>
      <c r="FP40" s="206">
        <f t="shared" si="10"/>
        <v>-36.823008849557503</v>
      </c>
      <c r="FQ40" s="206">
        <f t="shared" si="10"/>
        <v>-37.469026548672545</v>
      </c>
      <c r="FR40" s="206">
        <f t="shared" si="10"/>
        <v>-38.115044247787587</v>
      </c>
      <c r="FS40" s="206">
        <f t="shared" si="10"/>
        <v>-38.761061946902629</v>
      </c>
      <c r="FT40" s="206">
        <f t="shared" si="10"/>
        <v>-39.407079646017671</v>
      </c>
      <c r="FU40" s="206">
        <f t="shared" si="10"/>
        <v>-40.053097345132713</v>
      </c>
      <c r="FV40" s="206">
        <f t="shared" si="10"/>
        <v>-40.699115044247755</v>
      </c>
      <c r="FW40" s="206">
        <f t="shared" si="10"/>
        <v>-41.345132743362797</v>
      </c>
      <c r="FX40" s="206">
        <f t="shared" si="10"/>
        <v>-41.991150442477839</v>
      </c>
      <c r="FY40" s="206">
        <f t="shared" si="10"/>
        <v>-42.63716814159288</v>
      </c>
      <c r="FZ40" s="206">
        <f t="shared" si="10"/>
        <v>-43.283185840707922</v>
      </c>
      <c r="GA40" s="206">
        <f t="shared" si="10"/>
        <v>-43.929203539822964</v>
      </c>
      <c r="GB40" s="206">
        <f t="shared" si="10"/>
        <v>-44.575221238938006</v>
      </c>
      <c r="GC40" s="206">
        <f t="shared" si="10"/>
        <v>-45.221238938053048</v>
      </c>
      <c r="GD40" s="206">
        <f t="shared" si="10"/>
        <v>-45.86725663716809</v>
      </c>
      <c r="GE40" s="206">
        <f t="shared" si="10"/>
        <v>-46.513274336283132</v>
      </c>
      <c r="GF40" s="206">
        <f t="shared" si="10"/>
        <v>-47.159292035398174</v>
      </c>
      <c r="GG40" s="206">
        <f t="shared" si="10"/>
        <v>-47.805309734513216</v>
      </c>
      <c r="GH40" s="206">
        <f t="shared" si="10"/>
        <v>-48.451327433628258</v>
      </c>
      <c r="GI40" s="206">
        <f t="shared" si="10"/>
        <v>-49.0973451327433</v>
      </c>
      <c r="GJ40" s="206">
        <f t="shared" si="10"/>
        <v>-49.743362831858342</v>
      </c>
      <c r="GK40" s="206">
        <f t="shared" si="10"/>
        <v>-50.389380530973384</v>
      </c>
      <c r="GL40" s="206">
        <f t="shared" si="10"/>
        <v>-51.035398230088425</v>
      </c>
      <c r="GM40" s="206">
        <f t="shared" ref="GM40:IV40" si="11">+GL40-$B7</f>
        <v>-51.681415929203467</v>
      </c>
      <c r="GN40" s="206">
        <f t="shared" si="11"/>
        <v>-52.327433628318509</v>
      </c>
      <c r="GO40" s="206">
        <f t="shared" si="11"/>
        <v>-52.973451327433551</v>
      </c>
      <c r="GP40" s="206">
        <f t="shared" si="11"/>
        <v>-53.619469026548593</v>
      </c>
      <c r="GQ40" s="206">
        <f t="shared" si="11"/>
        <v>-54.265486725663635</v>
      </c>
      <c r="GR40" s="206">
        <f t="shared" si="11"/>
        <v>-54.911504424778677</v>
      </c>
      <c r="GS40" s="206">
        <f t="shared" si="11"/>
        <v>-55.557522123893719</v>
      </c>
      <c r="GT40" s="206">
        <f t="shared" si="11"/>
        <v>-56.203539823008761</v>
      </c>
      <c r="GU40" s="206">
        <f t="shared" si="11"/>
        <v>-56.849557522123803</v>
      </c>
      <c r="GV40" s="206">
        <f t="shared" si="11"/>
        <v>-57.495575221238845</v>
      </c>
      <c r="GW40" s="206">
        <f t="shared" si="11"/>
        <v>-58.141592920353887</v>
      </c>
      <c r="GX40" s="206">
        <f t="shared" si="11"/>
        <v>-58.787610619468929</v>
      </c>
      <c r="GY40" s="206">
        <f t="shared" si="11"/>
        <v>-59.43362831858397</v>
      </c>
      <c r="GZ40" s="206">
        <f t="shared" si="11"/>
        <v>-60.079646017699012</v>
      </c>
      <c r="HA40" s="206">
        <f t="shared" si="11"/>
        <v>-60.725663716814054</v>
      </c>
      <c r="HB40" s="206">
        <f t="shared" si="11"/>
        <v>-61.371681415929096</v>
      </c>
      <c r="HC40" s="206">
        <f t="shared" si="11"/>
        <v>-62.017699115044138</v>
      </c>
      <c r="HD40" s="206">
        <f t="shared" si="11"/>
        <v>-62.66371681415918</v>
      </c>
      <c r="HE40" s="206">
        <f t="shared" si="11"/>
        <v>-63.309734513274222</v>
      </c>
      <c r="HF40" s="206">
        <f t="shared" si="11"/>
        <v>-63.955752212389264</v>
      </c>
      <c r="HG40" s="206">
        <f t="shared" si="11"/>
        <v>-64.601769911504306</v>
      </c>
      <c r="HH40" s="206">
        <f t="shared" si="11"/>
        <v>-65.247787610619355</v>
      </c>
      <c r="HI40" s="206">
        <f t="shared" si="11"/>
        <v>-65.893805309734404</v>
      </c>
      <c r="HJ40" s="206">
        <f t="shared" si="11"/>
        <v>-66.539823008849453</v>
      </c>
      <c r="HK40" s="206">
        <f t="shared" si="11"/>
        <v>-67.185840707964502</v>
      </c>
      <c r="HL40" s="206">
        <f t="shared" si="11"/>
        <v>-67.831858407079551</v>
      </c>
      <c r="HM40" s="206">
        <f t="shared" si="11"/>
        <v>-68.4778761061946</v>
      </c>
      <c r="HN40" s="206">
        <f t="shared" si="11"/>
        <v>-69.123893805309649</v>
      </c>
      <c r="HO40" s="206">
        <f t="shared" si="11"/>
        <v>-69.769911504424698</v>
      </c>
      <c r="HP40" s="206">
        <f t="shared" si="11"/>
        <v>-70.415929203539747</v>
      </c>
      <c r="HQ40" s="206">
        <f t="shared" si="11"/>
        <v>-71.061946902654796</v>
      </c>
      <c r="HR40" s="206">
        <f t="shared" si="11"/>
        <v>-71.707964601769845</v>
      </c>
      <c r="HS40" s="206">
        <f t="shared" si="11"/>
        <v>-72.353982300884894</v>
      </c>
      <c r="HT40" s="206">
        <f t="shared" si="11"/>
        <v>-72.999999999999943</v>
      </c>
      <c r="HU40" s="206">
        <f t="shared" si="11"/>
        <v>-73.646017699114992</v>
      </c>
      <c r="HV40" s="206">
        <f t="shared" si="11"/>
        <v>-74.292035398230041</v>
      </c>
      <c r="HW40" s="206">
        <f t="shared" si="11"/>
        <v>-74.93805309734509</v>
      </c>
      <c r="HX40" s="206">
        <f t="shared" si="11"/>
        <v>-75.584070796460139</v>
      </c>
      <c r="HY40" s="206">
        <f t="shared" si="11"/>
        <v>-76.230088495575188</v>
      </c>
      <c r="HZ40" s="206">
        <f t="shared" si="11"/>
        <v>-76.876106194690237</v>
      </c>
      <c r="IA40" s="206">
        <f t="shared" si="11"/>
        <v>-77.522123893805286</v>
      </c>
      <c r="IB40" s="206">
        <f t="shared" si="11"/>
        <v>-78.168141592920335</v>
      </c>
      <c r="IC40" s="206">
        <f t="shared" si="11"/>
        <v>-78.814159292035384</v>
      </c>
      <c r="ID40" s="206">
        <f t="shared" si="11"/>
        <v>-79.460176991150433</v>
      </c>
      <c r="IE40" s="206">
        <f t="shared" si="11"/>
        <v>-80.106194690265482</v>
      </c>
      <c r="IF40" s="206">
        <f t="shared" si="11"/>
        <v>-80.752212389380531</v>
      </c>
      <c r="IG40" s="206">
        <f t="shared" si="11"/>
        <v>-81.398230088495581</v>
      </c>
      <c r="IH40" s="206">
        <f t="shared" si="11"/>
        <v>-82.04424778761063</v>
      </c>
      <c r="II40" s="206">
        <f t="shared" si="11"/>
        <v>-82.690265486725679</v>
      </c>
      <c r="IJ40" s="206">
        <f t="shared" si="11"/>
        <v>-83.336283185840728</v>
      </c>
      <c r="IK40" s="206">
        <f t="shared" si="11"/>
        <v>-83.982300884955777</v>
      </c>
      <c r="IL40" s="206">
        <f t="shared" si="11"/>
        <v>-84.628318584070826</v>
      </c>
      <c r="IM40" s="206">
        <f t="shared" si="11"/>
        <v>-85.274336283185875</v>
      </c>
      <c r="IN40" s="206">
        <f t="shared" si="11"/>
        <v>-85.920353982300924</v>
      </c>
      <c r="IO40" s="206">
        <f t="shared" si="11"/>
        <v>-86.566371681415973</v>
      </c>
      <c r="IP40" s="206">
        <f t="shared" si="11"/>
        <v>-87.212389380531022</v>
      </c>
      <c r="IQ40" s="206">
        <f t="shared" si="11"/>
        <v>-87.858407079646071</v>
      </c>
      <c r="IR40" s="206">
        <f t="shared" si="11"/>
        <v>-88.50442477876112</v>
      </c>
      <c r="IS40" s="206">
        <f t="shared" si="11"/>
        <v>-89.150442477876169</v>
      </c>
      <c r="IT40" s="206">
        <f t="shared" si="11"/>
        <v>-89.796460176991218</v>
      </c>
      <c r="IU40" s="206">
        <f t="shared" si="11"/>
        <v>-90.442477876106267</v>
      </c>
      <c r="IV40" s="206">
        <f t="shared" si="11"/>
        <v>-91.088495575221316</v>
      </c>
    </row>
    <row r="41" spans="1:256" x14ac:dyDescent="0.2">
      <c r="A41" s="204" t="s">
        <v>604</v>
      </c>
      <c r="B41" s="203">
        <f>DSUM('Product Backlog'!$D$3:$F$503,1,B9:B10)</f>
        <v>0</v>
      </c>
      <c r="C41" s="203">
        <f>DSUM('Product Backlog'!$D$3:$F$503,1,C9:C10)</f>
        <v>0</v>
      </c>
      <c r="D41" s="203">
        <f>DSUM('Product Backlog'!$D$3:$F$503,1,D9:D10)</f>
        <v>0</v>
      </c>
      <c r="E41" s="203">
        <f>DSUM('Product Backlog'!$D$3:$F$503,1,E9:E10)</f>
        <v>0</v>
      </c>
      <c r="F41" s="203">
        <f>DSUM('Product Backlog'!$D$3:$F$503,1,F9:F10)</f>
        <v>0</v>
      </c>
      <c r="G41" s="203">
        <f>DSUM('Product Backlog'!$D$3:$F$503,1,G9:G10)</f>
        <v>0</v>
      </c>
      <c r="H41" s="203">
        <f>DSUM('Product Backlog'!$D$3:$F$503,1,H9:H10)</f>
        <v>0</v>
      </c>
      <c r="I41" s="203">
        <f>DSUM('Product Backlog'!$D$3:$F$503,1,I9:I10)</f>
        <v>0</v>
      </c>
      <c r="J41" s="203">
        <f>DSUM('Product Backlog'!$D$3:$F$503,1,J9:J10)</f>
        <v>0</v>
      </c>
      <c r="K41" s="203">
        <f>DSUM('Product Backlog'!$D$3:$F$503,1,K9:K10)</f>
        <v>0</v>
      </c>
      <c r="L41" s="203">
        <f>DSUM('Product Backlog'!$D$3:$F$503,1,L9:L10)</f>
        <v>0</v>
      </c>
      <c r="M41" s="203">
        <f>DSUM('Product Backlog'!$D$3:$F$503,1,M9:M10)</f>
        <v>0</v>
      </c>
      <c r="N41" s="203">
        <f>DSUM('Product Backlog'!$D$3:$F$503,1,N9:N10)</f>
        <v>0</v>
      </c>
      <c r="O41" s="203">
        <f>DSUM('Product Backlog'!$D$3:$F$503,1,O9:O10)</f>
        <v>0</v>
      </c>
      <c r="P41" s="203">
        <f>DSUM('Product Backlog'!$D$3:$F$503,1,P9:P10)</f>
        <v>0</v>
      </c>
      <c r="Q41" s="203">
        <f>DSUM('Product Backlog'!$D$3:$F$503,1,Q9:Q10)</f>
        <v>0</v>
      </c>
      <c r="R41" s="203">
        <f>DSUM('Product Backlog'!$D$3:$F$503,1,R9:R10)</f>
        <v>0</v>
      </c>
      <c r="S41" s="203">
        <f>DSUM('Product Backlog'!$D$3:$F$503,1,S9:S10)</f>
        <v>0</v>
      </c>
      <c r="T41" s="203">
        <f>DSUM('Product Backlog'!$D$3:$F$503,1,T9:T10)</f>
        <v>0</v>
      </c>
      <c r="U41" s="203">
        <f>DSUM('Product Backlog'!$D$3:$F$503,1,U9:U10)</f>
        <v>0</v>
      </c>
      <c r="V41" s="203">
        <f>DSUM('Product Backlog'!$D$3:$F$503,1,V9:V10)</f>
        <v>0</v>
      </c>
      <c r="W41" s="203">
        <f>DSUM('Product Backlog'!$D$3:$F$503,1,W9:W10)</f>
        <v>0</v>
      </c>
      <c r="X41" s="203">
        <f>DSUM('Product Backlog'!$D$3:$F$503,1,X9:X10)</f>
        <v>0</v>
      </c>
      <c r="Y41" s="203">
        <f>DSUM('Product Backlog'!$D$3:$F$503,1,Y9:Y10)</f>
        <v>0</v>
      </c>
      <c r="Z41" s="203">
        <f>DSUM('Product Backlog'!$D$3:$F$503,1,Z9:Z10)</f>
        <v>0</v>
      </c>
      <c r="AA41" s="203">
        <f>DSUM('Product Backlog'!$D$3:$F$503,1,AA9:AA10)</f>
        <v>0</v>
      </c>
      <c r="AB41" s="203">
        <f>DSUM('Product Backlog'!$D$3:$F$503,1,AB9:AB10)</f>
        <v>0</v>
      </c>
      <c r="AC41" s="203">
        <f>DSUM('Product Backlog'!$D$3:$F$503,1,AC9:AC10)</f>
        <v>0</v>
      </c>
      <c r="AD41" s="203">
        <f>DSUM('Product Backlog'!$D$3:$F$503,1,AD9:AD10)</f>
        <v>0</v>
      </c>
      <c r="AE41" s="203">
        <f>DSUM('Product Backlog'!$D$3:$F$503,1,AE9:AE10)</f>
        <v>0</v>
      </c>
      <c r="AF41" s="203">
        <f>DSUM('Product Backlog'!$D$3:$F$503,1,AF9:AF10)</f>
        <v>0</v>
      </c>
      <c r="AG41" s="203">
        <f>DSUM('Product Backlog'!$D$3:$F$503,1,AG9:AG10)</f>
        <v>0</v>
      </c>
      <c r="AH41" s="203">
        <f>DSUM('Product Backlog'!$D$3:$F$503,1,AH9:AH10)</f>
        <v>0</v>
      </c>
      <c r="AI41" s="203">
        <f>DSUM('Product Backlog'!$D$3:$F$503,1,AI9:AI10)</f>
        <v>0</v>
      </c>
      <c r="AJ41" s="203">
        <f>DSUM('Product Backlog'!$D$3:$F$503,1,AJ9:AJ10)</f>
        <v>0</v>
      </c>
      <c r="AK41" s="203">
        <f>DSUM('Product Backlog'!$D$3:$F$503,1,AK9:AK10)</f>
        <v>0</v>
      </c>
      <c r="AL41" s="203">
        <f>DSUM('Product Backlog'!$D$3:$F$503,1,AL9:AL10)</f>
        <v>0</v>
      </c>
      <c r="AM41" s="203">
        <f>DSUM('Product Backlog'!$D$3:$F$503,1,AM9:AM10)</f>
        <v>0</v>
      </c>
      <c r="AN41" s="203">
        <f>DSUM('Product Backlog'!$D$3:$F$503,1,AN9:AN10)</f>
        <v>0</v>
      </c>
      <c r="AO41" s="203">
        <f>DSUM('Product Backlog'!$D$3:$F$503,1,AO9:AO10)</f>
        <v>0</v>
      </c>
      <c r="AP41" s="203">
        <f>DSUM('Product Backlog'!$D$3:$F$503,1,AP9:AP10)</f>
        <v>0</v>
      </c>
      <c r="AQ41" s="203">
        <f>DSUM('Product Backlog'!$D$3:$F$503,1,AQ9:AQ10)</f>
        <v>0</v>
      </c>
      <c r="AR41" s="203">
        <f>DSUM('Product Backlog'!$D$3:$F$503,1,AR9:AR10)</f>
        <v>0</v>
      </c>
      <c r="AS41" s="203">
        <f>DSUM('Product Backlog'!$D$3:$F$503,1,AS9:AS10)</f>
        <v>0</v>
      </c>
      <c r="AT41" s="203">
        <f>DSUM('Product Backlog'!$D$3:$F$503,1,AT9:AT10)</f>
        <v>0</v>
      </c>
      <c r="AU41" s="203">
        <f>DSUM('Product Backlog'!$D$3:$F$503,1,AU9:AU10)</f>
        <v>0</v>
      </c>
      <c r="AV41" s="203">
        <f>DSUM('Product Backlog'!$D$3:$F$503,1,AV9:AV10)</f>
        <v>0</v>
      </c>
      <c r="AW41" s="203">
        <f>DSUM('Product Backlog'!$D$3:$F$503,1,AW9:AW10)</f>
        <v>0</v>
      </c>
      <c r="AX41" s="203">
        <f>DSUM('Product Backlog'!$D$3:$F$503,1,AX9:AX10)</f>
        <v>0</v>
      </c>
      <c r="AY41" s="203">
        <f>DSUM('Product Backlog'!$D$3:$F$503,1,AY9:AY10)</f>
        <v>0</v>
      </c>
      <c r="AZ41" s="203">
        <f>DSUM('Product Backlog'!$D$3:$F$503,1,AZ9:AZ10)</f>
        <v>0</v>
      </c>
      <c r="BA41" s="203">
        <f>DSUM('Product Backlog'!$D$3:$F$503,1,BA9:BA10)</f>
        <v>0</v>
      </c>
      <c r="BB41" s="203">
        <f>DSUM('Product Backlog'!$D$3:$F$503,1,BB9:BB10)</f>
        <v>0</v>
      </c>
      <c r="BC41" s="203">
        <f>DSUM('Product Backlog'!$D$3:$F$503,1,BC9:BC10)</f>
        <v>0</v>
      </c>
      <c r="BD41" s="203">
        <f>DSUM('Product Backlog'!$D$3:$F$503,1,BD9:BD10)</f>
        <v>0</v>
      </c>
      <c r="BE41" s="203">
        <f>DSUM('Product Backlog'!$D$3:$F$503,1,BE9:BE10)</f>
        <v>0</v>
      </c>
      <c r="BF41" s="203">
        <f>DSUM('Product Backlog'!$D$3:$F$503,1,BF9:BF10)</f>
        <v>0</v>
      </c>
      <c r="BG41" s="203">
        <f>DSUM('Product Backlog'!$D$3:$F$503,1,BG9:BG10)</f>
        <v>0</v>
      </c>
      <c r="BH41" s="203">
        <f>DSUM('Product Backlog'!$D$3:$F$503,1,BH9:BH10)</f>
        <v>0</v>
      </c>
      <c r="BI41" s="203">
        <f>DSUM('Product Backlog'!$D$3:$F$503,1,BI9:BI10)</f>
        <v>0</v>
      </c>
      <c r="BJ41" s="203">
        <f>DSUM('Product Backlog'!$D$3:$F$503,1,BJ9:BJ10)</f>
        <v>0</v>
      </c>
      <c r="BK41" s="203">
        <f>DSUM('Product Backlog'!$D$3:$F$503,1,BK9:BK10)</f>
        <v>0</v>
      </c>
      <c r="BL41" s="203">
        <f>DSUM('Product Backlog'!$D$3:$F$503,1,BL9:BL10)</f>
        <v>0</v>
      </c>
      <c r="BM41" s="203">
        <f>DSUM('Product Backlog'!$D$3:$F$503,1,BM9:BM10)</f>
        <v>0</v>
      </c>
      <c r="BN41" s="203">
        <f>DSUM('Product Backlog'!$D$3:$F$503,1,BN9:BN10)</f>
        <v>0</v>
      </c>
      <c r="BO41" s="203">
        <f>DSUM('Product Backlog'!$D$3:$F$503,1,BO9:BO10)</f>
        <v>0</v>
      </c>
      <c r="BP41" s="203">
        <f>DSUM('Product Backlog'!$D$3:$F$503,1,BP9:BP10)</f>
        <v>0</v>
      </c>
      <c r="BQ41" s="203">
        <f>DSUM('Product Backlog'!$D$3:$F$503,1,BQ9:BQ10)</f>
        <v>0</v>
      </c>
      <c r="BR41" s="203">
        <f>DSUM('Product Backlog'!$D$3:$F$503,1,BR9:BR10)</f>
        <v>0</v>
      </c>
      <c r="BS41" s="203">
        <f>DSUM('Product Backlog'!$D$3:$F$503,1,BS9:BS10)</f>
        <v>0</v>
      </c>
      <c r="BT41" s="203">
        <f>DSUM('Product Backlog'!$D$3:$F$503,1,BT9:BT10)</f>
        <v>0</v>
      </c>
      <c r="BU41" s="203">
        <f>DSUM('Product Backlog'!$D$3:$F$503,1,BU9:BU10)</f>
        <v>0</v>
      </c>
      <c r="BV41" s="203">
        <f>DSUM('Product Backlog'!$D$3:$F$503,1,BV9:BV10)</f>
        <v>0</v>
      </c>
      <c r="BW41" s="203">
        <f>DSUM('Product Backlog'!$D$3:$F$503,1,BW9:BW10)</f>
        <v>0</v>
      </c>
      <c r="BX41" s="203">
        <f>DSUM('Product Backlog'!$D$3:$F$503,1,BX9:BX10)</f>
        <v>0</v>
      </c>
      <c r="BY41" s="203">
        <f>DSUM('Product Backlog'!$D$3:$F$503,1,BY9:BY10)</f>
        <v>0</v>
      </c>
      <c r="BZ41" s="203">
        <f>DSUM('Product Backlog'!$D$3:$F$503,1,BZ9:BZ10)</f>
        <v>0</v>
      </c>
      <c r="CA41" s="203">
        <f>DSUM('Product Backlog'!$D$3:$F$503,1,CA9:CA10)</f>
        <v>0</v>
      </c>
      <c r="CB41" s="203">
        <f>DSUM('Product Backlog'!$D$3:$F$503,1,CB9:CB10)</f>
        <v>20</v>
      </c>
      <c r="CC41" s="203">
        <f>DSUM('Product Backlog'!$D$3:$F$503,1,CC9:CC10)</f>
        <v>0</v>
      </c>
      <c r="CD41" s="203">
        <f>DSUM('Product Backlog'!$D$3:$F$503,1,CD9:CD10)</f>
        <v>0</v>
      </c>
      <c r="CE41" s="203">
        <f>DSUM('Product Backlog'!$D$3:$F$503,1,CE9:CE10)</f>
        <v>0</v>
      </c>
      <c r="CF41" s="203">
        <f>DSUM('Product Backlog'!$D$3:$F$503,1,CF9:CF10)</f>
        <v>0</v>
      </c>
      <c r="CG41" s="203">
        <f>DSUM('Product Backlog'!$D$3:$F$503,1,CG9:CG10)</f>
        <v>0</v>
      </c>
      <c r="CH41" s="203">
        <f>DSUM('Product Backlog'!$D$3:$F$503,1,CH9:CH10)</f>
        <v>0</v>
      </c>
      <c r="CI41" s="203">
        <f>DSUM('Product Backlog'!$D$3:$F$503,1,CI9:CI10)</f>
        <v>0</v>
      </c>
      <c r="CJ41" s="203">
        <f>DSUM('Product Backlog'!$D$3:$F$503,1,CJ9:CJ10)</f>
        <v>13</v>
      </c>
      <c r="CK41" s="203">
        <f>DSUM('Product Backlog'!$D$3:$F$503,1,CK9:CK10)</f>
        <v>0</v>
      </c>
      <c r="CL41" s="203">
        <f>DSUM('Product Backlog'!$D$3:$F$503,1,CL9:CL10)</f>
        <v>0</v>
      </c>
      <c r="CM41" s="203">
        <f>DSUM('Product Backlog'!$D$3:$F$503,1,CM9:CM10)</f>
        <v>0</v>
      </c>
      <c r="CN41" s="203">
        <f>DSUM('Product Backlog'!$D$3:$F$503,1,CN9:CN10)</f>
        <v>0</v>
      </c>
      <c r="CO41" s="203">
        <f>DSUM('Product Backlog'!$D$3:$F$503,1,CO9:CO10)</f>
        <v>0</v>
      </c>
      <c r="CP41" s="203">
        <f>DSUM('Product Backlog'!$D$3:$F$503,1,CP9:CP10)</f>
        <v>0</v>
      </c>
      <c r="CQ41" s="203">
        <f>DSUM('Product Backlog'!$D$3:$F$503,1,CQ9:CQ10)</f>
        <v>0</v>
      </c>
      <c r="CR41" s="203">
        <f>DSUM('Product Backlog'!$D$3:$F$503,1,CR9:CR10)</f>
        <v>0</v>
      </c>
      <c r="CS41" s="203">
        <f>DSUM('Product Backlog'!$D$3:$F$503,1,CS9:CS10)</f>
        <v>0</v>
      </c>
      <c r="CT41" s="203">
        <f>DSUM('Product Backlog'!$D$3:$F$503,1,CT9:CT10)</f>
        <v>0</v>
      </c>
      <c r="CU41" s="203">
        <f>DSUM('Product Backlog'!$D$3:$F$503,1,CU9:CU10)</f>
        <v>0</v>
      </c>
      <c r="CV41" s="203">
        <f>DSUM('Product Backlog'!$D$3:$F$503,1,CV9:CV10)</f>
        <v>0</v>
      </c>
      <c r="CW41" s="203">
        <f>DSUM('Product Backlog'!$D$3:$F$503,1,CW9:CW10)</f>
        <v>0</v>
      </c>
      <c r="CX41" s="203">
        <f>DSUM('Product Backlog'!$D$3:$F$503,1,CX9:CX10)</f>
        <v>0</v>
      </c>
      <c r="CY41" s="203">
        <f>DSUM('Product Backlog'!$D$3:$F$503,1,CY9:CY10)</f>
        <v>0</v>
      </c>
      <c r="CZ41" s="203">
        <f>DSUM('Product Backlog'!$D$3:$F$503,1,CZ9:CZ10)</f>
        <v>0</v>
      </c>
      <c r="DA41" s="203">
        <f>DSUM('Product Backlog'!$D$3:$F$503,1,DA9:DA10)</f>
        <v>0</v>
      </c>
      <c r="DB41" s="203">
        <f>DSUM('Product Backlog'!$D$3:$F$503,1,DB9:DB10)</f>
        <v>0</v>
      </c>
      <c r="DC41" s="203">
        <f>DSUM('Product Backlog'!$D$3:$F$503,1,DC9:DC10)</f>
        <v>0</v>
      </c>
      <c r="DD41" s="203">
        <f>DSUM('Product Backlog'!$D$3:$F$503,1,DD9:DD10)</f>
        <v>0</v>
      </c>
      <c r="DE41" s="203">
        <f>DSUM('Product Backlog'!$D$3:$F$503,1,DE9:DE10)</f>
        <v>0</v>
      </c>
      <c r="DF41" s="203">
        <f>DSUM('Product Backlog'!$D$3:$F$503,1,DF9:DF10)</f>
        <v>0</v>
      </c>
      <c r="DG41" s="203">
        <f>DSUM('Product Backlog'!$D$3:$F$503,1,DG9:DG10)</f>
        <v>0</v>
      </c>
      <c r="DH41" s="203">
        <f>DSUM('Product Backlog'!$D$3:$F$503,1,DH9:DH10)</f>
        <v>0</v>
      </c>
      <c r="DI41" s="203">
        <f>DSUM('Product Backlog'!$D$3:$F$503,1,DI9:DI10)</f>
        <v>0</v>
      </c>
      <c r="DJ41" s="203">
        <f>DSUM('Product Backlog'!$D$3:$F$503,1,DJ9:DJ10)</f>
        <v>0</v>
      </c>
      <c r="DK41" s="203">
        <f>DSUM('Product Backlog'!$D$3:$F$503,1,DK9:DK10)</f>
        <v>0</v>
      </c>
      <c r="DL41" s="203">
        <f>DSUM('Product Backlog'!$D$3:$F$503,1,DL9:DL10)</f>
        <v>0</v>
      </c>
      <c r="DM41" s="203">
        <f>DSUM('Product Backlog'!$D$3:$F$503,1,DM9:DM10)</f>
        <v>0</v>
      </c>
      <c r="DN41" s="203">
        <f>DSUM('Product Backlog'!$D$3:$F$503,1,DN9:DN10)</f>
        <v>0</v>
      </c>
      <c r="DO41" s="203">
        <f>DSUM('Product Backlog'!$D$3:$F$503,1,DO9:DO10)</f>
        <v>0</v>
      </c>
      <c r="DP41" s="203">
        <f>DSUM('Product Backlog'!$D$3:$F$503,1,DP9:DP10)</f>
        <v>0</v>
      </c>
      <c r="DQ41" s="203">
        <f>DSUM('Product Backlog'!$D$3:$F$503,1,DQ9:DQ10)</f>
        <v>0</v>
      </c>
      <c r="DR41" s="203">
        <f>DSUM('Product Backlog'!$D$3:$F$503,1,DR9:DR10)</f>
        <v>0</v>
      </c>
      <c r="DS41" s="203">
        <f>DSUM('Product Backlog'!$D$3:$F$503,1,DS9:DS10)</f>
        <v>0</v>
      </c>
      <c r="DT41" s="203">
        <f>DSUM('Product Backlog'!$D$3:$F$503,1,DT9:DT10)</f>
        <v>0</v>
      </c>
      <c r="DU41" s="203">
        <f>DSUM('Product Backlog'!$D$3:$F$503,1,DU9:DU10)</f>
        <v>0</v>
      </c>
      <c r="DV41" s="203">
        <f>DSUM('Product Backlog'!$D$3:$F$503,1,DV9:DV10)</f>
        <v>0</v>
      </c>
      <c r="DW41" s="203">
        <f>DSUM('Product Backlog'!$D$3:$F$503,1,DW9:DW10)</f>
        <v>0</v>
      </c>
      <c r="DX41" s="203">
        <f>DSUM('Product Backlog'!$D$3:$F$503,1,DX9:DX10)</f>
        <v>0</v>
      </c>
      <c r="DY41" s="203">
        <f>DSUM('Product Backlog'!$D$3:$F$503,1,DY9:DY10)</f>
        <v>0</v>
      </c>
      <c r="DZ41" s="203">
        <f>DSUM('Product Backlog'!$D$3:$F$503,1,DZ9:DZ10)</f>
        <v>0</v>
      </c>
      <c r="EA41" s="203">
        <f>DSUM('Product Backlog'!$D$3:$F$503,1,EA9:EA10)</f>
        <v>0</v>
      </c>
      <c r="EB41" s="203">
        <f>DSUM('Product Backlog'!$D$3:$F$503,1,EB9:EB10)</f>
        <v>0</v>
      </c>
      <c r="EC41" s="203">
        <f>DSUM('Product Backlog'!$D$3:$F$503,1,EC9:EC10)</f>
        <v>0</v>
      </c>
      <c r="ED41" s="203">
        <f>DSUM('Product Backlog'!$D$3:$F$503,1,ED9:ED10)</f>
        <v>0</v>
      </c>
      <c r="EE41" s="203">
        <f>DSUM('Product Backlog'!$D$3:$F$503,1,EE9:EE10)</f>
        <v>0</v>
      </c>
      <c r="EF41" s="203">
        <f>DSUM('Product Backlog'!$D$3:$F$503,1,EF9:EF10)</f>
        <v>0</v>
      </c>
      <c r="EG41" s="203">
        <f>DSUM('Product Backlog'!$D$3:$F$503,1,EG9:EG10)</f>
        <v>0</v>
      </c>
      <c r="EH41" s="203">
        <f>DSUM('Product Backlog'!$D$3:$F$503,1,EH9:EH10)</f>
        <v>0</v>
      </c>
      <c r="EI41" s="203">
        <f>DSUM('Product Backlog'!$D$3:$F$503,1,EI9:EI10)</f>
        <v>0</v>
      </c>
      <c r="EJ41" s="203">
        <f>DSUM('Product Backlog'!$D$3:$F$503,1,EJ9:EJ10)</f>
        <v>0</v>
      </c>
      <c r="EK41" s="203">
        <f>DSUM('Product Backlog'!$D$3:$F$503,1,EK9:EK10)</f>
        <v>0</v>
      </c>
      <c r="EL41" s="203">
        <f>DSUM('Product Backlog'!$D$3:$F$503,1,EL9:EL10)</f>
        <v>0</v>
      </c>
      <c r="EM41" s="203">
        <f>DSUM('Product Backlog'!$D$3:$F$503,1,EM9:EM10)</f>
        <v>0</v>
      </c>
      <c r="EN41" s="203">
        <f>DSUM('Product Backlog'!$D$3:$F$503,1,EN9:EN10)</f>
        <v>0</v>
      </c>
      <c r="EO41" s="203">
        <f>DSUM('Product Backlog'!$D$3:$F$503,1,EO9:EO10)</f>
        <v>0</v>
      </c>
      <c r="EP41" s="203">
        <f>DSUM('Product Backlog'!$D$3:$F$503,1,EP9:EP10)</f>
        <v>0</v>
      </c>
      <c r="EQ41" s="203">
        <f>DSUM('Product Backlog'!$D$3:$F$503,1,EQ9:EQ10)</f>
        <v>0</v>
      </c>
      <c r="ER41" s="203">
        <f>DSUM('Product Backlog'!$D$3:$F$503,1,ER9:ER10)</f>
        <v>0</v>
      </c>
      <c r="ES41" s="203">
        <f>DSUM('Product Backlog'!$D$3:$F$503,1,ES9:ES10)</f>
        <v>0</v>
      </c>
      <c r="ET41" s="203">
        <f>DSUM('Product Backlog'!$D$3:$F$503,1,ET9:ET10)</f>
        <v>0</v>
      </c>
      <c r="EU41" s="203">
        <f>DSUM('Product Backlog'!$D$3:$F$503,1,EU9:EU10)</f>
        <v>0</v>
      </c>
      <c r="EV41" s="203">
        <f>DSUM('Product Backlog'!$D$3:$F$503,1,EV9:EV10)</f>
        <v>0</v>
      </c>
      <c r="EW41" s="203">
        <f>DSUM('Product Backlog'!$D$3:$F$503,1,EW9:EW10)</f>
        <v>0</v>
      </c>
      <c r="EX41" s="203">
        <f>DSUM('Product Backlog'!$D$3:$F$503,1,EX9:EX10)</f>
        <v>0</v>
      </c>
      <c r="EY41" s="203">
        <f>DSUM('Product Backlog'!$D$3:$F$503,1,EY9:EY10)</f>
        <v>0</v>
      </c>
      <c r="EZ41" s="203">
        <f>DSUM('Product Backlog'!$D$3:$F$503,1,EZ9:EZ10)</f>
        <v>0</v>
      </c>
      <c r="FA41" s="203">
        <f>DSUM('Product Backlog'!$D$3:$F$503,1,FA9:FA10)</f>
        <v>0</v>
      </c>
      <c r="FB41" s="203">
        <f>DSUM('Product Backlog'!$D$3:$F$503,1,FB9:FB10)</f>
        <v>0</v>
      </c>
      <c r="FC41" s="203">
        <f>DSUM('Product Backlog'!$D$3:$F$503,1,FC9:FC10)</f>
        <v>0</v>
      </c>
      <c r="FD41" s="203">
        <f>DSUM('Product Backlog'!$D$3:$F$503,1,FD9:FD10)</f>
        <v>0</v>
      </c>
      <c r="FE41" s="203">
        <f>DSUM('Product Backlog'!$D$3:$F$503,1,FE9:FE10)</f>
        <v>0</v>
      </c>
      <c r="FF41" s="203">
        <f>DSUM('Product Backlog'!$D$3:$F$503,1,FF9:FF10)</f>
        <v>0</v>
      </c>
      <c r="FG41" s="203">
        <f>DSUM('Product Backlog'!$D$3:$F$503,1,FG9:FG10)</f>
        <v>0</v>
      </c>
      <c r="FH41" s="203">
        <f>DSUM('Product Backlog'!$D$3:$F$503,1,FH9:FH10)</f>
        <v>0</v>
      </c>
      <c r="FI41" s="203">
        <f>DSUM('Product Backlog'!$D$3:$F$503,1,FI9:FI10)</f>
        <v>0</v>
      </c>
      <c r="FJ41" s="203">
        <f>DSUM('Product Backlog'!$D$3:$F$503,1,FJ9:FJ10)</f>
        <v>0</v>
      </c>
      <c r="FK41" s="203">
        <f>DSUM('Product Backlog'!$D$3:$F$503,1,FK9:FK10)</f>
        <v>0</v>
      </c>
      <c r="FL41" s="203">
        <f>DSUM('Product Backlog'!$D$3:$F$503,1,FL9:FL10)</f>
        <v>0</v>
      </c>
      <c r="FM41" s="203">
        <f>DSUM('Product Backlog'!$D$3:$F$503,1,FM9:FM10)</f>
        <v>0</v>
      </c>
      <c r="FN41" s="203">
        <f>DSUM('Product Backlog'!$D$3:$F$503,1,FN9:FN10)</f>
        <v>0</v>
      </c>
      <c r="FO41" s="203">
        <f>DSUM('Product Backlog'!$D$3:$F$503,1,FO9:FO10)</f>
        <v>0</v>
      </c>
      <c r="FP41" s="203">
        <f>DSUM('Product Backlog'!$D$3:$F$503,1,FP9:FP10)</f>
        <v>0</v>
      </c>
      <c r="FQ41" s="203">
        <f>DSUM('Product Backlog'!$D$3:$F$503,1,FQ9:FQ10)</f>
        <v>0</v>
      </c>
      <c r="FR41" s="203">
        <f>DSUM('Product Backlog'!$D$3:$F$503,1,FR9:FR10)</f>
        <v>0</v>
      </c>
      <c r="FS41" s="203">
        <f>DSUM('Product Backlog'!$D$3:$F$503,1,FS9:FS10)</f>
        <v>0</v>
      </c>
      <c r="FT41" s="203">
        <f>DSUM('Product Backlog'!$D$3:$F$503,1,FT9:FT10)</f>
        <v>0</v>
      </c>
      <c r="FU41" s="203">
        <f>DSUM('Product Backlog'!$D$3:$F$503,1,FU9:FU10)</f>
        <v>0</v>
      </c>
      <c r="FV41" s="203">
        <f>DSUM('Product Backlog'!$D$3:$F$503,1,FV9:FV10)</f>
        <v>0</v>
      </c>
      <c r="FW41" s="203">
        <f>DSUM('Product Backlog'!$D$3:$F$503,1,FW9:FW10)</f>
        <v>0</v>
      </c>
      <c r="FX41" s="203">
        <f>DSUM('Product Backlog'!$D$3:$F$503,1,FX9:FX10)</f>
        <v>0</v>
      </c>
      <c r="FY41" s="203">
        <f>DSUM('Product Backlog'!$D$3:$F$503,1,FY9:FY10)</f>
        <v>0</v>
      </c>
      <c r="FZ41" s="203">
        <f>DSUM('Product Backlog'!$D$3:$F$503,1,FZ9:FZ10)</f>
        <v>0</v>
      </c>
      <c r="GA41" s="203">
        <f>DSUM('Product Backlog'!$D$3:$F$503,1,GA9:GA10)</f>
        <v>0</v>
      </c>
      <c r="GB41" s="203">
        <f>DSUM('Product Backlog'!$D$3:$F$503,1,GB9:GB10)</f>
        <v>0</v>
      </c>
      <c r="GC41" s="203">
        <f>DSUM('Product Backlog'!$D$3:$F$503,1,GC9:GC10)</f>
        <v>0</v>
      </c>
      <c r="GD41" s="203">
        <f>DSUM('Product Backlog'!$D$3:$F$503,1,GD9:GD10)</f>
        <v>0</v>
      </c>
      <c r="GE41" s="203">
        <f>DSUM('Product Backlog'!$D$3:$F$503,1,GE9:GE10)</f>
        <v>0</v>
      </c>
      <c r="GF41" s="203">
        <f>DSUM('Product Backlog'!$D$3:$F$503,1,GF9:GF10)</f>
        <v>0</v>
      </c>
      <c r="GG41" s="203">
        <f>DSUM('Product Backlog'!$D$3:$F$503,1,GG9:GG10)</f>
        <v>0</v>
      </c>
      <c r="GH41" s="203">
        <f>DSUM('Product Backlog'!$D$3:$F$503,1,GH9:GH10)</f>
        <v>0</v>
      </c>
      <c r="GI41" s="203">
        <f>DSUM('Product Backlog'!$D$3:$F$503,1,GI9:GI10)</f>
        <v>0</v>
      </c>
      <c r="GJ41" s="203">
        <f>DSUM('Product Backlog'!$D$3:$F$503,1,GJ9:GJ10)</f>
        <v>0</v>
      </c>
      <c r="GK41" s="203">
        <f>DSUM('Product Backlog'!$D$3:$F$503,1,GK9:GK10)</f>
        <v>0</v>
      </c>
      <c r="GL41" s="203">
        <f>DSUM('Product Backlog'!$D$3:$F$503,1,GL9:GL10)</f>
        <v>0</v>
      </c>
      <c r="GM41" s="203">
        <f>DSUM('Product Backlog'!$D$3:$F$503,1,GM9:GM10)</f>
        <v>0</v>
      </c>
      <c r="GN41" s="203">
        <f>DSUM('Product Backlog'!$D$3:$F$503,1,GN9:GN10)</f>
        <v>0</v>
      </c>
      <c r="GO41" s="203">
        <f>DSUM('Product Backlog'!$D$3:$F$503,1,GO9:GO10)</f>
        <v>0</v>
      </c>
      <c r="GP41" s="203">
        <f>DSUM('Product Backlog'!$D$3:$F$503,1,GP9:GP10)</f>
        <v>0</v>
      </c>
      <c r="GQ41" s="203">
        <f>DSUM('Product Backlog'!$D$3:$F$503,1,GQ9:GQ10)</f>
        <v>0</v>
      </c>
      <c r="GR41" s="203">
        <f>DSUM('Product Backlog'!$D$3:$F$503,1,GR9:GR10)</f>
        <v>0</v>
      </c>
      <c r="GS41" s="203">
        <f>DSUM('Product Backlog'!$D$3:$F$503,1,GS9:GS10)</f>
        <v>0</v>
      </c>
      <c r="GT41" s="203">
        <f>DSUM('Product Backlog'!$D$3:$F$503,1,GT9:GT10)</f>
        <v>0</v>
      </c>
      <c r="GU41" s="203">
        <f>DSUM('Product Backlog'!$D$3:$F$503,1,GU9:GU10)</f>
        <v>0</v>
      </c>
      <c r="GV41" s="203">
        <f>DSUM('Product Backlog'!$D$3:$F$503,1,GV9:GV10)</f>
        <v>0</v>
      </c>
      <c r="GW41" s="203">
        <f>DSUM('Product Backlog'!$D$3:$F$503,1,GW9:GW10)</f>
        <v>0</v>
      </c>
      <c r="GX41" s="203">
        <f>DSUM('Product Backlog'!$D$3:$F$503,1,GX9:GX10)</f>
        <v>0</v>
      </c>
      <c r="GY41" s="203">
        <f>DSUM('Product Backlog'!$D$3:$F$503,1,GY9:GY10)</f>
        <v>0</v>
      </c>
      <c r="GZ41" s="203">
        <f>DSUM('Product Backlog'!$D$3:$F$503,1,GZ9:GZ10)</f>
        <v>0</v>
      </c>
      <c r="HA41" s="203">
        <f>DSUM('Product Backlog'!$D$3:$F$503,1,HA9:HA10)</f>
        <v>0</v>
      </c>
      <c r="HB41" s="203">
        <f>DSUM('Product Backlog'!$D$3:$F$503,1,HB9:HB10)</f>
        <v>0</v>
      </c>
      <c r="HC41" s="203">
        <f>DSUM('Product Backlog'!$D$3:$F$503,1,HC9:HC10)</f>
        <v>0</v>
      </c>
      <c r="HD41" s="203">
        <f>DSUM('Product Backlog'!$D$3:$F$503,1,HD9:HD10)</f>
        <v>0</v>
      </c>
      <c r="HE41" s="203">
        <f>DSUM('Product Backlog'!$D$3:$F$503,1,HE9:HE10)</f>
        <v>0</v>
      </c>
      <c r="HF41" s="203">
        <f>DSUM('Product Backlog'!$D$3:$F$503,1,HF9:HF10)</f>
        <v>0</v>
      </c>
      <c r="HG41" s="203">
        <f>DSUM('Product Backlog'!$D$3:$F$503,1,HG9:HG10)</f>
        <v>0</v>
      </c>
      <c r="HH41" s="203">
        <f>DSUM('Product Backlog'!$D$3:$F$503,1,HH9:HH10)</f>
        <v>0</v>
      </c>
      <c r="HI41" s="203">
        <f>DSUM('Product Backlog'!$D$3:$F$503,1,HI9:HI10)</f>
        <v>0</v>
      </c>
      <c r="HJ41" s="203">
        <f>DSUM('Product Backlog'!$D$3:$F$503,1,HJ9:HJ10)</f>
        <v>0</v>
      </c>
      <c r="HK41" s="203">
        <f>DSUM('Product Backlog'!$D$3:$F$503,1,HK9:HK10)</f>
        <v>0</v>
      </c>
      <c r="HL41" s="203">
        <f>DSUM('Product Backlog'!$D$3:$F$503,1,HL9:HL10)</f>
        <v>0</v>
      </c>
      <c r="HM41" s="203">
        <f>DSUM('Product Backlog'!$D$3:$F$503,1,HM9:HM10)</f>
        <v>0</v>
      </c>
      <c r="HN41" s="203">
        <f>DSUM('Product Backlog'!$D$3:$F$503,1,HN9:HN10)</f>
        <v>0</v>
      </c>
      <c r="HO41" s="203">
        <f>DSUM('Product Backlog'!$D$3:$F$503,1,HO9:HO10)</f>
        <v>0</v>
      </c>
      <c r="HP41" s="203">
        <f>DSUM('Product Backlog'!$D$3:$F$503,1,HP9:HP10)</f>
        <v>0</v>
      </c>
      <c r="HQ41" s="203">
        <f>DSUM('Product Backlog'!$D$3:$F$503,1,HQ9:HQ10)</f>
        <v>0</v>
      </c>
      <c r="HR41" s="203">
        <f>DSUM('Product Backlog'!$D$3:$F$503,1,HR9:HR10)</f>
        <v>0</v>
      </c>
      <c r="HS41" s="203">
        <f>DSUM('Product Backlog'!$D$3:$F$503,1,HS9:HS10)</f>
        <v>0</v>
      </c>
      <c r="HT41" s="203">
        <f>DSUM('Product Backlog'!$D$3:$F$503,1,HT9:HT10)</f>
        <v>0</v>
      </c>
      <c r="HU41" s="203">
        <f>DSUM('Product Backlog'!$D$3:$F$503,1,HU9:HU10)</f>
        <v>0</v>
      </c>
      <c r="HV41" s="203">
        <f>DSUM('Product Backlog'!$D$3:$F$503,1,HV9:HV10)</f>
        <v>0</v>
      </c>
      <c r="HW41" s="203">
        <f>DSUM('Product Backlog'!$D$3:$F$503,1,HW9:HW10)</f>
        <v>0</v>
      </c>
      <c r="HX41" s="203">
        <f>DSUM('Product Backlog'!$D$3:$F$503,1,HX9:HX10)</f>
        <v>0</v>
      </c>
      <c r="HY41" s="203">
        <f>DSUM('Product Backlog'!$D$3:$F$503,1,HY9:HY10)</f>
        <v>0</v>
      </c>
      <c r="HZ41" s="203">
        <f>DSUM('Product Backlog'!$D$3:$F$503,1,HZ9:HZ10)</f>
        <v>0</v>
      </c>
      <c r="IA41" s="203">
        <f>DSUM('Product Backlog'!$D$3:$F$503,1,IA9:IA10)</f>
        <v>0</v>
      </c>
      <c r="IB41" s="203">
        <f>DSUM('Product Backlog'!$D$3:$F$503,1,IB9:IB10)</f>
        <v>0</v>
      </c>
      <c r="IC41" s="203">
        <f>DSUM('Product Backlog'!$D$3:$F$503,1,IC9:IC10)</f>
        <v>0</v>
      </c>
      <c r="ID41" s="203">
        <f>DSUM('Product Backlog'!$D$3:$F$503,1,ID9:ID10)</f>
        <v>0</v>
      </c>
      <c r="IE41" s="203">
        <f>DSUM('Product Backlog'!$D$3:$F$503,1,IE9:IE10)</f>
        <v>0</v>
      </c>
      <c r="IF41" s="203">
        <f>DSUM('Product Backlog'!$D$3:$F$503,1,IF9:IF10)</f>
        <v>0</v>
      </c>
      <c r="IG41" s="203">
        <f>DSUM('Product Backlog'!$D$3:$F$503,1,IG9:IG10)</f>
        <v>0</v>
      </c>
      <c r="IH41" s="203">
        <f>DSUM('Product Backlog'!$D$3:$F$503,1,IH9:IH10)</f>
        <v>0</v>
      </c>
      <c r="II41" s="203">
        <f>DSUM('Product Backlog'!$D$3:$F$503,1,II9:II10)</f>
        <v>0</v>
      </c>
      <c r="IJ41" s="203">
        <f>DSUM('Product Backlog'!$D$3:$F$503,1,IJ9:IJ10)</f>
        <v>0</v>
      </c>
      <c r="IK41" s="203">
        <f>DSUM('Product Backlog'!$D$3:$F$503,1,IK9:IK10)</f>
        <v>0</v>
      </c>
      <c r="IL41" s="203">
        <f>DSUM('Product Backlog'!$D$3:$F$503,1,IL9:IL10)</f>
        <v>0</v>
      </c>
      <c r="IM41" s="203">
        <f>DSUM('Product Backlog'!$D$3:$F$503,1,IM9:IM10)</f>
        <v>0</v>
      </c>
      <c r="IN41" s="203">
        <f>DSUM('Product Backlog'!$D$3:$F$503,1,IN9:IN10)</f>
        <v>0</v>
      </c>
      <c r="IO41" s="203">
        <f>DSUM('Product Backlog'!$D$3:$F$503,1,IO9:IO10)</f>
        <v>0</v>
      </c>
      <c r="IP41" s="203">
        <f>DSUM('Product Backlog'!$D$3:$F$503,1,IP9:IP10)</f>
        <v>0</v>
      </c>
      <c r="IQ41" s="203">
        <f>DSUM('Product Backlog'!$D$3:$F$503,1,IQ9:IQ10)</f>
        <v>0</v>
      </c>
      <c r="IR41" s="203">
        <f>DSUM('Product Backlog'!$D$3:$F$503,1,IR9:IR10)</f>
        <v>0</v>
      </c>
      <c r="IS41" s="203">
        <f>DSUM('Product Backlog'!$D$3:$F$503,1,IS9:IS10)</f>
        <v>0</v>
      </c>
      <c r="IT41" s="203">
        <f>DSUM('Product Backlog'!$D$3:$F$503,1,IT9:IT10)</f>
        <v>0</v>
      </c>
      <c r="IU41" s="203">
        <f>DSUM('Product Backlog'!$D$3:$F$503,1,IU9:IU10)</f>
        <v>0</v>
      </c>
      <c r="IV41" s="203">
        <f>DSUM('Product Backlog'!$D$3:$F$503,1,IV9:IV10)</f>
        <v>0</v>
      </c>
    </row>
    <row r="42" spans="1:256" s="201" customFormat="1" x14ac:dyDescent="0.2">
      <c r="A42" s="202" t="s">
        <v>603</v>
      </c>
      <c r="B42" s="201">
        <f>+B40-B41</f>
        <v>73</v>
      </c>
      <c r="C42" s="201">
        <f t="shared" ref="C42:BN42" si="12">+B42-C41</f>
        <v>73</v>
      </c>
      <c r="D42" s="201">
        <f t="shared" si="12"/>
        <v>73</v>
      </c>
      <c r="E42" s="201">
        <f t="shared" si="12"/>
        <v>73</v>
      </c>
      <c r="F42" s="201">
        <f t="shared" si="12"/>
        <v>73</v>
      </c>
      <c r="G42" s="201">
        <f t="shared" si="12"/>
        <v>73</v>
      </c>
      <c r="H42" s="201">
        <f t="shared" si="12"/>
        <v>73</v>
      </c>
      <c r="I42" s="201">
        <f t="shared" si="12"/>
        <v>73</v>
      </c>
      <c r="J42" s="201">
        <f t="shared" si="12"/>
        <v>73</v>
      </c>
      <c r="K42" s="201">
        <f t="shared" si="12"/>
        <v>73</v>
      </c>
      <c r="L42" s="201">
        <f t="shared" si="12"/>
        <v>73</v>
      </c>
      <c r="M42" s="201">
        <f t="shared" si="12"/>
        <v>73</v>
      </c>
      <c r="N42" s="201">
        <f t="shared" si="12"/>
        <v>73</v>
      </c>
      <c r="O42" s="201">
        <f t="shared" si="12"/>
        <v>73</v>
      </c>
      <c r="P42" s="201">
        <f t="shared" si="12"/>
        <v>73</v>
      </c>
      <c r="Q42" s="201">
        <f t="shared" si="12"/>
        <v>73</v>
      </c>
      <c r="R42" s="201">
        <f t="shared" si="12"/>
        <v>73</v>
      </c>
      <c r="S42" s="201">
        <f t="shared" si="12"/>
        <v>73</v>
      </c>
      <c r="T42" s="201">
        <f t="shared" si="12"/>
        <v>73</v>
      </c>
      <c r="U42" s="201">
        <f t="shared" si="12"/>
        <v>73</v>
      </c>
      <c r="V42" s="201">
        <f t="shared" si="12"/>
        <v>73</v>
      </c>
      <c r="W42" s="201">
        <f t="shared" si="12"/>
        <v>73</v>
      </c>
      <c r="X42" s="201">
        <f t="shared" si="12"/>
        <v>73</v>
      </c>
      <c r="Y42" s="201">
        <f t="shared" si="12"/>
        <v>73</v>
      </c>
      <c r="Z42" s="201">
        <f t="shared" si="12"/>
        <v>73</v>
      </c>
      <c r="AA42" s="201">
        <f t="shared" si="12"/>
        <v>73</v>
      </c>
      <c r="AB42" s="201">
        <f t="shared" si="12"/>
        <v>73</v>
      </c>
      <c r="AC42" s="201">
        <f t="shared" si="12"/>
        <v>73</v>
      </c>
      <c r="AD42" s="201">
        <f t="shared" si="12"/>
        <v>73</v>
      </c>
      <c r="AE42" s="201">
        <f t="shared" si="12"/>
        <v>73</v>
      </c>
      <c r="AF42" s="201">
        <f t="shared" si="12"/>
        <v>73</v>
      </c>
      <c r="AG42" s="201">
        <f t="shared" si="12"/>
        <v>73</v>
      </c>
      <c r="AH42" s="201">
        <f t="shared" si="12"/>
        <v>73</v>
      </c>
      <c r="AI42" s="201">
        <f t="shared" si="12"/>
        <v>73</v>
      </c>
      <c r="AJ42" s="201">
        <f t="shared" si="12"/>
        <v>73</v>
      </c>
      <c r="AK42" s="201">
        <f t="shared" si="12"/>
        <v>73</v>
      </c>
      <c r="AL42" s="201">
        <f t="shared" si="12"/>
        <v>73</v>
      </c>
      <c r="AM42" s="201">
        <f t="shared" si="12"/>
        <v>73</v>
      </c>
      <c r="AN42" s="201">
        <f t="shared" si="12"/>
        <v>73</v>
      </c>
      <c r="AO42" s="201">
        <f t="shared" si="12"/>
        <v>73</v>
      </c>
      <c r="AP42" s="201">
        <f t="shared" si="12"/>
        <v>73</v>
      </c>
      <c r="AQ42" s="201">
        <f t="shared" si="12"/>
        <v>73</v>
      </c>
      <c r="AR42" s="201">
        <f t="shared" si="12"/>
        <v>73</v>
      </c>
      <c r="AS42" s="201">
        <f t="shared" si="12"/>
        <v>73</v>
      </c>
      <c r="AT42" s="201">
        <f t="shared" si="12"/>
        <v>73</v>
      </c>
      <c r="AU42" s="201">
        <f t="shared" si="12"/>
        <v>73</v>
      </c>
      <c r="AV42" s="201">
        <f t="shared" si="12"/>
        <v>73</v>
      </c>
      <c r="AW42" s="201">
        <f t="shared" si="12"/>
        <v>73</v>
      </c>
      <c r="AX42" s="201">
        <f t="shared" si="12"/>
        <v>73</v>
      </c>
      <c r="AY42" s="201">
        <f t="shared" si="12"/>
        <v>73</v>
      </c>
      <c r="AZ42" s="201">
        <f t="shared" si="12"/>
        <v>73</v>
      </c>
      <c r="BA42" s="201">
        <f t="shared" si="12"/>
        <v>73</v>
      </c>
      <c r="BB42" s="201">
        <f t="shared" si="12"/>
        <v>73</v>
      </c>
      <c r="BC42" s="201">
        <f t="shared" si="12"/>
        <v>73</v>
      </c>
      <c r="BD42" s="201">
        <f t="shared" si="12"/>
        <v>73</v>
      </c>
      <c r="BE42" s="201">
        <f t="shared" si="12"/>
        <v>73</v>
      </c>
      <c r="BF42" s="201">
        <f t="shared" si="12"/>
        <v>73</v>
      </c>
      <c r="BG42" s="201">
        <f t="shared" si="12"/>
        <v>73</v>
      </c>
      <c r="BH42" s="201">
        <f t="shared" si="12"/>
        <v>73</v>
      </c>
      <c r="BI42" s="201">
        <f t="shared" si="12"/>
        <v>73</v>
      </c>
      <c r="BJ42" s="201">
        <f t="shared" si="12"/>
        <v>73</v>
      </c>
      <c r="BK42" s="201">
        <f t="shared" si="12"/>
        <v>73</v>
      </c>
      <c r="BL42" s="201">
        <f t="shared" si="12"/>
        <v>73</v>
      </c>
      <c r="BM42" s="201">
        <f t="shared" si="12"/>
        <v>73</v>
      </c>
      <c r="BN42" s="201">
        <f t="shared" si="12"/>
        <v>73</v>
      </c>
      <c r="BO42" s="201">
        <f t="shared" ref="BO42:DZ42" si="13">+BN42-BO41</f>
        <v>73</v>
      </c>
      <c r="BP42" s="201">
        <f t="shared" si="13"/>
        <v>73</v>
      </c>
      <c r="BQ42" s="201">
        <f t="shared" si="13"/>
        <v>73</v>
      </c>
      <c r="BR42" s="201">
        <f t="shared" si="13"/>
        <v>73</v>
      </c>
      <c r="BS42" s="201">
        <f t="shared" si="13"/>
        <v>73</v>
      </c>
      <c r="BT42" s="201">
        <f t="shared" si="13"/>
        <v>73</v>
      </c>
      <c r="BU42" s="201">
        <f t="shared" si="13"/>
        <v>73</v>
      </c>
      <c r="BV42" s="201">
        <f t="shared" si="13"/>
        <v>73</v>
      </c>
      <c r="BW42" s="201">
        <f t="shared" si="13"/>
        <v>73</v>
      </c>
      <c r="BX42" s="201">
        <f t="shared" si="13"/>
        <v>73</v>
      </c>
      <c r="BY42" s="201">
        <f t="shared" si="13"/>
        <v>73</v>
      </c>
      <c r="BZ42" s="201">
        <f t="shared" si="13"/>
        <v>73</v>
      </c>
      <c r="CA42" s="201">
        <f t="shared" si="13"/>
        <v>73</v>
      </c>
      <c r="CB42" s="201">
        <f t="shared" si="13"/>
        <v>53</v>
      </c>
      <c r="CC42" s="201">
        <f t="shared" si="13"/>
        <v>53</v>
      </c>
      <c r="CD42" s="201">
        <f t="shared" si="13"/>
        <v>53</v>
      </c>
      <c r="CE42" s="201">
        <f t="shared" si="13"/>
        <v>53</v>
      </c>
      <c r="CF42" s="201">
        <f t="shared" si="13"/>
        <v>53</v>
      </c>
      <c r="CG42" s="201">
        <f t="shared" si="13"/>
        <v>53</v>
      </c>
      <c r="CH42" s="201">
        <f t="shared" si="13"/>
        <v>53</v>
      </c>
      <c r="CI42" s="201">
        <f t="shared" si="13"/>
        <v>53</v>
      </c>
      <c r="CJ42" s="201">
        <f t="shared" si="13"/>
        <v>40</v>
      </c>
      <c r="CK42" s="201">
        <f t="shared" si="13"/>
        <v>40</v>
      </c>
      <c r="CL42" s="201">
        <f t="shared" si="13"/>
        <v>40</v>
      </c>
      <c r="CM42" s="201">
        <f t="shared" si="13"/>
        <v>40</v>
      </c>
      <c r="CN42" s="201">
        <f t="shared" si="13"/>
        <v>40</v>
      </c>
      <c r="CO42" s="201">
        <f t="shared" si="13"/>
        <v>40</v>
      </c>
      <c r="CP42" s="201">
        <f t="shared" si="13"/>
        <v>40</v>
      </c>
      <c r="CQ42" s="201">
        <f t="shared" si="13"/>
        <v>40</v>
      </c>
      <c r="CR42" s="201">
        <f t="shared" si="13"/>
        <v>40</v>
      </c>
      <c r="CS42" s="201">
        <f t="shared" si="13"/>
        <v>40</v>
      </c>
      <c r="CT42" s="201">
        <f t="shared" si="13"/>
        <v>40</v>
      </c>
      <c r="CU42" s="201">
        <f t="shared" si="13"/>
        <v>40</v>
      </c>
      <c r="CV42" s="201">
        <f t="shared" si="13"/>
        <v>40</v>
      </c>
      <c r="CW42" s="201">
        <f t="shared" si="13"/>
        <v>40</v>
      </c>
      <c r="CX42" s="201">
        <f t="shared" si="13"/>
        <v>40</v>
      </c>
      <c r="CY42" s="201">
        <f t="shared" si="13"/>
        <v>40</v>
      </c>
      <c r="CZ42" s="201">
        <f t="shared" si="13"/>
        <v>40</v>
      </c>
      <c r="DA42" s="201">
        <f t="shared" si="13"/>
        <v>40</v>
      </c>
      <c r="DB42" s="201">
        <f t="shared" si="13"/>
        <v>40</v>
      </c>
      <c r="DC42" s="201">
        <f t="shared" si="13"/>
        <v>40</v>
      </c>
      <c r="DD42" s="201">
        <f t="shared" si="13"/>
        <v>40</v>
      </c>
      <c r="DE42" s="201">
        <f t="shared" si="13"/>
        <v>40</v>
      </c>
      <c r="DF42" s="201">
        <f t="shared" si="13"/>
        <v>40</v>
      </c>
      <c r="DG42" s="201">
        <f t="shared" si="13"/>
        <v>40</v>
      </c>
      <c r="DH42" s="201">
        <f t="shared" si="13"/>
        <v>40</v>
      </c>
      <c r="DI42" s="201">
        <f t="shared" si="13"/>
        <v>40</v>
      </c>
      <c r="DJ42" s="201">
        <f t="shared" si="13"/>
        <v>40</v>
      </c>
      <c r="DK42" s="201">
        <f t="shared" si="13"/>
        <v>40</v>
      </c>
      <c r="DL42" s="201">
        <f t="shared" si="13"/>
        <v>40</v>
      </c>
      <c r="DM42" s="201">
        <f t="shared" si="13"/>
        <v>40</v>
      </c>
      <c r="DN42" s="201">
        <f t="shared" si="13"/>
        <v>40</v>
      </c>
      <c r="DO42" s="201">
        <f t="shared" si="13"/>
        <v>40</v>
      </c>
      <c r="DP42" s="201">
        <f t="shared" si="13"/>
        <v>40</v>
      </c>
      <c r="DQ42" s="201">
        <f t="shared" si="13"/>
        <v>40</v>
      </c>
      <c r="DR42" s="201">
        <f t="shared" si="13"/>
        <v>40</v>
      </c>
      <c r="DS42" s="201">
        <f t="shared" si="13"/>
        <v>40</v>
      </c>
      <c r="DT42" s="201">
        <f t="shared" si="13"/>
        <v>40</v>
      </c>
      <c r="DU42" s="201">
        <f t="shared" si="13"/>
        <v>40</v>
      </c>
      <c r="DV42" s="201">
        <f t="shared" si="13"/>
        <v>40</v>
      </c>
      <c r="DW42" s="201">
        <f t="shared" si="13"/>
        <v>40</v>
      </c>
      <c r="DX42" s="201">
        <f t="shared" si="13"/>
        <v>40</v>
      </c>
      <c r="DY42" s="201">
        <f t="shared" si="13"/>
        <v>40</v>
      </c>
      <c r="DZ42" s="201">
        <f t="shared" si="13"/>
        <v>40</v>
      </c>
      <c r="EA42" s="201">
        <f t="shared" ref="EA42:GL42" si="14">+DZ42-EA41</f>
        <v>40</v>
      </c>
      <c r="EB42" s="201">
        <f t="shared" si="14"/>
        <v>40</v>
      </c>
      <c r="EC42" s="201">
        <f t="shared" si="14"/>
        <v>40</v>
      </c>
      <c r="ED42" s="201">
        <f t="shared" si="14"/>
        <v>40</v>
      </c>
      <c r="EE42" s="201">
        <f t="shared" si="14"/>
        <v>40</v>
      </c>
      <c r="EF42" s="201">
        <f t="shared" si="14"/>
        <v>40</v>
      </c>
      <c r="EG42" s="201">
        <f t="shared" si="14"/>
        <v>40</v>
      </c>
      <c r="EH42" s="201">
        <f t="shared" si="14"/>
        <v>40</v>
      </c>
      <c r="EI42" s="201">
        <f t="shared" si="14"/>
        <v>40</v>
      </c>
      <c r="EJ42" s="201">
        <f t="shared" si="14"/>
        <v>40</v>
      </c>
      <c r="EK42" s="201">
        <f t="shared" si="14"/>
        <v>40</v>
      </c>
      <c r="EL42" s="201">
        <f t="shared" si="14"/>
        <v>40</v>
      </c>
      <c r="EM42" s="201">
        <f t="shared" si="14"/>
        <v>40</v>
      </c>
      <c r="EN42" s="201">
        <f t="shared" si="14"/>
        <v>40</v>
      </c>
      <c r="EO42" s="201">
        <f t="shared" si="14"/>
        <v>40</v>
      </c>
      <c r="EP42" s="201">
        <f t="shared" si="14"/>
        <v>40</v>
      </c>
      <c r="EQ42" s="201">
        <f t="shared" si="14"/>
        <v>40</v>
      </c>
      <c r="ER42" s="201">
        <f t="shared" si="14"/>
        <v>40</v>
      </c>
      <c r="ES42" s="201">
        <f t="shared" si="14"/>
        <v>40</v>
      </c>
      <c r="ET42" s="201">
        <f t="shared" si="14"/>
        <v>40</v>
      </c>
      <c r="EU42" s="201">
        <f t="shared" si="14"/>
        <v>40</v>
      </c>
      <c r="EV42" s="201">
        <f t="shared" si="14"/>
        <v>40</v>
      </c>
      <c r="EW42" s="201">
        <f t="shared" si="14"/>
        <v>40</v>
      </c>
      <c r="EX42" s="201">
        <f t="shared" si="14"/>
        <v>40</v>
      </c>
      <c r="EY42" s="201">
        <f t="shared" si="14"/>
        <v>40</v>
      </c>
      <c r="EZ42" s="201">
        <f t="shared" si="14"/>
        <v>40</v>
      </c>
      <c r="FA42" s="201">
        <f t="shared" si="14"/>
        <v>40</v>
      </c>
      <c r="FB42" s="201">
        <f t="shared" si="14"/>
        <v>40</v>
      </c>
      <c r="FC42" s="201">
        <f t="shared" si="14"/>
        <v>40</v>
      </c>
      <c r="FD42" s="201">
        <f t="shared" si="14"/>
        <v>40</v>
      </c>
      <c r="FE42" s="201">
        <f t="shared" si="14"/>
        <v>40</v>
      </c>
      <c r="FF42" s="201">
        <f t="shared" si="14"/>
        <v>40</v>
      </c>
      <c r="FG42" s="201">
        <f t="shared" si="14"/>
        <v>40</v>
      </c>
      <c r="FH42" s="201">
        <f t="shared" si="14"/>
        <v>40</v>
      </c>
      <c r="FI42" s="201">
        <f t="shared" si="14"/>
        <v>40</v>
      </c>
      <c r="FJ42" s="201">
        <f t="shared" si="14"/>
        <v>40</v>
      </c>
      <c r="FK42" s="201">
        <f t="shared" si="14"/>
        <v>40</v>
      </c>
      <c r="FL42" s="201">
        <f t="shared" si="14"/>
        <v>40</v>
      </c>
      <c r="FM42" s="201">
        <f t="shared" si="14"/>
        <v>40</v>
      </c>
      <c r="FN42" s="201">
        <f t="shared" si="14"/>
        <v>40</v>
      </c>
      <c r="FO42" s="201">
        <f t="shared" si="14"/>
        <v>40</v>
      </c>
      <c r="FP42" s="201">
        <f t="shared" si="14"/>
        <v>40</v>
      </c>
      <c r="FQ42" s="201">
        <f t="shared" si="14"/>
        <v>40</v>
      </c>
      <c r="FR42" s="201">
        <f t="shared" si="14"/>
        <v>40</v>
      </c>
      <c r="FS42" s="201">
        <f t="shared" si="14"/>
        <v>40</v>
      </c>
      <c r="FT42" s="201">
        <f t="shared" si="14"/>
        <v>40</v>
      </c>
      <c r="FU42" s="201">
        <f t="shared" si="14"/>
        <v>40</v>
      </c>
      <c r="FV42" s="201">
        <f t="shared" si="14"/>
        <v>40</v>
      </c>
      <c r="FW42" s="201">
        <f t="shared" si="14"/>
        <v>40</v>
      </c>
      <c r="FX42" s="201">
        <f t="shared" si="14"/>
        <v>40</v>
      </c>
      <c r="FY42" s="201">
        <f t="shared" si="14"/>
        <v>40</v>
      </c>
      <c r="FZ42" s="201">
        <f t="shared" si="14"/>
        <v>40</v>
      </c>
      <c r="GA42" s="201">
        <f t="shared" si="14"/>
        <v>40</v>
      </c>
      <c r="GB42" s="201">
        <f t="shared" si="14"/>
        <v>40</v>
      </c>
      <c r="GC42" s="201">
        <f t="shared" si="14"/>
        <v>40</v>
      </c>
      <c r="GD42" s="201">
        <f t="shared" si="14"/>
        <v>40</v>
      </c>
      <c r="GE42" s="201">
        <f t="shared" si="14"/>
        <v>40</v>
      </c>
      <c r="GF42" s="201">
        <f t="shared" si="14"/>
        <v>40</v>
      </c>
      <c r="GG42" s="201">
        <f t="shared" si="14"/>
        <v>40</v>
      </c>
      <c r="GH42" s="201">
        <f t="shared" si="14"/>
        <v>40</v>
      </c>
      <c r="GI42" s="201">
        <f t="shared" si="14"/>
        <v>40</v>
      </c>
      <c r="GJ42" s="201">
        <f t="shared" si="14"/>
        <v>40</v>
      </c>
      <c r="GK42" s="201">
        <f t="shared" si="14"/>
        <v>40</v>
      </c>
      <c r="GL42" s="201">
        <f t="shared" si="14"/>
        <v>40</v>
      </c>
      <c r="GM42" s="201">
        <f t="shared" ref="GM42:IV42" si="15">+GL42-GM41</f>
        <v>40</v>
      </c>
      <c r="GN42" s="201">
        <f t="shared" si="15"/>
        <v>40</v>
      </c>
      <c r="GO42" s="201">
        <f t="shared" si="15"/>
        <v>40</v>
      </c>
      <c r="GP42" s="201">
        <f t="shared" si="15"/>
        <v>40</v>
      </c>
      <c r="GQ42" s="201">
        <f t="shared" si="15"/>
        <v>40</v>
      </c>
      <c r="GR42" s="201">
        <f t="shared" si="15"/>
        <v>40</v>
      </c>
      <c r="GS42" s="201">
        <f t="shared" si="15"/>
        <v>40</v>
      </c>
      <c r="GT42" s="201">
        <f t="shared" si="15"/>
        <v>40</v>
      </c>
      <c r="GU42" s="201">
        <f t="shared" si="15"/>
        <v>40</v>
      </c>
      <c r="GV42" s="201">
        <f t="shared" si="15"/>
        <v>40</v>
      </c>
      <c r="GW42" s="201">
        <f t="shared" si="15"/>
        <v>40</v>
      </c>
      <c r="GX42" s="201">
        <f t="shared" si="15"/>
        <v>40</v>
      </c>
      <c r="GY42" s="201">
        <f t="shared" si="15"/>
        <v>40</v>
      </c>
      <c r="GZ42" s="201">
        <f t="shared" si="15"/>
        <v>40</v>
      </c>
      <c r="HA42" s="201">
        <f t="shared" si="15"/>
        <v>40</v>
      </c>
      <c r="HB42" s="201">
        <f t="shared" si="15"/>
        <v>40</v>
      </c>
      <c r="HC42" s="201">
        <f t="shared" si="15"/>
        <v>40</v>
      </c>
      <c r="HD42" s="201">
        <f t="shared" si="15"/>
        <v>40</v>
      </c>
      <c r="HE42" s="201">
        <f t="shared" si="15"/>
        <v>40</v>
      </c>
      <c r="HF42" s="201">
        <f t="shared" si="15"/>
        <v>40</v>
      </c>
      <c r="HG42" s="201">
        <f t="shared" si="15"/>
        <v>40</v>
      </c>
      <c r="HH42" s="201">
        <f t="shared" si="15"/>
        <v>40</v>
      </c>
      <c r="HI42" s="201">
        <f t="shared" si="15"/>
        <v>40</v>
      </c>
      <c r="HJ42" s="201">
        <f t="shared" si="15"/>
        <v>40</v>
      </c>
      <c r="HK42" s="201">
        <f t="shared" si="15"/>
        <v>40</v>
      </c>
      <c r="HL42" s="201">
        <f t="shared" si="15"/>
        <v>40</v>
      </c>
      <c r="HM42" s="201">
        <f t="shared" si="15"/>
        <v>40</v>
      </c>
      <c r="HN42" s="201">
        <f t="shared" si="15"/>
        <v>40</v>
      </c>
      <c r="HO42" s="201">
        <f t="shared" si="15"/>
        <v>40</v>
      </c>
      <c r="HP42" s="201">
        <f t="shared" si="15"/>
        <v>40</v>
      </c>
      <c r="HQ42" s="201">
        <f t="shared" si="15"/>
        <v>40</v>
      </c>
      <c r="HR42" s="201">
        <f t="shared" si="15"/>
        <v>40</v>
      </c>
      <c r="HS42" s="201">
        <f t="shared" si="15"/>
        <v>40</v>
      </c>
      <c r="HT42" s="201">
        <f t="shared" si="15"/>
        <v>40</v>
      </c>
      <c r="HU42" s="201">
        <f t="shared" si="15"/>
        <v>40</v>
      </c>
      <c r="HV42" s="201">
        <f t="shared" si="15"/>
        <v>40</v>
      </c>
      <c r="HW42" s="201">
        <f t="shared" si="15"/>
        <v>40</v>
      </c>
      <c r="HX42" s="201">
        <f t="shared" si="15"/>
        <v>40</v>
      </c>
      <c r="HY42" s="201">
        <f t="shared" si="15"/>
        <v>40</v>
      </c>
      <c r="HZ42" s="201">
        <f t="shared" si="15"/>
        <v>40</v>
      </c>
      <c r="IA42" s="201">
        <f t="shared" si="15"/>
        <v>40</v>
      </c>
      <c r="IB42" s="201">
        <f t="shared" si="15"/>
        <v>40</v>
      </c>
      <c r="IC42" s="201">
        <f t="shared" si="15"/>
        <v>40</v>
      </c>
      <c r="ID42" s="201">
        <f t="shared" si="15"/>
        <v>40</v>
      </c>
      <c r="IE42" s="201">
        <f t="shared" si="15"/>
        <v>40</v>
      </c>
      <c r="IF42" s="201">
        <f t="shared" si="15"/>
        <v>40</v>
      </c>
      <c r="IG42" s="201">
        <f t="shared" si="15"/>
        <v>40</v>
      </c>
      <c r="IH42" s="201">
        <f t="shared" si="15"/>
        <v>40</v>
      </c>
      <c r="II42" s="201">
        <f t="shared" si="15"/>
        <v>40</v>
      </c>
      <c r="IJ42" s="201">
        <f t="shared" si="15"/>
        <v>40</v>
      </c>
      <c r="IK42" s="201">
        <f t="shared" si="15"/>
        <v>40</v>
      </c>
      <c r="IL42" s="201">
        <f t="shared" si="15"/>
        <v>40</v>
      </c>
      <c r="IM42" s="201">
        <f t="shared" si="15"/>
        <v>40</v>
      </c>
      <c r="IN42" s="201">
        <f t="shared" si="15"/>
        <v>40</v>
      </c>
      <c r="IO42" s="201">
        <f t="shared" si="15"/>
        <v>40</v>
      </c>
      <c r="IP42" s="201">
        <f t="shared" si="15"/>
        <v>40</v>
      </c>
      <c r="IQ42" s="201">
        <f t="shared" si="15"/>
        <v>40</v>
      </c>
      <c r="IR42" s="201">
        <f t="shared" si="15"/>
        <v>40</v>
      </c>
      <c r="IS42" s="201">
        <f t="shared" si="15"/>
        <v>40</v>
      </c>
      <c r="IT42" s="201">
        <f t="shared" si="15"/>
        <v>40</v>
      </c>
      <c r="IU42" s="201">
        <f t="shared" si="15"/>
        <v>40</v>
      </c>
      <c r="IV42" s="201">
        <f t="shared" si="15"/>
        <v>40</v>
      </c>
    </row>
    <row r="43" spans="1:256" x14ac:dyDescent="0.2">
      <c r="A43" s="200"/>
      <c r="B43" s="199"/>
    </row>
    <row r="44" spans="1:256" x14ac:dyDescent="0.2">
      <c r="A44" s="200"/>
      <c r="B44" s="199"/>
    </row>
    <row r="45" spans="1:256" x14ac:dyDescent="0.2">
      <c r="A45" s="200"/>
      <c r="B45" s="199"/>
    </row>
  </sheetData>
  <mergeCells count="1">
    <mergeCell ref="A1:K1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32</vt:i4>
      </vt:variant>
    </vt:vector>
  </HeadingPairs>
  <TitlesOfParts>
    <vt:vector size="39" baseType="lpstr">
      <vt:lpstr>Sprint</vt:lpstr>
      <vt:lpstr>Analysis</vt:lpstr>
      <vt:lpstr>Capacity</vt:lpstr>
      <vt:lpstr>Team Roster</vt:lpstr>
      <vt:lpstr>Project Specific Reports</vt:lpstr>
      <vt:lpstr>Product Backlog</vt:lpstr>
      <vt:lpstr>Burndown chart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estimativa</vt:lpstr>
      <vt:lpstr>Analysis!HoursLeftColumn</vt:lpstr>
      <vt:lpstr>HoursLeftColumn</vt:lpstr>
      <vt:lpstr>Analysis!HoursSpentColumn</vt:lpstr>
      <vt:lpstr>HoursSpentColumn</vt:lpstr>
      <vt:lpstr>itens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'Burndown chart'!Sprint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2011-11-27T18:39:20Z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