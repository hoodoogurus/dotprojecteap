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  <sheet name="Product Backlog" sheetId="10" r:id="rId6"/>
    <sheet name="planning poker" sheetId="11" r:id="rId7"/>
  </sheets>
  <definedNames>
    <definedName name="_xlnm._FilterDatabase" localSheetId="0" hidden="1">Sprint!$C$3:$CE$68</definedName>
    <definedName name="_xlnm.Print_Area" localSheetId="2">Capacity!$A$4:$AB$33</definedName>
    <definedName name="Burndown" localSheetId="1">Sprint!$J$4:$CD$69</definedName>
    <definedName name="Burndown">Sprint!$J$4:$CD$69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Sprint!$CE$4:$CE$69</definedName>
    <definedName name="TotalEffort">Sprint!$CE$4:$CE$69</definedName>
    <definedName name="Worktype">'Project Specific Reports'!$A$2:$A$5</definedName>
  </definedNames>
  <calcPr calcId="145621"/>
</workbook>
</file>

<file path=xl/calcChain.xml><?xml version="1.0" encoding="utf-8"?>
<calcChain xmlns="http://schemas.openxmlformats.org/spreadsheetml/2006/main">
  <c r="BA22" i="7" l="1"/>
  <c r="BD22" i="7" s="1"/>
  <c r="BG22" i="7" s="1"/>
  <c r="BJ22" i="7" s="1"/>
  <c r="BM22" i="7" s="1"/>
  <c r="BP22" i="7" s="1"/>
  <c r="BS22" i="7" s="1"/>
  <c r="BV22" i="7" s="1"/>
  <c r="BY22" i="7" s="1"/>
  <c r="CB22" i="7" s="1"/>
  <c r="L22" i="7"/>
  <c r="K22" i="7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L21" i="7"/>
  <c r="K21" i="7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L14" i="7"/>
  <c r="K14" i="7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L13" i="7"/>
  <c r="K13" i="7"/>
  <c r="N22" i="7" l="1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Q15" i="7" s="1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N13" i="7"/>
  <c r="Q13" i="7" s="1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O22" i="7" l="1"/>
  <c r="G22" i="7" s="1"/>
  <c r="O21" i="7"/>
  <c r="G21" i="7" s="1"/>
  <c r="O14" i="7"/>
  <c r="G14" i="7" s="1"/>
  <c r="O15" i="7"/>
  <c r="G15" i="7" s="1"/>
  <c r="O13" i="7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L26" i="7"/>
  <c r="N19" i="7"/>
  <c r="Q19" i="7" s="1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B13" i="9"/>
  <c r="B14" i="9"/>
  <c r="B15" i="9"/>
  <c r="B16" i="9"/>
  <c r="B17" i="9"/>
  <c r="B18" i="9"/>
  <c r="B19" i="9"/>
  <c r="B20" i="9"/>
  <c r="B21" i="9"/>
  <c r="B22" i="9"/>
  <c r="B23" i="9"/>
  <c r="B24" i="9"/>
  <c r="E2" i="6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R22" i="7" l="1"/>
  <c r="U22" i="7"/>
  <c r="R21" i="7"/>
  <c r="U21" i="7"/>
  <c r="R14" i="7"/>
  <c r="U14" i="7"/>
  <c r="R15" i="7"/>
  <c r="G13" i="7"/>
  <c r="R13" i="7"/>
  <c r="O26" i="7"/>
  <c r="R26" i="7" s="1"/>
  <c r="U26" i="7" s="1"/>
  <c r="O19" i="7"/>
  <c r="G19" i="7" s="1"/>
  <c r="L12" i="7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Q6" i="7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32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16" i="7"/>
  <c r="N17" i="7"/>
  <c r="Q17" i="7" s="1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N18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5" i="7"/>
  <c r="N27" i="7"/>
  <c r="Q27" i="7" s="1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N28" i="7"/>
  <c r="N29" i="7"/>
  <c r="Q29" i="7" s="1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N30" i="7"/>
  <c r="N31" i="7"/>
  <c r="Q31" i="7" s="1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N33" i="7"/>
  <c r="Q33" i="7" s="1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N34" i="7"/>
  <c r="N35" i="7"/>
  <c r="Q35" i="7" s="1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N36" i="7"/>
  <c r="N37" i="7"/>
  <c r="Q37" i="7" s="1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N38" i="7"/>
  <c r="N39" i="7"/>
  <c r="Q39" i="7" s="1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N40" i="7"/>
  <c r="N41" i="7"/>
  <c r="Q41" i="7" s="1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N42" i="7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N47" i="7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N48" i="7"/>
  <c r="N49" i="7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X22" i="7" l="1"/>
  <c r="X21" i="7"/>
  <c r="G26" i="7"/>
  <c r="X14" i="7"/>
  <c r="U15" i="7"/>
  <c r="X15" i="7" s="1"/>
  <c r="AA15" i="7" s="1"/>
  <c r="U13" i="7"/>
  <c r="X13" i="7"/>
  <c r="AA13" i="7" s="1"/>
  <c r="X26" i="7"/>
  <c r="AA26" i="7" s="1"/>
  <c r="R19" i="7"/>
  <c r="O32" i="7"/>
  <c r="O50" i="7"/>
  <c r="O67" i="7"/>
  <c r="R67" i="7" s="1"/>
  <c r="O51" i="7"/>
  <c r="R51" i="7" s="1"/>
  <c r="U51" i="7" s="1"/>
  <c r="G51" i="7"/>
  <c r="X51" i="7"/>
  <c r="G50" i="7"/>
  <c r="Q54" i="7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O54" i="7"/>
  <c r="Q52" i="7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O52" i="7"/>
  <c r="Q48" i="7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O48" i="7"/>
  <c r="Q46" i="7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O46" i="7"/>
  <c r="Q44" i="7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O44" i="7"/>
  <c r="Q42" i="7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42" i="7"/>
  <c r="Q40" i="7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O40" i="7"/>
  <c r="Q38" i="7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O38" i="7"/>
  <c r="Q36" i="7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O36" i="7"/>
  <c r="Q34" i="7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O34" i="7"/>
  <c r="Q30" i="7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O30" i="7"/>
  <c r="Q28" i="7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O28" i="7"/>
  <c r="Q25" i="7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O25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18" i="7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O18" i="7"/>
  <c r="Q16" i="7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O16" i="7"/>
  <c r="O66" i="7"/>
  <c r="R66" i="7" s="1"/>
  <c r="O64" i="7"/>
  <c r="O62" i="7"/>
  <c r="R62" i="7" s="1"/>
  <c r="U62" i="7" s="1"/>
  <c r="G62" i="7" s="1"/>
  <c r="O60" i="7"/>
  <c r="O58" i="7"/>
  <c r="R58" i="7" s="1"/>
  <c r="U58" i="7" s="1"/>
  <c r="G58" i="7" s="1"/>
  <c r="O65" i="7"/>
  <c r="R64" i="7"/>
  <c r="U64" i="7" s="1"/>
  <c r="G64" i="7" s="1"/>
  <c r="O63" i="7"/>
  <c r="O61" i="7"/>
  <c r="R61" i="7" s="1"/>
  <c r="R60" i="7"/>
  <c r="O59" i="7"/>
  <c r="R59" i="7" s="1"/>
  <c r="U59" i="7" s="1"/>
  <c r="G59" i="7" s="1"/>
  <c r="O57" i="7"/>
  <c r="R57" i="7" s="1"/>
  <c r="AA51" i="7"/>
  <c r="O55" i="7"/>
  <c r="O53" i="7"/>
  <c r="R53" i="7" s="1"/>
  <c r="U53" i="7" s="1"/>
  <c r="G53" i="7" s="1"/>
  <c r="O49" i="7"/>
  <c r="O47" i="7"/>
  <c r="O45" i="7"/>
  <c r="O43" i="7"/>
  <c r="O41" i="7"/>
  <c r="O39" i="7"/>
  <c r="R38" i="7"/>
  <c r="U38" i="7" s="1"/>
  <c r="O37" i="7"/>
  <c r="O35" i="7"/>
  <c r="O33" i="7"/>
  <c r="O31" i="7"/>
  <c r="R31" i="7" s="1"/>
  <c r="O7" i="7"/>
  <c r="O5" i="7"/>
  <c r="R5" i="7" s="1"/>
  <c r="O29" i="7"/>
  <c r="O24" i="7"/>
  <c r="R24" i="7" s="1"/>
  <c r="U24" i="7" s="1"/>
  <c r="G24" i="7" s="1"/>
  <c r="O17" i="7"/>
  <c r="R17" i="7" s="1"/>
  <c r="U17" i="7" s="1"/>
  <c r="G17" i="7" s="1"/>
  <c r="O12" i="7"/>
  <c r="R12" i="7" s="1"/>
  <c r="O10" i="7"/>
  <c r="R10" i="7" s="1"/>
  <c r="O9" i="7"/>
  <c r="R9" i="7" s="1"/>
  <c r="O8" i="7"/>
  <c r="Q56" i="7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56" i="7"/>
  <c r="R63" i="7"/>
  <c r="U63" i="7" s="1"/>
  <c r="G63" i="7" s="1"/>
  <c r="R55" i="7"/>
  <c r="R32" i="7"/>
  <c r="R29" i="7"/>
  <c r="U29" i="7" s="1"/>
  <c r="G29" i="7" s="1"/>
  <c r="O6" i="7"/>
  <c r="O27" i="7"/>
  <c r="O20" i="7"/>
  <c r="O11" i="7"/>
  <c r="R8" i="7"/>
  <c r="U8" i="7" s="1"/>
  <c r="G8" i="7" s="1"/>
  <c r="Q68" i="7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O68" i="7"/>
  <c r="AA22" i="7" l="1"/>
  <c r="AD22" i="7" s="1"/>
  <c r="AG22" i="7" s="1"/>
  <c r="AJ22" i="7" s="1"/>
  <c r="AM22" i="7" s="1"/>
  <c r="AP22" i="7" s="1"/>
  <c r="AS22" i="7" s="1"/>
  <c r="AV22" i="7" s="1"/>
  <c r="AY22" i="7" s="1"/>
  <c r="AA21" i="7"/>
  <c r="AA14" i="7"/>
  <c r="AD15" i="7"/>
  <c r="AG15" i="7" s="1"/>
  <c r="AD13" i="7"/>
  <c r="AG13" i="7"/>
  <c r="AJ13" i="7" s="1"/>
  <c r="AD26" i="7"/>
  <c r="AG26" i="7" s="1"/>
  <c r="U19" i="7"/>
  <c r="X19" i="7"/>
  <c r="R46" i="7"/>
  <c r="R16" i="7"/>
  <c r="U16" i="7" s="1"/>
  <c r="R18" i="7"/>
  <c r="U18" i="7" s="1"/>
  <c r="R23" i="7"/>
  <c r="U23" i="7" s="1"/>
  <c r="R25" i="7"/>
  <c r="R28" i="7"/>
  <c r="R30" i="7"/>
  <c r="R34" i="7"/>
  <c r="U34" i="7" s="1"/>
  <c r="R36" i="7"/>
  <c r="R40" i="7"/>
  <c r="U40" i="7" s="1"/>
  <c r="R42" i="7"/>
  <c r="R44" i="7"/>
  <c r="U44" i="7" s="1"/>
  <c r="R48" i="7"/>
  <c r="R52" i="7"/>
  <c r="U52" i="7" s="1"/>
  <c r="R54" i="7"/>
  <c r="R7" i="7"/>
  <c r="U7" i="7" s="1"/>
  <c r="R35" i="7"/>
  <c r="U35" i="7" s="1"/>
  <c r="U60" i="7"/>
  <c r="X60" i="7" s="1"/>
  <c r="AA60" i="7" s="1"/>
  <c r="U67" i="7"/>
  <c r="G38" i="7"/>
  <c r="X38" i="7"/>
  <c r="G60" i="7"/>
  <c r="R50" i="7"/>
  <c r="U5" i="7"/>
  <c r="G5" i="7" s="1"/>
  <c r="X64" i="7"/>
  <c r="AA64" i="7" s="1"/>
  <c r="U66" i="7"/>
  <c r="G66" i="7" s="1"/>
  <c r="U42" i="7"/>
  <c r="AD51" i="7"/>
  <c r="AG51" i="7" s="1"/>
  <c r="G18" i="7"/>
  <c r="X18" i="7"/>
  <c r="G52" i="7"/>
  <c r="X52" i="7"/>
  <c r="AA52" i="7" s="1"/>
  <c r="G42" i="7"/>
  <c r="X42" i="7"/>
  <c r="AA42" i="7" s="1"/>
  <c r="AD42" i="7" s="1"/>
  <c r="U32" i="7"/>
  <c r="G32" i="7" s="1"/>
  <c r="X5" i="7"/>
  <c r="AA5" i="7" s="1"/>
  <c r="AD5" i="7" s="1"/>
  <c r="R11" i="7"/>
  <c r="U11" i="7" s="1"/>
  <c r="G11" i="7" s="1"/>
  <c r="U12" i="7"/>
  <c r="X8" i="7"/>
  <c r="U10" i="7"/>
  <c r="X10" i="7" s="1"/>
  <c r="AA10" i="7" s="1"/>
  <c r="AD10" i="7" s="1"/>
  <c r="X17" i="7"/>
  <c r="AA17" i="7" s="1"/>
  <c r="R27" i="7"/>
  <c r="U27" i="7" s="1"/>
  <c r="G27" i="7" s="1"/>
  <c r="X29" i="7"/>
  <c r="R33" i="7"/>
  <c r="U36" i="7"/>
  <c r="R41" i="7"/>
  <c r="R43" i="7"/>
  <c r="R49" i="7"/>
  <c r="R56" i="7"/>
  <c r="X53" i="7"/>
  <c r="AA53" i="7" s="1"/>
  <c r="AA18" i="7"/>
  <c r="AD18" i="7" s="1"/>
  <c r="AG18" i="7" s="1"/>
  <c r="U28" i="7"/>
  <c r="G28" i="7" s="1"/>
  <c r="U46" i="7"/>
  <c r="U48" i="7"/>
  <c r="U54" i="7"/>
  <c r="R65" i="7"/>
  <c r="G67" i="7"/>
  <c r="X67" i="7"/>
  <c r="AA67" i="7" s="1"/>
  <c r="U9" i="7"/>
  <c r="X9" i="7" s="1"/>
  <c r="AA9" i="7" s="1"/>
  <c r="R39" i="7"/>
  <c r="R45" i="7"/>
  <c r="U55" i="7"/>
  <c r="X55" i="7" s="1"/>
  <c r="U57" i="7"/>
  <c r="X58" i="7"/>
  <c r="U61" i="7"/>
  <c r="X62" i="7"/>
  <c r="AA8" i="7"/>
  <c r="AA29" i="7"/>
  <c r="R6" i="7"/>
  <c r="R20" i="7"/>
  <c r="X24" i="7"/>
  <c r="U31" i="7"/>
  <c r="X32" i="7"/>
  <c r="R37" i="7"/>
  <c r="AA38" i="7"/>
  <c r="R47" i="7"/>
  <c r="X59" i="7"/>
  <c r="X63" i="7"/>
  <c r="U25" i="7"/>
  <c r="U30" i="7"/>
  <c r="R68" i="7"/>
  <c r="U68" i="7" s="1"/>
  <c r="X68" i="7" s="1"/>
  <c r="AA68" i="7" s="1"/>
  <c r="CE22" i="7" l="1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AD21" i="7"/>
  <c r="AG21" i="7" s="1"/>
  <c r="AJ21" i="7" s="1"/>
  <c r="AM21" i="7" s="1"/>
  <c r="AP21" i="7" s="1"/>
  <c r="AS21" i="7" s="1"/>
  <c r="AV21" i="7" s="1"/>
  <c r="AY21" i="7" s="1"/>
  <c r="AD14" i="7"/>
  <c r="AG14" i="7" s="1"/>
  <c r="AJ14" i="7" s="1"/>
  <c r="AM14" i="7" s="1"/>
  <c r="AP14" i="7" s="1"/>
  <c r="AS14" i="7" s="1"/>
  <c r="AV14" i="7" s="1"/>
  <c r="AY14" i="7" s="1"/>
  <c r="AJ15" i="7"/>
  <c r="AM15" i="7" s="1"/>
  <c r="AP15" i="7"/>
  <c r="AS15" i="7" s="1"/>
  <c r="AV15" i="7" s="1"/>
  <c r="AY15" i="7" s="1"/>
  <c r="AM13" i="7"/>
  <c r="AP13" i="7"/>
  <c r="AS13" i="7" s="1"/>
  <c r="AV13" i="7" s="1"/>
  <c r="AY13" i="7" s="1"/>
  <c r="CE13" i="7" s="1"/>
  <c r="X28" i="7"/>
  <c r="AA28" i="7" s="1"/>
  <c r="AJ26" i="7"/>
  <c r="AA19" i="7"/>
  <c r="AD19" i="7" s="1"/>
  <c r="AG19" i="7" s="1"/>
  <c r="AJ19" i="7" s="1"/>
  <c r="AM19" i="7" s="1"/>
  <c r="AP19" i="7" s="1"/>
  <c r="AS19" i="7" s="1"/>
  <c r="AV19" i="7" s="1"/>
  <c r="AY19" i="7" s="1"/>
  <c r="X11" i="7"/>
  <c r="AA11" i="7" s="1"/>
  <c r="G16" i="7"/>
  <c r="X16" i="7"/>
  <c r="AA16" i="7" s="1"/>
  <c r="G35" i="7"/>
  <c r="X35" i="7"/>
  <c r="AA35" i="7" s="1"/>
  <c r="G7" i="7"/>
  <c r="X7" i="7"/>
  <c r="AA7" i="7" s="1"/>
  <c r="AD52" i="7"/>
  <c r="AG52" i="7" s="1"/>
  <c r="AJ52" i="7" s="1"/>
  <c r="X66" i="7"/>
  <c r="U50" i="7"/>
  <c r="AD67" i="7"/>
  <c r="AG67" i="7" s="1"/>
  <c r="G30" i="7"/>
  <c r="X30" i="7"/>
  <c r="G25" i="7"/>
  <c r="X25" i="7"/>
  <c r="U37" i="7"/>
  <c r="G37" i="7" s="1"/>
  <c r="G61" i="7"/>
  <c r="G55" i="7"/>
  <c r="U39" i="7"/>
  <c r="G9" i="7"/>
  <c r="AD9" i="7"/>
  <c r="G54" i="7"/>
  <c r="X54" i="7"/>
  <c r="G46" i="7"/>
  <c r="X46" i="7"/>
  <c r="AA46" i="7" s="1"/>
  <c r="G23" i="7"/>
  <c r="AD53" i="7"/>
  <c r="AG53" i="7" s="1"/>
  <c r="U49" i="7"/>
  <c r="U43" i="7"/>
  <c r="X43" i="7" s="1"/>
  <c r="G36" i="7"/>
  <c r="X36" i="7"/>
  <c r="U33" i="7"/>
  <c r="AD8" i="7"/>
  <c r="AG8" i="7" s="1"/>
  <c r="AA55" i="7"/>
  <c r="AD55" i="7" s="1"/>
  <c r="U6" i="7"/>
  <c r="G6" i="7" s="1"/>
  <c r="X27" i="7"/>
  <c r="AA27" i="7" s="1"/>
  <c r="AD16" i="7"/>
  <c r="AG16" i="7" s="1"/>
  <c r="AJ16" i="7" s="1"/>
  <c r="AG5" i="7"/>
  <c r="AA25" i="7"/>
  <c r="AA62" i="7"/>
  <c r="AD62" i="7" s="1"/>
  <c r="AA58" i="7"/>
  <c r="AD58" i="7" s="1"/>
  <c r="AA63" i="7"/>
  <c r="AA59" i="7"/>
  <c r="AG42" i="7"/>
  <c r="X39" i="7"/>
  <c r="X23" i="7"/>
  <c r="AG10" i="7"/>
  <c r="AJ10" i="7" s="1"/>
  <c r="AJ51" i="7"/>
  <c r="AM51" i="7" s="1"/>
  <c r="AP51" i="7" s="1"/>
  <c r="U47" i="7"/>
  <c r="G40" i="7"/>
  <c r="X40" i="7"/>
  <c r="AA40" i="7" s="1"/>
  <c r="G31" i="7"/>
  <c r="X31" i="7"/>
  <c r="G57" i="7"/>
  <c r="U45" i="7"/>
  <c r="X45" i="7" s="1"/>
  <c r="G34" i="7"/>
  <c r="X34" i="7"/>
  <c r="AA34" i="7" s="1"/>
  <c r="U65" i="7"/>
  <c r="X65" i="7" s="1"/>
  <c r="G48" i="7"/>
  <c r="X48" i="7"/>
  <c r="G44" i="7"/>
  <c r="X44" i="7"/>
  <c r="AA44" i="7" s="1"/>
  <c r="U56" i="7"/>
  <c r="U41" i="7"/>
  <c r="G10" i="7"/>
  <c r="G12" i="7"/>
  <c r="X12" i="7"/>
  <c r="AD38" i="7"/>
  <c r="AD29" i="7"/>
  <c r="AD17" i="7"/>
  <c r="AG17" i="7" s="1"/>
  <c r="AD28" i="7"/>
  <c r="AA30" i="7"/>
  <c r="X61" i="7"/>
  <c r="X57" i="7"/>
  <c r="AD64" i="7"/>
  <c r="AD60" i="7"/>
  <c r="AA24" i="7"/>
  <c r="AD24" i="7" s="1"/>
  <c r="U20" i="7"/>
  <c r="G20" i="7" s="1"/>
  <c r="AA32" i="7"/>
  <c r="AJ18" i="7"/>
  <c r="AD68" i="7"/>
  <c r="CE21" i="7" l="1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CE14" i="7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CE15" i="7"/>
  <c r="BB15" i="7"/>
  <c r="BE15" i="7" s="1"/>
  <c r="BH15" i="7" s="1"/>
  <c r="BK15" i="7" s="1"/>
  <c r="BN15" i="7" s="1"/>
  <c r="BQ15" i="7" s="1"/>
  <c r="BT15" i="7" s="1"/>
  <c r="BW15" i="7" s="1"/>
  <c r="BZ15" i="7" s="1"/>
  <c r="CC15" i="7" s="1"/>
  <c r="CC13" i="7"/>
  <c r="BB13" i="7"/>
  <c r="BE13" i="7" s="1"/>
  <c r="BH13" i="7" s="1"/>
  <c r="BN13" i="7"/>
  <c r="BQ13" i="7"/>
  <c r="BT13" i="7" s="1"/>
  <c r="BW13" i="7" s="1"/>
  <c r="BZ13" i="7" s="1"/>
  <c r="BK13" i="7"/>
  <c r="AM26" i="7"/>
  <c r="AP26" i="7" s="1"/>
  <c r="AS26" i="7" s="1"/>
  <c r="AV26" i="7" s="1"/>
  <c r="AY26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AD7" i="7"/>
  <c r="AG7" i="7" s="1"/>
  <c r="AJ7" i="7" s="1"/>
  <c r="AD35" i="7"/>
  <c r="AG35" i="7" s="1"/>
  <c r="AA66" i="7"/>
  <c r="AD66" i="7" s="1"/>
  <c r="X50" i="7"/>
  <c r="X37" i="7"/>
  <c r="AA37" i="7" s="1"/>
  <c r="AA50" i="7"/>
  <c r="AS51" i="7"/>
  <c r="AV51" i="7" s="1"/>
  <c r="AY51" i="7" s="1"/>
  <c r="AJ17" i="7"/>
  <c r="AA12" i="7"/>
  <c r="G41" i="7"/>
  <c r="G56" i="7"/>
  <c r="G65" i="7"/>
  <c r="G47" i="7"/>
  <c r="AG58" i="7"/>
  <c r="AD27" i="7"/>
  <c r="AJ8" i="7"/>
  <c r="G33" i="7"/>
  <c r="G43" i="7"/>
  <c r="AA43" i="7"/>
  <c r="AD43" i="7" s="1"/>
  <c r="AG43" i="7" s="1"/>
  <c r="AJ53" i="7"/>
  <c r="AD46" i="7"/>
  <c r="AG46" i="7" s="1"/>
  <c r="AJ46" i="7" s="1"/>
  <c r="AA54" i="7"/>
  <c r="AD54" i="7" s="1"/>
  <c r="AD40" i="7"/>
  <c r="X41" i="7"/>
  <c r="AM7" i="7"/>
  <c r="AA31" i="7"/>
  <c r="AG28" i="7"/>
  <c r="AG29" i="7"/>
  <c r="AD31" i="7"/>
  <c r="AD32" i="7"/>
  <c r="AG32" i="7" s="1"/>
  <c r="AJ32" i="7" s="1"/>
  <c r="AG38" i="7"/>
  <c r="X47" i="7"/>
  <c r="X33" i="7"/>
  <c r="X49" i="7"/>
  <c r="AA49" i="7" s="1"/>
  <c r="AD49" i="7" s="1"/>
  <c r="AG9" i="7"/>
  <c r="AG55" i="7"/>
  <c r="AJ58" i="7"/>
  <c r="X6" i="7"/>
  <c r="AA6" i="7" s="1"/>
  <c r="AG24" i="7"/>
  <c r="AD59" i="7"/>
  <c r="AG59" i="7" s="1"/>
  <c r="AG60" i="7"/>
  <c r="AD25" i="7"/>
  <c r="AJ42" i="7"/>
  <c r="AJ67" i="7"/>
  <c r="AD44" i="7"/>
  <c r="AD34" i="7"/>
  <c r="G45" i="7"/>
  <c r="AA45" i="7"/>
  <c r="AD45" i="7" s="1"/>
  <c r="AA23" i="7"/>
  <c r="AG62" i="7"/>
  <c r="AJ62" i="7" s="1"/>
  <c r="AJ5" i="7"/>
  <c r="G49" i="7"/>
  <c r="G39" i="7"/>
  <c r="AA39" i="7"/>
  <c r="AD39" i="7" s="1"/>
  <c r="AG39" i="7" s="1"/>
  <c r="AD30" i="7"/>
  <c r="AG30" i="7" s="1"/>
  <c r="AM16" i="7"/>
  <c r="X56" i="7"/>
  <c r="AA65" i="7"/>
  <c r="AM10" i="7"/>
  <c r="AP10" i="7" s="1"/>
  <c r="AD11" i="7"/>
  <c r="AA57" i="7"/>
  <c r="AA61" i="7"/>
  <c r="AM18" i="7"/>
  <c r="AM52" i="7"/>
  <c r="AA47" i="7"/>
  <c r="AD47" i="7" s="1"/>
  <c r="AA36" i="7"/>
  <c r="AD23" i="7"/>
  <c r="X20" i="7"/>
  <c r="AJ60" i="7"/>
  <c r="AM60" i="7" s="1"/>
  <c r="AP60" i="7" s="1"/>
  <c r="AS60" i="7" s="1"/>
  <c r="AV60" i="7" s="1"/>
  <c r="AY60" i="7" s="1"/>
  <c r="AD63" i="7"/>
  <c r="AG64" i="7"/>
  <c r="AA48" i="7"/>
  <c r="AG68" i="7"/>
  <c r="AJ35" i="7" l="1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26" i="7"/>
  <c r="AG66" i="7"/>
  <c r="AJ66" i="7" s="1"/>
  <c r="AD50" i="7"/>
  <c r="AG50" i="7"/>
  <c r="AJ50" i="7" s="1"/>
  <c r="AS10" i="7"/>
  <c r="AV10" i="7" s="1"/>
  <c r="AY10" i="7" s="1"/>
  <c r="AJ39" i="7"/>
  <c r="AM46" i="7"/>
  <c r="AM62" i="7"/>
  <c r="AP62" i="7" s="1"/>
  <c r="AS62" i="7" s="1"/>
  <c r="AV62" i="7" s="1"/>
  <c r="AY62" i="7" s="1"/>
  <c r="BB60" i="7"/>
  <c r="BE60" i="7" s="1"/>
  <c r="BH60" i="7" s="1"/>
  <c r="CE60" i="7"/>
  <c r="AP46" i="7"/>
  <c r="AS46" i="7" s="1"/>
  <c r="AV46" i="7" s="1"/>
  <c r="AY46" i="7" s="1"/>
  <c r="CE51" i="7"/>
  <c r="BE51" i="7"/>
  <c r="BB51" i="7"/>
  <c r="BW51" i="7"/>
  <c r="BZ51" i="7" s="1"/>
  <c r="CC51" i="7"/>
  <c r="AP52" i="7"/>
  <c r="AS52" i="7" s="1"/>
  <c r="AV52" i="7" s="1"/>
  <c r="AY52" i="7" s="1"/>
  <c r="AG23" i="7"/>
  <c r="AJ23" i="7" s="1"/>
  <c r="AM42" i="7"/>
  <c r="AP42" i="7" s="1"/>
  <c r="AJ55" i="7"/>
  <c r="AM55" i="7" s="1"/>
  <c r="AP55" i="7" s="1"/>
  <c r="AS55" i="7" s="1"/>
  <c r="AV55" i="7" s="1"/>
  <c r="AY55" i="7" s="1"/>
  <c r="CE55" i="7" s="1"/>
  <c r="AJ9" i="7"/>
  <c r="AM9" i="7" s="1"/>
  <c r="AP9" i="7" s="1"/>
  <c r="AS9" i="7" s="1"/>
  <c r="AV9" i="7" s="1"/>
  <c r="AY9" i="7" s="1"/>
  <c r="CE9" i="7" s="1"/>
  <c r="AJ38" i="7"/>
  <c r="AM38" i="7" s="1"/>
  <c r="AP38" i="7" s="1"/>
  <c r="AS38" i="7" s="1"/>
  <c r="AV38" i="7" s="1"/>
  <c r="AY38" i="7" s="1"/>
  <c r="AA20" i="7"/>
  <c r="AD20" i="7" s="1"/>
  <c r="AG20" i="7" s="1"/>
  <c r="AJ20" i="7" s="1"/>
  <c r="AM20" i="7" s="1"/>
  <c r="AP20" i="7" s="1"/>
  <c r="AS20" i="7" s="1"/>
  <c r="AP18" i="7"/>
  <c r="AS18" i="7" s="1"/>
  <c r="AV18" i="7" s="1"/>
  <c r="AY18" i="7" s="1"/>
  <c r="CE18" i="7" s="1"/>
  <c r="AD36" i="7"/>
  <c r="AG36" i="7" s="1"/>
  <c r="AJ36" i="7" s="1"/>
  <c r="AM36" i="7" s="1"/>
  <c r="AP36" i="7" s="1"/>
  <c r="AS36" i="7" s="1"/>
  <c r="AV36" i="7" s="1"/>
  <c r="AY36" i="7" s="1"/>
  <c r="AD57" i="7"/>
  <c r="AG57" i="7" s="1"/>
  <c r="AJ57" i="7" s="1"/>
  <c r="AM57" i="7" s="1"/>
  <c r="AP57" i="7" s="1"/>
  <c r="AS57" i="7" s="1"/>
  <c r="AV57" i="7" s="1"/>
  <c r="AY57" i="7" s="1"/>
  <c r="AJ30" i="7"/>
  <c r="AG63" i="7"/>
  <c r="AJ63" i="7" s="1"/>
  <c r="AM63" i="7" s="1"/>
  <c r="AP63" i="7" s="1"/>
  <c r="AS63" i="7" s="1"/>
  <c r="AV63" i="7" s="1"/>
  <c r="AY63" i="7" s="1"/>
  <c r="CC60" i="7"/>
  <c r="AG47" i="7"/>
  <c r="AJ47" i="7" s="1"/>
  <c r="AM47" i="7" s="1"/>
  <c r="AP47" i="7" s="1"/>
  <c r="AG45" i="7"/>
  <c r="AJ24" i="7"/>
  <c r="AD61" i="7"/>
  <c r="AP7" i="7"/>
  <c r="AS7" i="7" s="1"/>
  <c r="AV7" i="7" s="1"/>
  <c r="AY7" i="7" s="1"/>
  <c r="CE7" i="7" s="1"/>
  <c r="AD37" i="7"/>
  <c r="AM67" i="7"/>
  <c r="AG25" i="7"/>
  <c r="AJ59" i="7"/>
  <c r="AM59" i="7" s="1"/>
  <c r="AP59" i="7" s="1"/>
  <c r="AS59" i="7" s="1"/>
  <c r="AV59" i="7" s="1"/>
  <c r="AY59" i="7" s="1"/>
  <c r="AD6" i="7"/>
  <c r="AG6" i="7" s="1"/>
  <c r="AJ6" i="7" s="1"/>
  <c r="AM6" i="7" s="1"/>
  <c r="AP6" i="7" s="1"/>
  <c r="AS6" i="7" s="1"/>
  <c r="AV6" i="7" s="1"/>
  <c r="AY6" i="7" s="1"/>
  <c r="AM35" i="7"/>
  <c r="AP35" i="7" s="1"/>
  <c r="AG40" i="7"/>
  <c r="AG54" i="7"/>
  <c r="AM53" i="7"/>
  <c r="AM8" i="7"/>
  <c r="AP8" i="7" s="1"/>
  <c r="AS8" i="7" s="1"/>
  <c r="AV8" i="7" s="1"/>
  <c r="AY8" i="7" s="1"/>
  <c r="AG27" i="7"/>
  <c r="AJ27" i="7" s="1"/>
  <c r="AM27" i="7" s="1"/>
  <c r="AP27" i="7" s="1"/>
  <c r="AS27" i="7" s="1"/>
  <c r="AV27" i="7" s="1"/>
  <c r="AY27" i="7" s="1"/>
  <c r="AM17" i="7"/>
  <c r="AP17" i="7" s="1"/>
  <c r="AS17" i="7" s="1"/>
  <c r="AV17" i="7" s="1"/>
  <c r="AY17" i="7" s="1"/>
  <c r="AG11" i="7"/>
  <c r="AJ11" i="7" s="1"/>
  <c r="AM11" i="7" s="1"/>
  <c r="AP11" i="7" s="1"/>
  <c r="AS11" i="7" s="1"/>
  <c r="AV11" i="7" s="1"/>
  <c r="AY11" i="7" s="1"/>
  <c r="AM5" i="7"/>
  <c r="AD48" i="7"/>
  <c r="AG48" i="7" s="1"/>
  <c r="AJ48" i="7" s="1"/>
  <c r="AM48" i="7" s="1"/>
  <c r="AP48" i="7" s="1"/>
  <c r="AS48" i="7" s="1"/>
  <c r="AG44" i="7"/>
  <c r="AJ44" i="7" s="1"/>
  <c r="AM44" i="7" s="1"/>
  <c r="AP44" i="7" s="1"/>
  <c r="AJ64" i="7"/>
  <c r="AM64" i="7" s="1"/>
  <c r="AP64" i="7" s="1"/>
  <c r="AS64" i="7" s="1"/>
  <c r="AV64" i="7" s="1"/>
  <c r="AY64" i="7" s="1"/>
  <c r="CE64" i="7" s="1"/>
  <c r="BK60" i="7"/>
  <c r="BN60" i="7" s="1"/>
  <c r="BQ60" i="7" s="1"/>
  <c r="BT60" i="7" s="1"/>
  <c r="BW60" i="7" s="1"/>
  <c r="BZ60" i="7" s="1"/>
  <c r="AG61" i="7"/>
  <c r="AJ61" i="7" s="1"/>
  <c r="AM61" i="7" s="1"/>
  <c r="AP61" i="7" s="1"/>
  <c r="AS61" i="7" s="1"/>
  <c r="AV61" i="7" s="1"/>
  <c r="AY61" i="7" s="1"/>
  <c r="CE61" i="7" s="1"/>
  <c r="AG49" i="7"/>
  <c r="AJ28" i="7"/>
  <c r="AM32" i="7"/>
  <c r="AP32" i="7" s="1"/>
  <c r="AS32" i="7" s="1"/>
  <c r="AG34" i="7"/>
  <c r="AJ43" i="7"/>
  <c r="AA33" i="7"/>
  <c r="AM58" i="7"/>
  <c r="BH51" i="7"/>
  <c r="BK51" i="7" s="1"/>
  <c r="BN51" i="7" s="1"/>
  <c r="BQ51" i="7" s="1"/>
  <c r="BT51" i="7" s="1"/>
  <c r="AG31" i="7"/>
  <c r="AJ31" i="7" s="1"/>
  <c r="AM31" i="7" s="1"/>
  <c r="AP31" i="7" s="1"/>
  <c r="AS31" i="7" s="1"/>
  <c r="AD65" i="7"/>
  <c r="AA56" i="7"/>
  <c r="AA41" i="7"/>
  <c r="AD41" i="7" s="1"/>
  <c r="AD12" i="7"/>
  <c r="AJ29" i="7"/>
  <c r="AM29" i="7" s="1"/>
  <c r="AP29" i="7" s="1"/>
  <c r="AS29" i="7" s="1"/>
  <c r="AV29" i="7" s="1"/>
  <c r="AY29" i="7" s="1"/>
  <c r="AP16" i="7"/>
  <c r="AS16" i="7" s="1"/>
  <c r="AV16" i="7" s="1"/>
  <c r="AY16" i="7" s="1"/>
  <c r="AJ68" i="7"/>
  <c r="AV32" i="7" l="1"/>
  <c r="AM66" i="7"/>
  <c r="AP66" i="7" s="1"/>
  <c r="AS66" i="7" s="1"/>
  <c r="AV66" i="7" s="1"/>
  <c r="AY66" i="7" s="1"/>
  <c r="CE66" i="7" s="1"/>
  <c r="BT18" i="7"/>
  <c r="BW18" i="7" s="1"/>
  <c r="BZ18" i="7" s="1"/>
  <c r="CC18" i="7" s="1"/>
  <c r="BN18" i="7"/>
  <c r="BQ18" i="7" s="1"/>
  <c r="AM50" i="7"/>
  <c r="AP50" i="7" s="1"/>
  <c r="AM39" i="7"/>
  <c r="BB18" i="7"/>
  <c r="BE18" i="7" s="1"/>
  <c r="BH18" i="7" s="1"/>
  <c r="BK18" i="7" s="1"/>
  <c r="BB10" i="7"/>
  <c r="BE10" i="7"/>
  <c r="BH10" i="7" s="1"/>
  <c r="CC10" i="7"/>
  <c r="AV20" i="7"/>
  <c r="AY20" i="7" s="1"/>
  <c r="CE10" i="7"/>
  <c r="BK10" i="7"/>
  <c r="BN10" i="7" s="1"/>
  <c r="BQ10" i="7" s="1"/>
  <c r="BT10" i="7" s="1"/>
  <c r="BW10" i="7" s="1"/>
  <c r="BZ10" i="7" s="1"/>
  <c r="AS42" i="7"/>
  <c r="AV42" i="7" s="1"/>
  <c r="AY42" i="7" s="1"/>
  <c r="AS35" i="7"/>
  <c r="AV35" i="7" s="1"/>
  <c r="AY35" i="7" s="1"/>
  <c r="CE29" i="7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7" i="7"/>
  <c r="BB27" i="7"/>
  <c r="BE27" i="7" s="1"/>
  <c r="BH27" i="7" s="1"/>
  <c r="BK27" i="7" s="1"/>
  <c r="CE8" i="7"/>
  <c r="BB8" i="7"/>
  <c r="BE8" i="7" s="1"/>
  <c r="BH8" i="7" s="1"/>
  <c r="BK8" i="7" s="1"/>
  <c r="BN8" i="7" s="1"/>
  <c r="BQ8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63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CE38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62" i="7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CE16" i="7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CE17" i="7"/>
  <c r="BB17" i="7"/>
  <c r="BE17" i="7" s="1"/>
  <c r="BH17" i="7" s="1"/>
  <c r="BK17" i="7" s="1"/>
  <c r="BN17" i="7" s="1"/>
  <c r="BQ17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36" i="7"/>
  <c r="BE36" i="7" s="1"/>
  <c r="BH36" i="7" s="1"/>
  <c r="BK36" i="7" s="1"/>
  <c r="BN36" i="7" s="1"/>
  <c r="BQ36" i="7" s="1"/>
  <c r="CE36" i="7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CE46" i="7"/>
  <c r="CC9" i="7"/>
  <c r="AP67" i="7"/>
  <c r="AS67" i="7" s="1"/>
  <c r="AG37" i="7"/>
  <c r="AJ37" i="7" s="1"/>
  <c r="AM37" i="7" s="1"/>
  <c r="AP37" i="7" s="1"/>
  <c r="AM24" i="7"/>
  <c r="AP24" i="7" s="1"/>
  <c r="AS24" i="7" s="1"/>
  <c r="AV24" i="7" s="1"/>
  <c r="AY24" i="7" s="1"/>
  <c r="CE24" i="7" s="1"/>
  <c r="AM30" i="7"/>
  <c r="AP30" i="7" s="1"/>
  <c r="AS30" i="7" s="1"/>
  <c r="AV30" i="7" s="1"/>
  <c r="AY30" i="7" s="1"/>
  <c r="BZ55" i="7"/>
  <c r="CC55" i="7" s="1"/>
  <c r="BB55" i="7"/>
  <c r="BE55" i="7" s="1"/>
  <c r="BH55" i="7" s="1"/>
  <c r="BK55" i="7" s="1"/>
  <c r="BN55" i="7" s="1"/>
  <c r="BQ55" i="7" s="1"/>
  <c r="BT55" i="7" s="1"/>
  <c r="BW55" i="7" s="1"/>
  <c r="BT17" i="7"/>
  <c r="BW17" i="7" s="1"/>
  <c r="BZ17" i="7" s="1"/>
  <c r="CC17" i="7" s="1"/>
  <c r="AV31" i="7"/>
  <c r="AY31" i="7" s="1"/>
  <c r="AY32" i="7"/>
  <c r="BN32" i="7" s="1"/>
  <c r="BQ32" i="7" s="1"/>
  <c r="BT32" i="7" s="1"/>
  <c r="BW32" i="7" s="1"/>
  <c r="BZ32" i="7" s="1"/>
  <c r="CC32" i="7" s="1"/>
  <c r="AV48" i="7"/>
  <c r="AY48" i="7" s="1"/>
  <c r="AJ45" i="7"/>
  <c r="AM45" i="7" s="1"/>
  <c r="AP45" i="7" s="1"/>
  <c r="AS45" i="7" s="1"/>
  <c r="AV45" i="7" s="1"/>
  <c r="AY45" i="7" s="1"/>
  <c r="CE45" i="7" s="1"/>
  <c r="BB9" i="7"/>
  <c r="BE9" i="7" s="1"/>
  <c r="BH9" i="7" s="1"/>
  <c r="BK9" i="7" s="1"/>
  <c r="BN9" i="7" s="1"/>
  <c r="BQ9" i="7" s="1"/>
  <c r="BT9" i="7" s="1"/>
  <c r="BW9" i="7" s="1"/>
  <c r="BZ9" i="7" s="1"/>
  <c r="BT36" i="7"/>
  <c r="BW36" i="7" s="1"/>
  <c r="BZ36" i="7" s="1"/>
  <c r="CC36" i="7" s="1"/>
  <c r="AG12" i="7"/>
  <c r="AJ12" i="7" s="1"/>
  <c r="AM12" i="7" s="1"/>
  <c r="AP12" i="7" s="1"/>
  <c r="AS12" i="7" s="1"/>
  <c r="AG41" i="7"/>
  <c r="AJ41" i="7" s="1"/>
  <c r="AM41" i="7" s="1"/>
  <c r="AP41" i="7" s="1"/>
  <c r="AG65" i="7"/>
  <c r="AJ34" i="7"/>
  <c r="AM34" i="7" s="1"/>
  <c r="AP34" i="7" s="1"/>
  <c r="AS34" i="7" s="1"/>
  <c r="AV34" i="7" s="1"/>
  <c r="AY34" i="7" s="1"/>
  <c r="AJ49" i="7"/>
  <c r="AM49" i="7" s="1"/>
  <c r="AP49" i="7" s="1"/>
  <c r="AS49" i="7" s="1"/>
  <c r="AS44" i="7"/>
  <c r="AV44" i="7" s="1"/>
  <c r="AY44" i="7" s="1"/>
  <c r="BZ8" i="7"/>
  <c r="CC8" i="7" s="1"/>
  <c r="BT8" i="7"/>
  <c r="BW8" i="7" s="1"/>
  <c r="AJ40" i="7"/>
  <c r="AM40" i="7" s="1"/>
  <c r="AP40" i="7" s="1"/>
  <c r="AS40" i="7" s="1"/>
  <c r="AV40" i="7" s="1"/>
  <c r="AY40" i="7" s="1"/>
  <c r="AJ25" i="7"/>
  <c r="AM25" i="7" s="1"/>
  <c r="AP25" i="7" s="1"/>
  <c r="AS25" i="7" s="1"/>
  <c r="AV25" i="7" s="1"/>
  <c r="AY25" i="7" s="1"/>
  <c r="AD56" i="7"/>
  <c r="AG56" i="7" s="1"/>
  <c r="AJ56" i="7" s="1"/>
  <c r="AM56" i="7" s="1"/>
  <c r="AP56" i="7" s="1"/>
  <c r="AS56" i="7" s="1"/>
  <c r="AV56" i="7" s="1"/>
  <c r="AY56" i="7" s="1"/>
  <c r="BB66" i="7"/>
  <c r="BE66" i="7" s="1"/>
  <c r="BH66" i="7" s="1"/>
  <c r="AP58" i="7"/>
  <c r="AS58" i="7" s="1"/>
  <c r="AV58" i="7" s="1"/>
  <c r="AY58" i="7" s="1"/>
  <c r="AD33" i="7"/>
  <c r="AG33" i="7" s="1"/>
  <c r="AJ33" i="7" s="1"/>
  <c r="AM33" i="7" s="1"/>
  <c r="AP33" i="7" s="1"/>
  <c r="AS33" i="7" s="1"/>
  <c r="AV33" i="7" s="1"/>
  <c r="AY33" i="7" s="1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BN27" i="7"/>
  <c r="BQ27" i="7" s="1"/>
  <c r="BT27" i="7" s="1"/>
  <c r="BW27" i="7" s="1"/>
  <c r="BZ27" i="7" s="1"/>
  <c r="CC27" i="7" s="1"/>
  <c r="AM43" i="7"/>
  <c r="AP43" i="7" s="1"/>
  <c r="AS43" i="7" s="1"/>
  <c r="AV43" i="7" s="1"/>
  <c r="AY43" i="7" s="1"/>
  <c r="AP53" i="7"/>
  <c r="AS53" i="7" s="1"/>
  <c r="AV53" i="7" s="1"/>
  <c r="AY53" i="7" s="1"/>
  <c r="CE53" i="7" s="1"/>
  <c r="AJ54" i="7"/>
  <c r="AS47" i="7"/>
  <c r="AV47" i="7" s="1"/>
  <c r="AY47" i="7" s="1"/>
  <c r="CE47" i="7" s="1"/>
  <c r="BH48" i="7"/>
  <c r="BK48" i="7" s="1"/>
  <c r="BN48" i="7" s="1"/>
  <c r="BQ48" i="7" s="1"/>
  <c r="BT48" i="7" s="1"/>
  <c r="BW48" i="7"/>
  <c r="BZ48" i="7" s="1"/>
  <c r="CC48" i="7" s="1"/>
  <c r="BB61" i="7"/>
  <c r="BE61" i="7" s="1"/>
  <c r="BH61" i="7" s="1"/>
  <c r="BK61" i="7" s="1"/>
  <c r="BN61" i="7" s="1"/>
  <c r="BQ61" i="7" s="1"/>
  <c r="BT61" i="7" s="1"/>
  <c r="BW61" i="7" s="1"/>
  <c r="BZ61" i="7" s="1"/>
  <c r="CC61" i="7" s="1"/>
  <c r="AM23" i="7"/>
  <c r="AP23" i="7" s="1"/>
  <c r="AS23" i="7" s="1"/>
  <c r="AV23" i="7" s="1"/>
  <c r="AY23" i="7" s="1"/>
  <c r="AP5" i="7"/>
  <c r="AS5" i="7" s="1"/>
  <c r="AV5" i="7" s="1"/>
  <c r="AY5" i="7" s="1"/>
  <c r="CE5" i="7" s="1"/>
  <c r="BK66" i="7"/>
  <c r="BN66" i="7" s="1"/>
  <c r="BQ66" i="7" s="1"/>
  <c r="BT66" i="7" s="1"/>
  <c r="BW66" i="7" s="1"/>
  <c r="BZ66" i="7" s="1"/>
  <c r="CC66" i="7" s="1"/>
  <c r="AM28" i="7"/>
  <c r="AP28" i="7" s="1"/>
  <c r="AS28" i="7" s="1"/>
  <c r="AV28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8" i="7"/>
  <c r="CE35" i="7" l="1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AP39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AS50" i="7"/>
  <c r="CE42" i="7"/>
  <c r="BB53" i="7"/>
  <c r="BE53" i="7" s="1"/>
  <c r="BH53" i="7" s="1"/>
  <c r="BK53" i="7" s="1"/>
  <c r="BN53" i="7" s="1"/>
  <c r="BQ53" i="7" s="1"/>
  <c r="BZ53" i="7"/>
  <c r="CC53" i="7" s="1"/>
  <c r="BT53" i="7"/>
  <c r="BW53" i="7" s="1"/>
  <c r="AV12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AV67" i="7"/>
  <c r="CE20" i="7"/>
  <c r="BN44" i="7"/>
  <c r="BQ44" i="7" s="1"/>
  <c r="BT44" i="7" s="1"/>
  <c r="BW44" i="7" s="1"/>
  <c r="BZ44" i="7" s="1"/>
  <c r="CC44" i="7" s="1"/>
  <c r="BE44" i="7"/>
  <c r="BH44" i="7" s="1"/>
  <c r="BK44" i="7" s="1"/>
  <c r="AV49" i="7"/>
  <c r="AY49" i="7" s="1"/>
  <c r="AS41" i="7"/>
  <c r="AV41" i="7" s="1"/>
  <c r="BN47" i="7"/>
  <c r="BQ47" i="7" s="1"/>
  <c r="BT47" i="7" s="1"/>
  <c r="BW47" i="7" s="1"/>
  <c r="BZ47" i="7" s="1"/>
  <c r="CC47" i="7" s="1"/>
  <c r="BQ30" i="7"/>
  <c r="BT30" i="7" s="1"/>
  <c r="BW30" i="7" s="1"/>
  <c r="BZ30" i="7" s="1"/>
  <c r="CC30" i="7" s="1"/>
  <c r="BB24" i="7"/>
  <c r="BE24" i="7" s="1"/>
  <c r="BH24" i="7" s="1"/>
  <c r="BK24" i="7" s="1"/>
  <c r="BN24" i="7" s="1"/>
  <c r="BQ24" i="7" s="1"/>
  <c r="BT24" i="7" s="1"/>
  <c r="BW24" i="7" s="1"/>
  <c r="BZ24" i="7"/>
  <c r="CC24" i="7" s="1"/>
  <c r="AS37" i="7"/>
  <c r="AV37" i="7" s="1"/>
  <c r="AY37" i="7" s="1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25" i="7"/>
  <c r="BB25" i="7"/>
  <c r="BE25" i="7" s="1"/>
  <c r="BH25" i="7" s="1"/>
  <c r="BK25" i="7" s="1"/>
  <c r="BN25" i="7" s="1"/>
  <c r="BQ25" i="7" s="1"/>
  <c r="BT25" i="7" s="1"/>
  <c r="BW25" i="7" s="1"/>
  <c r="BZ25" i="7" s="1"/>
  <c r="CC25" i="7" s="1"/>
  <c r="CE34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43" i="7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40" i="7"/>
  <c r="BB40" i="7"/>
  <c r="BE40" i="7" s="1"/>
  <c r="BH40" i="7" s="1"/>
  <c r="BK40" i="7" s="1"/>
  <c r="BN40" i="7" s="1"/>
  <c r="BQ40" i="7" s="1"/>
  <c r="BT40" i="7" s="1"/>
  <c r="BW40" i="7" s="1"/>
  <c r="BZ40" i="7" s="1"/>
  <c r="CC4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4" i="7"/>
  <c r="BB44" i="7"/>
  <c r="CE32" i="7"/>
  <c r="BB32" i="7"/>
  <c r="BE32" i="7" s="1"/>
  <c r="BH32" i="7" s="1"/>
  <c r="BK32" i="7" s="1"/>
  <c r="CE30" i="7"/>
  <c r="BB30" i="7"/>
  <c r="BE30" i="7" s="1"/>
  <c r="BH30" i="7" s="1"/>
  <c r="BK30" i="7" s="1"/>
  <c r="BN30" i="7" s="1"/>
  <c r="AY28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BB47" i="7"/>
  <c r="BE47" i="7" s="1"/>
  <c r="BH47" i="7" s="1"/>
  <c r="BK47" i="7" s="1"/>
  <c r="AJ65" i="7"/>
  <c r="AM65" i="7" s="1"/>
  <c r="AP65" i="7" s="1"/>
  <c r="AS65" i="7" s="1"/>
  <c r="AV65" i="7" s="1"/>
  <c r="AY65" i="7" s="1"/>
  <c r="CE48" i="7"/>
  <c r="BB48" i="7"/>
  <c r="BE48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BB37" i="7"/>
  <c r="BE37" i="7" s="1"/>
  <c r="BH37" i="7" s="1"/>
  <c r="BK37" i="7" s="1"/>
  <c r="BN37" i="7" s="1"/>
  <c r="BQ37" i="7" s="1"/>
  <c r="BT37" i="7" s="1"/>
  <c r="BW37" i="7" s="1"/>
  <c r="BZ37" i="7" s="1"/>
  <c r="CC37" i="7" s="1"/>
  <c r="AM54" i="7"/>
  <c r="AP54" i="7" s="1"/>
  <c r="AS54" i="7" s="1"/>
  <c r="AV54" i="7" s="1"/>
  <c r="AY54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8" i="7"/>
  <c r="AS68" i="7" s="1"/>
  <c r="AV68" i="7" s="1"/>
  <c r="CE37" i="7" l="1"/>
  <c r="AY41" i="7"/>
  <c r="CE41" i="7" s="1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49" i="7"/>
  <c r="AV50" i="7"/>
  <c r="AY50" i="7" s="1"/>
  <c r="AS39" i="7"/>
  <c r="AY12" i="7"/>
  <c r="BQ12" i="7" s="1"/>
  <c r="BT12" i="7" s="1"/>
  <c r="BW12" i="7" s="1"/>
  <c r="BZ12" i="7" s="1"/>
  <c r="AY67" i="7"/>
  <c r="BB67" i="7" s="1"/>
  <c r="BE67" i="7" s="1"/>
  <c r="CE65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CE54" i="7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CE28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G68" i="7"/>
  <c r="AY68" i="7"/>
  <c r="BT68" i="7" s="1"/>
  <c r="BW68" i="7" s="1"/>
  <c r="BZ68" i="7" s="1"/>
  <c r="CC68" i="7" s="1"/>
  <c r="CE50" i="7" l="1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AV39" i="7"/>
  <c r="BB41" i="7"/>
  <c r="BE41" i="7" s="1"/>
  <c r="BH41" i="7" s="1"/>
  <c r="BK41" i="7" s="1"/>
  <c r="BN41" i="7" s="1"/>
  <c r="BQ41" i="7" s="1"/>
  <c r="BT41" i="7" s="1"/>
  <c r="BW41" i="7" s="1"/>
  <c r="BZ41" i="7" s="1"/>
  <c r="CC41" i="7" s="1"/>
  <c r="BH67" i="7"/>
  <c r="BK67" i="7" s="1"/>
  <c r="CE67" i="7"/>
  <c r="BN67" i="7"/>
  <c r="BQ67" i="7" s="1"/>
  <c r="BT67" i="7" s="1"/>
  <c r="BW67" i="7" s="1"/>
  <c r="BZ67" i="7" s="1"/>
  <c r="CC67" i="7" s="1"/>
  <c r="CE12" i="7"/>
  <c r="BK12" i="7"/>
  <c r="BN12" i="7" s="1"/>
  <c r="BB12" i="7"/>
  <c r="BE12" i="7"/>
  <c r="BH12" i="7" s="1"/>
  <c r="CC12" i="7"/>
  <c r="BB68" i="7"/>
  <c r="BE68" i="7" s="1"/>
  <c r="BH68" i="7" s="1"/>
  <c r="BK68" i="7" s="1"/>
  <c r="BN68" i="7" s="1"/>
  <c r="BQ68" i="7" s="1"/>
  <c r="CE68" i="7"/>
  <c r="B12" i="9"/>
  <c r="B11" i="9"/>
  <c r="B10" i="9"/>
  <c r="B9" i="9"/>
  <c r="B2" i="9"/>
  <c r="B5" i="9"/>
  <c r="B4" i="9"/>
  <c r="B3" i="9"/>
  <c r="AY39" i="7" l="1"/>
  <c r="CE39" i="7" s="1"/>
  <c r="B25" i="9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G25" i="6"/>
  <c r="G24" i="6"/>
  <c r="G23" i="6"/>
  <c r="G22" i="6"/>
  <c r="G21" i="6"/>
  <c r="G20" i="6"/>
  <c r="G19" i="6"/>
  <c r="G18" i="6"/>
  <c r="G16" i="6"/>
  <c r="G15" i="6"/>
  <c r="G14" i="6"/>
  <c r="G13" i="6"/>
  <c r="G12" i="6"/>
  <c r="G11" i="6"/>
  <c r="G10" i="6"/>
  <c r="G9" i="6"/>
  <c r="G8" i="6"/>
  <c r="D2" i="6"/>
  <c r="D3" i="6"/>
  <c r="I6" i="6" s="1"/>
  <c r="J1" i="7"/>
  <c r="M1" i="7" s="1"/>
  <c r="O70" i="7"/>
  <c r="R70" i="7" s="1"/>
  <c r="U70" i="7" s="1"/>
  <c r="X70" i="7" s="1"/>
  <c r="AA70" i="7" s="1"/>
  <c r="AD70" i="7" s="1"/>
  <c r="AG70" i="7" s="1"/>
  <c r="AJ70" i="7" s="1"/>
  <c r="AM70" i="7" s="1"/>
  <c r="AP70" i="7" s="1"/>
  <c r="AS70" i="7" s="1"/>
  <c r="AV70" i="7" s="1"/>
  <c r="AY70" i="7" s="1"/>
  <c r="Y74" i="7"/>
  <c r="AB74" i="7"/>
  <c r="AE74" i="7"/>
  <c r="AH74" i="7"/>
  <c r="AK74" i="7"/>
  <c r="AN74" i="7"/>
  <c r="AQ74" i="7"/>
  <c r="AT74" i="7"/>
  <c r="AW74" i="7"/>
  <c r="J74" i="7"/>
  <c r="A19" i="8"/>
  <c r="CE69" i="7"/>
  <c r="I74" i="7"/>
  <c r="M74" i="7"/>
  <c r="P74" i="7"/>
  <c r="S74" i="7"/>
  <c r="V74" i="7"/>
  <c r="AZ74" i="7"/>
  <c r="BC74" i="7"/>
  <c r="BF74" i="7"/>
  <c r="BI74" i="7"/>
  <c r="BL74" i="7"/>
  <c r="BO74" i="7"/>
  <c r="BR74" i="7"/>
  <c r="BU74" i="7"/>
  <c r="BX74" i="7"/>
  <c r="CA74" i="7"/>
  <c r="BB70" i="7"/>
  <c r="BE70" i="7" s="1"/>
  <c r="BH70" i="7" s="1"/>
  <c r="BK70" i="7" s="1"/>
  <c r="BN70" i="7" s="1"/>
  <c r="BQ70" i="7" s="1"/>
  <c r="BT70" i="7" s="1"/>
  <c r="BW70" i="7" s="1"/>
  <c r="BZ70" i="7" s="1"/>
  <c r="CC70" i="7" s="1"/>
  <c r="G17" i="6"/>
  <c r="AZ1" i="7"/>
  <c r="BC1" i="7" s="1"/>
  <c r="BF1" i="7" s="1"/>
  <c r="BI1" i="7" s="1"/>
  <c r="BL1" i="7" s="1"/>
  <c r="BO1" i="7" s="1"/>
  <c r="BR1" i="7" s="1"/>
  <c r="BU1" i="7" s="1"/>
  <c r="BX1" i="7" s="1"/>
  <c r="CA1" i="7" s="1"/>
  <c r="C14" i="9" l="1"/>
  <c r="C18" i="9"/>
  <c r="C20" i="9"/>
  <c r="C22" i="9"/>
  <c r="C24" i="9"/>
  <c r="C16" i="9"/>
  <c r="C23" i="9"/>
  <c r="C19" i="9"/>
  <c r="C21" i="9"/>
  <c r="C15" i="9"/>
  <c r="C17" i="9"/>
  <c r="C13" i="9"/>
  <c r="C9" i="9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12" i="9"/>
  <c r="C11" i="9"/>
  <c r="C10" i="9"/>
  <c r="BA74" i="7"/>
  <c r="BD74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74" i="7"/>
  <c r="K74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74" i="7"/>
  <c r="O4" i="7"/>
  <c r="BJ74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R4" i="7" l="1"/>
  <c r="G4" i="7"/>
  <c r="F36" i="8"/>
  <c r="Q74" i="7"/>
  <c r="F31" i="8"/>
  <c r="W74" i="7"/>
  <c r="T74" i="7"/>
  <c r="F37" i="8"/>
  <c r="F35" i="8"/>
  <c r="U4" i="7"/>
  <c r="F24" i="8"/>
  <c r="F27" i="8" s="1"/>
  <c r="F28" i="8" s="1"/>
  <c r="BM74" i="7"/>
  <c r="Z74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74" i="7"/>
  <c r="G25" i="8"/>
  <c r="AC74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74" i="7"/>
  <c r="AF74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74" i="7"/>
  <c r="AI74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T12" i="6"/>
  <c r="W12" i="6" s="1"/>
  <c r="T15" i="6"/>
  <c r="W15" i="6" s="1"/>
  <c r="T9" i="6"/>
  <c r="W9" i="6" s="1"/>
  <c r="W14" i="6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74" i="7"/>
  <c r="BY74" i="7"/>
  <c r="J27" i="8"/>
  <c r="J28" i="8" s="1"/>
  <c r="J25" i="8"/>
  <c r="AL74" i="7"/>
  <c r="C9" i="6"/>
  <c r="C10" i="6" s="1"/>
  <c r="AH1" i="7"/>
  <c r="L20" i="8"/>
  <c r="K22" i="8"/>
  <c r="K23" i="8"/>
  <c r="K24" i="8" s="1"/>
  <c r="K36" i="8" l="1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74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74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74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74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36" i="8"/>
  <c r="P35" i="8"/>
  <c r="P33" i="8"/>
  <c r="P24" i="8"/>
  <c r="P27" i="8" s="1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4" i="7"/>
  <c r="R23" i="8"/>
  <c r="R31" i="8"/>
  <c r="R35" i="8"/>
  <c r="R33" i="8"/>
  <c r="R22" i="8"/>
  <c r="R37" i="8"/>
  <c r="R36" i="8"/>
  <c r="P25" i="8"/>
  <c r="P29" i="8" s="1"/>
  <c r="Q23" i="8"/>
  <c r="R24" i="8" s="1"/>
  <c r="Q35" i="8"/>
  <c r="Q36" i="8"/>
  <c r="Q22" i="8"/>
  <c r="Q31" i="8"/>
  <c r="Q37" i="8"/>
  <c r="Q33" i="8"/>
  <c r="P32" i="8"/>
  <c r="I32" i="8" l="1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4" i="7"/>
  <c r="R25" i="8"/>
  <c r="R29" i="8" s="1"/>
  <c r="R27" i="8"/>
  <c r="R28" i="8" s="1"/>
  <c r="R32" i="8"/>
  <c r="Q27" i="8" l="1"/>
  <c r="Q28" i="8" s="1"/>
  <c r="Q25" i="8"/>
  <c r="Q29" i="8" s="1"/>
  <c r="Q32" i="8"/>
  <c r="BH74" i="7"/>
  <c r="BK74" i="7" l="1"/>
  <c r="BN74" i="7" l="1"/>
  <c r="BQ74" i="7" l="1"/>
  <c r="BT74" i="7" l="1"/>
  <c r="BW74" i="7" l="1"/>
  <c r="BZ74" i="7" l="1"/>
  <c r="CC74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<sst xmlns="http://schemas.openxmlformats.org/spreadsheetml/2006/main" count="440" uniqueCount="198">
  <si>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</si>
  <si>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</si>
  <si>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</si>
  <si>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</si>
  <si>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</si>
  <si>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</si>
  <si>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</si>
  <si>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</si>
  <si>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</si>
  <si>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</si>
  <si>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</si>
  <si>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</si>
  <si>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</si>
  <si>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</si>
  <si>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</si>
  <si>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</si>
  <si>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</si>
  <si>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</si>
  <si>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</si>
  <si>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</si>
  <si>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</si>
  <si>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</si>
  <si>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</si>
  <si>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</si>
  <si>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</si>
  <si>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</si>
  <si>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</si>
  <si>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</si>
  <si>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</si>
  <si>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</si>
  <si>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</si>
  <si>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</si>
  <si>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</si>
  <si>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</si>
  <si>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</si>
  <si>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</si>
  <si>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</si>
  <si>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</si>
  <si>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</si>
  <si>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</si>
  <si>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</si>
  <si>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</si>
  <si>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</si>
  <si>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</si>
  <si>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</si>
  <si>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</si>
  <si>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</si>
  <si>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</si>
  <si>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</si>
  <si>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</si>
  <si>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</si>
  <si>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</si>
  <si>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</si>
  <si>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</si>
  <si>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</si>
  <si>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</si>
  <si>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</si>
  <si>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</si>
  <si>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</si>
  <si>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</si>
  <si>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</si>
  <si>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</si>
  <si>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</si>
  <si>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</si>
  <si>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</si>
  <si>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</si>
  <si>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</si>
  <si>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</si>
  <si>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</si>
  <si>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</si>
  <si>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</si>
  <si>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</si>
  <si>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</si>
  <si>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</si>
  <si>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</si>
  <si>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</si>
  <si>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</si>
  <si>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</si>
  <si>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</si>
  <si>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</si>
  <si>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</si>
  <si>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</si>
  <si>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</si>
  <si>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</si>
  <si>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</si>
  <si>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</si>
  <si>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</si>
  <si>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</si>
  <si>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</si>
  <si>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</si>
  <si>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</si>
  <si>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</si>
  <si>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</si>
  <si>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</si>
  <si>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</si>
  <si>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</si>
  <si>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</si>
  <si>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</si>
  <si>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</si>
  <si>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</si>
  <si>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</si>
  <si>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</si>
  <si>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</si>
  <si>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</si>
  <si>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</si>
  <si>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</si>
  <si>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</si>
  <si>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</si>
  <si>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</si>
  <si>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</si>
  <si>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</si>
  <si>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</si>
  <si>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</si>
  <si>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</si>
  <si>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</si>
  <si>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</si>
  <si>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</si>
  <si>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</si>
  <si>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José</t>
  </si>
  <si>
    <t>Guilherme Fay</t>
  </si>
  <si>
    <t>Guilherme Calixto</t>
  </si>
  <si>
    <t>Rafael</t>
  </si>
  <si>
    <t>Renan</t>
  </si>
  <si>
    <t>Henrique</t>
  </si>
  <si>
    <t>Vinicius</t>
  </si>
  <si>
    <t>Build 1.4</t>
  </si>
  <si>
    <t>Teste</t>
  </si>
  <si>
    <t>Implementação</t>
  </si>
  <si>
    <t>Gerencia de projeto</t>
  </si>
  <si>
    <t>Gerencia de Configuração</t>
  </si>
  <si>
    <t>-</t>
  </si>
  <si>
    <t>ID</t>
  </si>
  <si>
    <t>Nome</t>
  </si>
  <si>
    <t>Criar o primeiro nó 0 cujo campo será preechido pelo nome do projeto</t>
  </si>
  <si>
    <t>Criar os filhos do nó 0 que serão os pacotes de trabalho</t>
  </si>
  <si>
    <t>Visualizar todos os campos da EAP criada</t>
  </si>
  <si>
    <t xml:space="preserve">Excluir qualquer nó, com exceção de nó 0 </t>
  </si>
  <si>
    <t>cada nó deve ser de criar novos filhos, formando uma hierarquia</t>
  </si>
  <si>
    <t>criar ultimo nível que será de esforço</t>
  </si>
  <si>
    <t xml:space="preserve">Alterar o conteúdo do campo </t>
  </si>
  <si>
    <t>Regras de Negócio</t>
  </si>
  <si>
    <t>RN1</t>
  </si>
  <si>
    <t>A EAP deve possuir no maximo 5 níveis, sendo o nível 0 o nome do projeto e o ultimo nível e de esforço</t>
  </si>
  <si>
    <t>RN2</t>
  </si>
  <si>
    <t xml:space="preserve">Ao excluir um nó </t>
  </si>
  <si>
    <t>Filipe Barbosa</t>
  </si>
  <si>
    <t>Henrique dos Santos</t>
  </si>
  <si>
    <t>José Guimarães</t>
  </si>
  <si>
    <t>Rafael Costa</t>
  </si>
  <si>
    <t>Renan Oliveira</t>
  </si>
  <si>
    <t>Vinícius Vieira</t>
  </si>
  <si>
    <t>Atividade</t>
  </si>
  <si>
    <t>1.1</t>
  </si>
  <si>
    <t>Elaborar critérios de aceitação</t>
  </si>
  <si>
    <t>Elaborar plano de testes</t>
  </si>
  <si>
    <t>Elaborar relatório de testes</t>
  </si>
  <si>
    <t>Criar branch para paralelizar implementação e testes</t>
  </si>
  <si>
    <t>Implementar funcionalidade para adicionar nó 0 com nome do projeto</t>
  </si>
  <si>
    <t>1.2</t>
  </si>
  <si>
    <t>1.3</t>
  </si>
  <si>
    <t>1.4</t>
  </si>
  <si>
    <t>1.5</t>
  </si>
  <si>
    <t>1</t>
  </si>
  <si>
    <t xml:space="preserve">Product Backlog </t>
  </si>
  <si>
    <t>Elaborar product backlog</t>
  </si>
  <si>
    <t>Elaborar Sprint Backlog</t>
  </si>
  <si>
    <t>1.6</t>
  </si>
  <si>
    <t>1.7</t>
  </si>
  <si>
    <t>1.8</t>
  </si>
  <si>
    <t>Gerar gráfico Burndown</t>
  </si>
  <si>
    <t>Realizar estimativa de produtividade da equipe - planning poker</t>
  </si>
  <si>
    <t>Comparar gráfico burndown com valor agregado</t>
  </si>
  <si>
    <t>1.9</t>
  </si>
  <si>
    <t>1.10</t>
  </si>
  <si>
    <t>2</t>
  </si>
  <si>
    <t>2.1</t>
  </si>
  <si>
    <t>Filipe</t>
  </si>
  <si>
    <t>Implementar funcionalidade para criar os filhos do nó 0</t>
  </si>
  <si>
    <t>2.2</t>
  </si>
  <si>
    <t>2.3</t>
  </si>
  <si>
    <t>2.4</t>
  </si>
  <si>
    <t>3</t>
  </si>
  <si>
    <t>3.1</t>
  </si>
  <si>
    <t>3.2</t>
  </si>
  <si>
    <t>3.3</t>
  </si>
  <si>
    <t>Implementar interface para visualização da EAP</t>
  </si>
  <si>
    <t>3.4</t>
  </si>
  <si>
    <t>2.5</t>
  </si>
  <si>
    <t>3.5</t>
  </si>
  <si>
    <t>Criar operações CRUD para manipulação de informaões EAP</t>
  </si>
  <si>
    <t>Banco de Dados</t>
  </si>
  <si>
    <t>Criar nova base de dados para informações da EAP</t>
  </si>
  <si>
    <t>2.6</t>
  </si>
  <si>
    <t>2.7</t>
  </si>
  <si>
    <t>Definir Layout da EAP</t>
  </si>
  <si>
    <t>Elaborar Protótipo de interface da EAP</t>
  </si>
  <si>
    <t>3.6</t>
  </si>
  <si>
    <t>3.7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</si>
</sst>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7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1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theme="3" tint="0.79998168889431442"/>
        <bgColor indexed="64"/>
      </patternFill>
    </fill>
  </fills>
  <borders count="6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8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1" borderId="0" xfId="0" applyFill="1"/>
    <xf numFmtId="0" fontId="46" fillId="0" borderId="63" xfId="0" applyFont="1" applyBorder="1" applyAlignment="1">
      <alignment vertical="center" wrapText="1"/>
    </xf>
    <xf numFmtId="0" fontId="46" fillId="0" borderId="64" xfId="0" applyFont="1" applyBorder="1" applyAlignment="1">
      <alignment vertical="center" wrapText="1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om" xfId="31" builtinId="26" customBuiltin="1"/>
    <cellStyle name="Cálculo" xfId="26" builtinId="22" customBuiltin="1"/>
    <cellStyle name="Célula de Verificação" xfId="27" builtinId="23" customBuiltin="1"/>
    <cellStyle name="Célula Vinculada" xfId="38" builtinId="24" customBuiltin="1"/>
    <cellStyle name="Emphasis 1" xfId="28"/>
    <cellStyle name="Emphasis 2" xfId="29"/>
    <cellStyle name="Emphasis 3" xfId="30"/>
    <cellStyle name="Ênfase1" xfId="1" builtinId="29" customBuiltin="1"/>
    <cellStyle name="Ênfase2" xfId="5" builtinId="33" customBuiltin="1"/>
    <cellStyle name="Ênfase3" xfId="9" builtinId="37" customBuiltin="1"/>
    <cellStyle name="Ênfase4" xfId="13" builtinId="41" customBuiltin="1"/>
    <cellStyle name="Ênfase5" xfId="17" builtinId="45" customBuiltin="1"/>
    <cellStyle name="Ênfase6" xfId="21" builtinId="49" customBuiltin="1"/>
    <cellStyle name="Entrada" xfId="37" builtinId="20" customBuiltin="1"/>
    <cellStyle name="Hiperlink" xfId="36" builtinId="8"/>
    <cellStyle name="Incorreto" xfId="25" builtinId="27" customBuiltin="1"/>
    <cellStyle name="Neutra" xfId="39" builtinId="28" customBuiltin="1"/>
    <cellStyle name="Normal" xfId="0" builtinId="0"/>
    <cellStyle name="Normal 2" xfId="45"/>
    <cellStyle name="Nota" xfId="40" builtinId="10" customBuiltin="1"/>
    <cellStyle name="Saída" xfId="41" builtinId="21" customBuiltin="1"/>
    <cellStyle name="Sheet Title" xfId="42"/>
    <cellStyle name="Texto de Aviso" xfId="44" builtinId="11" customBuiltin="1"/>
    <cellStyle name="Título 1" xfId="32" builtinId="16" customBuiltin="1"/>
    <cellStyle name="Título 2" xfId="33" builtinId="17" customBuiltin="1"/>
    <cellStyle name="Título 3" xfId="34" builtinId="18" customBuiltin="1"/>
    <cellStyle name="Título 4" xfId="35" builtinId="19" customBuiltin="1"/>
    <cellStyle name="Total" xfId="43" builtinId="25" customBuiltin="1"/>
  </cellStyles>
  <dxfs count="123"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64</c:v>
                </c:pt>
                <c:pt idx="1">
                  <c:v>64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89376"/>
        <c:axId val="61070656"/>
      </c:areaChart>
      <c:catAx>
        <c:axId val="87589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6107065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6107065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87589376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2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187</c:v>
                </c:pt>
                <c:pt idx="1">
                  <c:v>174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90912"/>
        <c:axId val="10793894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187</c:v>
                </c:pt>
                <c:pt idx="1">
                  <c:v>174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2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590912"/>
        <c:axId val="107938944"/>
      </c:lineChart>
      <c:catAx>
        <c:axId val="87590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10793894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0793894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87590912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759424"/>
        <c:axId val="107941824"/>
      </c:barChart>
      <c:catAx>
        <c:axId val="110759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07941824"/>
        <c:crosses val="autoZero"/>
        <c:auto val="1"/>
        <c:lblAlgn val="ctr"/>
        <c:lblOffset val="100"/>
        <c:noMultiLvlLbl val="0"/>
      </c:catAx>
      <c:valAx>
        <c:axId val="1079418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0759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Teste</c:v>
                </c:pt>
              </c:strCache>
            </c:strRef>
          </c:tx>
          <c:invertIfNegative val="0"/>
          <c:val>
            <c:numRef>
              <c:f>'Project Specific Reports'!$B$9:$C$9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Implementação</c:v>
                </c:pt>
              </c:strCache>
            </c:strRef>
          </c:tx>
          <c:invertIfNegative val="0"/>
          <c:val>
            <c:numRef>
              <c:f>'Project Specific Reports'!$B$10:$C$10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Gerencia de projeto</c:v>
                </c:pt>
              </c:strCache>
            </c:strRef>
          </c:tx>
          <c:invertIfNegative val="0"/>
          <c:val>
            <c:numRef>
              <c:f>'Project Specific Reports'!$B$11:$C$11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Gerencia de Configuração</c:v>
                </c:pt>
              </c:strCache>
            </c:strRef>
          </c:tx>
          <c:invertIfNegative val="0"/>
          <c:val>
            <c:numRef>
              <c:f>'Project Specific Reports'!$B$12:$C$12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893248"/>
        <c:axId val="107944128"/>
      </c:barChart>
      <c:catAx>
        <c:axId val="115893248"/>
        <c:scaling>
          <c:orientation val="minMax"/>
        </c:scaling>
        <c:delete val="0"/>
        <c:axPos val="b"/>
        <c:majorTickMark val="out"/>
        <c:minorTickMark val="none"/>
        <c:tickLblPos val="nextTo"/>
        <c:crossAx val="107944128"/>
        <c:crosses val="autoZero"/>
        <c:auto val="1"/>
        <c:lblAlgn val="ctr"/>
        <c:lblOffset val="100"/>
        <c:noMultiLvlLbl val="0"/>
      </c:catAx>
      <c:valAx>
        <c:axId val="1079441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5893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64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893760"/>
        <c:axId val="115991104"/>
      </c:barChart>
      <c:catAx>
        <c:axId val="115893760"/>
        <c:scaling>
          <c:orientation val="minMax"/>
        </c:scaling>
        <c:delete val="0"/>
        <c:axPos val="b"/>
        <c:majorTickMark val="out"/>
        <c:minorTickMark val="none"/>
        <c:tickLblPos val="nextTo"/>
        <c:crossAx val="115991104"/>
        <c:crosses val="autoZero"/>
        <c:auto val="1"/>
        <c:lblAlgn val="ctr"/>
        <c:lblOffset val="100"/>
        <c:noMultiLvlLbl val="0"/>
      </c:catAx>
      <c:valAx>
        <c:axId val="11599110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58937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8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B15" sqref="B15"/>
    </sheetView>
  </sheetViews>
  <sheetFormatPr defaultRowHeight="12.75" outlineLevelCol="1" x14ac:dyDescent="0.2"/>
  <cols>
    <col min="1" max="1" width="12.140625" style="6" customWidth="1"/>
    <col min="2" max="2" width="21.7109375" style="6" customWidth="1"/>
    <col min="3" max="3" width="12.140625" style="6" customWidth="1"/>
    <col min="4" max="4" width="6" style="6" customWidth="1"/>
    <col min="5" max="5" width="5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40868</v>
      </c>
      <c r="H1" s="1"/>
      <c r="I1" s="1"/>
      <c r="J1" s="192">
        <f>SprintStart</f>
        <v>40868</v>
      </c>
      <c r="K1" s="192"/>
      <c r="L1" s="192"/>
      <c r="M1" s="192">
        <f>IF(AND(SkipWeekends, WEEKDAY(J1)=6),J1+3, J1+1)</f>
        <v>40869</v>
      </c>
      <c r="N1" s="192"/>
      <c r="O1" s="192"/>
      <c r="P1" s="192">
        <f>IF(AND(SkipWeekends, WEEKDAY(M1)=6),M1+3, M1+1)</f>
        <v>40870</v>
      </c>
      <c r="Q1" s="192"/>
      <c r="R1" s="192"/>
      <c r="S1" s="192">
        <f>IF(AND(SkipWeekends, WEEKDAY(P1)=6),P1+3, P1+1)</f>
        <v>40871</v>
      </c>
      <c r="T1" s="192"/>
      <c r="U1" s="192"/>
      <c r="V1" s="192">
        <f>IF(AND(SkipWeekends, WEEKDAY(S1)=6),S1+3, S1+1)</f>
        <v>40872</v>
      </c>
      <c r="W1" s="192"/>
      <c r="X1" s="192"/>
      <c r="Y1" s="192">
        <f>IF(AND(SkipWeekends, WEEKDAY(V1)=6),V1+3, V1+1)</f>
        <v>40873</v>
      </c>
      <c r="Z1" s="192"/>
      <c r="AA1" s="192"/>
      <c r="AB1" s="192">
        <f>IF(AND(SkipWeekends, WEEKDAY(Y1)=6),Y1+3, Y1+1)</f>
        <v>40874</v>
      </c>
      <c r="AC1" s="192"/>
      <c r="AD1" s="192"/>
      <c r="AE1" s="192">
        <f>IF(AND(SkipWeekends, WEEKDAY(AB1)=6),AB1+3, AB1+1)</f>
        <v>40875</v>
      </c>
      <c r="AF1" s="192"/>
      <c r="AG1" s="192"/>
      <c r="AH1" s="192">
        <f>IF(AND(SkipWeekends, WEEKDAY(AE1)=6),AE1+3, AE1+1)</f>
        <v>40876</v>
      </c>
      <c r="AI1" s="192"/>
      <c r="AJ1" s="192"/>
      <c r="AK1" s="192">
        <f>IF(AND(SkipWeekends, WEEKDAY(AH1)=6),AH1+3, AH1+1)</f>
        <v>40877</v>
      </c>
      <c r="AL1" s="192"/>
      <c r="AM1" s="192"/>
      <c r="AN1" s="192">
        <f>IF(AND(SkipWeekends, WEEKDAY(AK1)=6),AK1+3, AK1+1)</f>
        <v>40878</v>
      </c>
      <c r="AO1" s="192"/>
      <c r="AP1" s="192"/>
      <c r="AQ1" s="192">
        <f>IF(AND(SkipWeekends, WEEKDAY(AN1)=6),AN1+3, AN1+1)</f>
        <v>40879</v>
      </c>
      <c r="AR1" s="192"/>
      <c r="AS1" s="192"/>
      <c r="AT1" s="192">
        <f>IF(AND(SkipWeekends, WEEKDAY(AQ1)=6),AQ1+3, AQ1+1)</f>
        <v>40880</v>
      </c>
      <c r="AU1" s="192"/>
      <c r="AV1" s="192"/>
      <c r="AW1" s="192">
        <f>IF(AND(SkipWeekends, WEEKDAY(AT1)=6),AT1+3, AT1+1)</f>
        <v>40881</v>
      </c>
      <c r="AX1" s="192"/>
      <c r="AY1" s="192"/>
      <c r="AZ1" s="192" t="e">
        <f>IF(AND(SkipWeekends, WEEKDAY(#REF!)=6),#REF!+3,#REF!+ 1)</f>
        <v>#REF!</v>
      </c>
      <c r="BA1" s="192"/>
      <c r="BB1" s="192"/>
      <c r="BC1" s="192" t="e">
        <f>IF(AND(SkipWeekends, WEEKDAY(AZ1)=6),AZ1+3, AZ1+1)</f>
        <v>#REF!</v>
      </c>
      <c r="BD1" s="192"/>
      <c r="BE1" s="192"/>
      <c r="BF1" s="192" t="e">
        <f>IF(AND(SkipWeekends, WEEKDAY(BC1)=6),BC1+3, BC1+1)</f>
        <v>#REF!</v>
      </c>
      <c r="BG1" s="192"/>
      <c r="BH1" s="192"/>
      <c r="BI1" s="192" t="e">
        <f>IF(AND(SkipWeekends, WEEKDAY(BF1)=6),BF1+3, BF1+1)</f>
        <v>#REF!</v>
      </c>
      <c r="BJ1" s="192"/>
      <c r="BK1" s="192"/>
      <c r="BL1" s="192" t="e">
        <f>IF(AND(SkipWeekends, WEEKDAY(BI1)=6),BI1+3, BI1+1)</f>
        <v>#REF!</v>
      </c>
      <c r="BM1" s="192"/>
      <c r="BN1" s="192"/>
      <c r="BO1" s="192" t="e">
        <f>IF(AND(SkipWeekends, WEEKDAY(BL1)=6),BL1+3, BL1+1)</f>
        <v>#REF!</v>
      </c>
      <c r="BP1" s="192"/>
      <c r="BQ1" s="192"/>
      <c r="BR1" s="192" t="e">
        <f>IF(AND(SkipWeekends, WEEKDAY(BO1)=6),BO1+3, BO1+1)</f>
        <v>#REF!</v>
      </c>
      <c r="BS1" s="192"/>
      <c r="BT1" s="192"/>
      <c r="BU1" s="192" t="e">
        <f>IF(AND(SkipWeekends, WEEKDAY(BR1)=6),BR1+3, BR1+1)</f>
        <v>#REF!</v>
      </c>
      <c r="BV1" s="192"/>
      <c r="BW1" s="192"/>
      <c r="BX1" s="192" t="e">
        <f>IF(AND(SkipWeekends, WEEKDAY(BU1)=6),BU1+3, BU1+1)</f>
        <v>#REF!</v>
      </c>
      <c r="BY1" s="192"/>
      <c r="BZ1" s="192"/>
      <c r="CA1" s="192" t="e">
        <f>IF(AND(SkipWeekends, WEEKDAY(BX1)=6),BX1+3, BX1+1)</f>
        <v>#REF!</v>
      </c>
      <c r="CB1" s="192"/>
      <c r="CC1" s="192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105</v>
      </c>
      <c r="B4" s="16" t="s">
        <v>126</v>
      </c>
      <c r="C4" s="16" t="s">
        <v>162</v>
      </c>
      <c r="D4" s="17" t="s">
        <v>152</v>
      </c>
      <c r="E4" s="178" t="s">
        <v>153</v>
      </c>
      <c r="F4" s="18" t="s">
        <v>117</v>
      </c>
      <c r="G4" s="19" t="str">
        <f t="shared" ref="G4:G68" ca="1" si="0">(INDEX(Burndown,ROW(G4)-ROW(G$3),MIN(TODAY()-SprintStart,29)*3+3))</f>
        <v>Complete</v>
      </c>
      <c r="H4" s="20">
        <v>1</v>
      </c>
      <c r="I4" s="21">
        <v>2</v>
      </c>
      <c r="J4" s="22">
        <v>2</v>
      </c>
      <c r="K4" s="22">
        <f t="shared" ref="K4" si="1">MAX(I4-J4, 0)</f>
        <v>0</v>
      </c>
      <c r="L4" s="23" t="str">
        <f>IF(SUMPRODUCT($J$71:K$71,$J4:K4)&lt;0.5, "Pending", IF(K4&lt;0.5, "Complete", "In Progress"))</f>
        <v>Complete</v>
      </c>
      <c r="M4" s="22">
        <v>0</v>
      </c>
      <c r="N4" s="22">
        <f t="shared" ref="N4" si="2">MAX(K4-M4,0)</f>
        <v>0</v>
      </c>
      <c r="O4" s="23" t="str">
        <f>IF(SUMPRODUCT($J$71:N$71,$J4:N4)&lt;0.5, "Pending", IF(N4&lt;0.5, "Complete", "In Progress"))</f>
        <v>Complete</v>
      </c>
      <c r="P4" s="22">
        <v>0</v>
      </c>
      <c r="Q4" s="22">
        <f t="shared" ref="Q4" si="3">MAX(N4-P4,0)</f>
        <v>0</v>
      </c>
      <c r="R4" s="23" t="str">
        <f>IF(SUMPRODUCT($J$71:Q$71,$J4:Q4)&lt;0.5, "Pending", IF(Q4&lt;0.5, "Complete", "In Progress"))</f>
        <v>Complete</v>
      </c>
      <c r="S4" s="22">
        <v>0</v>
      </c>
      <c r="T4" s="22">
        <f t="shared" ref="T4" si="4">MAX(Q4-S4,0)</f>
        <v>0</v>
      </c>
      <c r="U4" s="23" t="str">
        <f>IF(SUMPRODUCT($J$71:T$71,$J4:T4)&lt;0.5, "Pending", IF(T4&lt;0.5, "Complete", "In Progress"))</f>
        <v>Complete</v>
      </c>
      <c r="V4" s="22">
        <v>0</v>
      </c>
      <c r="W4" s="22">
        <f t="shared" ref="W4" si="5">MAX(T4-V4,0)</f>
        <v>0</v>
      </c>
      <c r="X4" s="23" t="str">
        <f>IF(SUMPRODUCT($J$71:W$71,$J4:W4)&lt;0.5, "Pending", IF(W4&lt;0.5, "Complete", "In Progress"))</f>
        <v>Complete</v>
      </c>
      <c r="Y4" s="22">
        <v>0</v>
      </c>
      <c r="Z4" s="22">
        <f t="shared" ref="Z4" si="6">MAX(W4-Y4,0)</f>
        <v>0</v>
      </c>
      <c r="AA4" s="23" t="str">
        <f>IF(SUMPRODUCT($J$71:Z$71,$J4:Z4)&lt;0.5, "Pending", IF(Z4&lt;0.5, "Complete", "In Progress"))</f>
        <v>Complete</v>
      </c>
      <c r="AB4" s="22">
        <v>0</v>
      </c>
      <c r="AC4" s="22">
        <f t="shared" ref="AC4" si="7">MAX(Z4-AB4,0)</f>
        <v>0</v>
      </c>
      <c r="AD4" s="23" t="str">
        <f>IF(SUMPRODUCT($J$71:AC$71,$J4:AC4)&lt;0.5, "Pending", IF(AC4&lt;0.5, "Complete", "In Progress"))</f>
        <v>Complete</v>
      </c>
      <c r="AE4" s="22">
        <v>0</v>
      </c>
      <c r="AF4" s="22">
        <f t="shared" ref="AF4" si="8">MAX(AC4-AE4,0)</f>
        <v>0</v>
      </c>
      <c r="AG4" s="23" t="str">
        <f>IF(SUMPRODUCT($J$71:AF$71,$J4:AF4)&lt;0.5, "Pending", IF(AF4&lt;0.5, "Complete", "In Progress"))</f>
        <v>Complete</v>
      </c>
      <c r="AH4" s="22">
        <v>0</v>
      </c>
      <c r="AI4" s="22">
        <f t="shared" ref="AI4" si="9">MAX(AF4-AH4,0)</f>
        <v>0</v>
      </c>
      <c r="AJ4" s="23" t="str">
        <f>IF(SUMPRODUCT($J$71:AI$71,$J4:AI4)&lt;0.5, "Pending", IF(AI4&lt;0.5, "Complete", "In Progress"))</f>
        <v>Complete</v>
      </c>
      <c r="AK4" s="22">
        <v>0</v>
      </c>
      <c r="AL4" s="22">
        <f t="shared" ref="AL4" si="10">MAX(AI4-AK4,0)</f>
        <v>0</v>
      </c>
      <c r="AM4" s="23" t="str">
        <f>IF(SUMPRODUCT($J$71:AL$71,$J4:AL4)&lt;0.5,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IF(SUMPRODUCT($J$71:AO$71,$J4:AO4)&lt;0.5,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IF(SUMPRODUCT($J$71:AR$71,$J4:AR4)&lt;0.5,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IF(SUMPRODUCT($J$71:AU$71,$J4:AU4)&lt;0.5,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IF(SUMPRODUCT($J$71:AX$71,$J4:AX4)&lt;0.5,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IF(SUMPRODUCT($J$71:BA$71,$J4:BA4)&lt;0.5,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IF(SUMPRODUCT($J$71:BD$71,$J4:BD4)&lt;0.5,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IF(SUMPRODUCT($J$71:BG$71,$J4:BG4)&lt;0.5,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IF(SUMPRODUCT($J$71:BJ$71,$J4:BJ4)&lt;0.5,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IF(SUMPRODUCT($J$71:BM$71,$J4:BM4)&lt;0.5,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IF(SUMPRODUCT($J$71:BP$71,$J4:BP4)&lt;0.5,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IF(SUMPRODUCT($J$71:BS$71,$J4:BS4)&lt;0.5,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IF(SUMPRODUCT($J$71:BV$71,$J4:BV4)&lt;0.5,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IF(SUMPRODUCT($J$71:BY$71,$J4:BY4)&lt;0.5,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IF(SUMPRODUCT($J$71:CB$71,$J4:CB4)&lt;0.5, "Pending", IF(CB4&lt;0.5, "Complete", "In Progress"))</f>
        <v>#REF!</v>
      </c>
      <c r="CD4" s="24"/>
      <c r="CE4" s="25">
        <f>SUMPRODUCT($H$71:AY$71,$H4:AY4)</f>
        <v>2</v>
      </c>
    </row>
    <row r="5" spans="1:83" x14ac:dyDescent="0.2">
      <c r="A5" s="16"/>
      <c r="B5" s="16" t="s">
        <v>126</v>
      </c>
      <c r="C5" s="16" t="s">
        <v>162</v>
      </c>
      <c r="D5" s="17" t="s">
        <v>158</v>
      </c>
      <c r="E5" s="178" t="s">
        <v>154</v>
      </c>
      <c r="F5" s="18" t="s">
        <v>117</v>
      </c>
      <c r="G5" s="19" t="str">
        <f t="shared" ca="1" si="0"/>
        <v>Pending</v>
      </c>
      <c r="H5" s="20">
        <v>1</v>
      </c>
      <c r="I5" s="21">
        <v>5</v>
      </c>
      <c r="J5" s="22">
        <v>0</v>
      </c>
      <c r="K5" s="22">
        <f t="shared" ref="K5:K67" si="24">MAX(I5-J5, 0)</f>
        <v>5</v>
      </c>
      <c r="L5" s="23" t="str">
        <f>IF(SUMPRODUCT($J$71:K$71,$J5:K5)&lt;0.5, "Pending", IF(K5&lt;0.5, "Complete", "In Progress"))</f>
        <v>Pending</v>
      </c>
      <c r="M5" s="22">
        <v>0</v>
      </c>
      <c r="N5" s="22">
        <f t="shared" ref="N5:N67" si="25">MAX(K5-M5,0)</f>
        <v>5</v>
      </c>
      <c r="O5" s="23" t="str">
        <f>IF(SUMPRODUCT($J$71:N$71,$J5:N5)&lt;0.5, "Pending", IF(N5&lt;0.5, "Complete", "In Progress"))</f>
        <v>Pending</v>
      </c>
      <c r="P5" s="22">
        <v>0</v>
      </c>
      <c r="Q5" s="22">
        <f t="shared" ref="Q5:Q67" si="26">MAX(N5-P5,0)</f>
        <v>5</v>
      </c>
      <c r="R5" s="23" t="str">
        <f>IF(SUMPRODUCT($J$71:Q$71,$J5:Q5)&lt;0.5, "Pending", IF(Q5&lt;0.5, "Complete", "In Progress"))</f>
        <v>Pending</v>
      </c>
      <c r="S5" s="22">
        <v>0</v>
      </c>
      <c r="T5" s="22">
        <f t="shared" ref="T5:T67" si="27">MAX(Q5-S5,0)</f>
        <v>5</v>
      </c>
      <c r="U5" s="23" t="str">
        <f>IF(SUMPRODUCT($J$71:T$71,$J5:T5)&lt;0.5, "Pending", IF(T5&lt;0.5, "Complete", "In Progress"))</f>
        <v>Pending</v>
      </c>
      <c r="V5" s="22">
        <v>0</v>
      </c>
      <c r="W5" s="22">
        <f t="shared" ref="W5:W67" si="28">MAX(T5-V5,0)</f>
        <v>5</v>
      </c>
      <c r="X5" s="23" t="str">
        <f>IF(SUMPRODUCT($J$71:W$71,$J5:W5)&lt;0.5, "Pending", IF(W5&lt;0.5, "Complete", "In Progress"))</f>
        <v>Pending</v>
      </c>
      <c r="Y5" s="22">
        <v>0</v>
      </c>
      <c r="Z5" s="22">
        <f t="shared" ref="Z5:Z67" si="29">MAX(W5-Y5,0)</f>
        <v>5</v>
      </c>
      <c r="AA5" s="23" t="str">
        <f>IF(SUMPRODUCT($J$71:Z$71,$J5:Z5)&lt;0.5, "Pending", IF(Z5&lt;0.5, "Complete", "In Progress"))</f>
        <v>Pending</v>
      </c>
      <c r="AB5" s="22">
        <v>0</v>
      </c>
      <c r="AC5" s="22">
        <f t="shared" ref="AC5:AC67" si="30">MAX(Z5-AB5,0)</f>
        <v>5</v>
      </c>
      <c r="AD5" s="23" t="str">
        <f>IF(SUMPRODUCT($J$71:AC$71,$J5:AC5)&lt;0.5, "Pending", IF(AC5&lt;0.5, "Complete", "In Progress"))</f>
        <v>Pending</v>
      </c>
      <c r="AE5" s="22">
        <v>0</v>
      </c>
      <c r="AF5" s="22">
        <f t="shared" ref="AF5:AF67" si="31">MAX(AC5-AE5,0)</f>
        <v>5</v>
      </c>
      <c r="AG5" s="23" t="str">
        <f>IF(SUMPRODUCT($J$71:AF$71,$J5:AF5)&lt;0.5, "Pending", IF(AF5&lt;0.5, "Complete", "In Progress"))</f>
        <v>Pending</v>
      </c>
      <c r="AH5" s="22">
        <v>0</v>
      </c>
      <c r="AI5" s="22">
        <f t="shared" ref="AI5:AI67" si="32">MAX(AF5-AH5,0)</f>
        <v>5</v>
      </c>
      <c r="AJ5" s="23" t="str">
        <f>IF(SUMPRODUCT($J$71:AI$71,$J5:AI5)&lt;0.5, "Pending", IF(AI5&lt;0.5, "Complete", "In Progress"))</f>
        <v>Pending</v>
      </c>
      <c r="AK5" s="22">
        <v>0</v>
      </c>
      <c r="AL5" s="22">
        <f t="shared" ref="AL5:AL67" si="33">MAX(AI5-AK5,0)</f>
        <v>5</v>
      </c>
      <c r="AM5" s="23" t="str">
        <f>IF(SUMPRODUCT($J$71:AL$71,$J5:AL5)&lt;0.5, "Pending", IF(AL5&lt;0.5, "Complete", "In Progress"))</f>
        <v>Pending</v>
      </c>
      <c r="AN5" s="22">
        <v>0</v>
      </c>
      <c r="AO5" s="22">
        <f t="shared" ref="AO5:AO67" si="34">MAX(AL5-AN5,0)</f>
        <v>5</v>
      </c>
      <c r="AP5" s="23" t="str">
        <f>IF(SUMPRODUCT($J$71:AO$71,$J5:AO5)&lt;0.5, "Pending", IF(AO5&lt;0.5, "Complete", "In Progress"))</f>
        <v>Pending</v>
      </c>
      <c r="AQ5" s="22">
        <v>0</v>
      </c>
      <c r="AR5" s="22">
        <f t="shared" ref="AR5:AR67" si="35">MAX(AO5-AQ5,0)</f>
        <v>5</v>
      </c>
      <c r="AS5" s="23" t="str">
        <f>IF(SUMPRODUCT($J$71:AR$71,$J5:AR5)&lt;0.5, "Pending", IF(AR5&lt;0.5, "Complete", "In Progress"))</f>
        <v>Pending</v>
      </c>
      <c r="AT5" s="22">
        <v>0</v>
      </c>
      <c r="AU5" s="22">
        <f t="shared" ref="AU5:AU67" si="36">MAX(AR5-AT5,0)</f>
        <v>5</v>
      </c>
      <c r="AV5" s="23" t="str">
        <f>IF(SUMPRODUCT($J$71:AU$71,$J5:AU5)&lt;0.5, "Pending", IF(AU5&lt;0.5, "Complete", "In Progress"))</f>
        <v>Pending</v>
      </c>
      <c r="AW5" s="22">
        <v>0</v>
      </c>
      <c r="AX5" s="22">
        <f t="shared" ref="AX5:AX67" si="37">MAX(AU5-AW5,0)</f>
        <v>5</v>
      </c>
      <c r="AY5" s="23" t="str">
        <f>IF(SUMPRODUCT($J$71:AX$71,$J5:AX5)&lt;0.5,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IF(SUMPRODUCT($J$71:BA$71,$J5:BA5)&lt;0.5, "Pending", IF(BA5&lt;0.5, "Complete", "In Progress"))</f>
        <v>#REF!</v>
      </c>
      <c r="BC5" s="22">
        <v>0</v>
      </c>
      <c r="BD5" s="22" t="e">
        <f t="shared" ref="BD5:BD67" si="38">MAX(BA5-BC5,0)</f>
        <v>#REF!</v>
      </c>
      <c r="BE5" s="23" t="e">
        <f>IF(SUMPRODUCT($J$71:BD$71,$J5:BD5)&lt;0.5, "Pending", IF(BD5&lt;0.5, "Complete", "In Progress"))</f>
        <v>#REF!</v>
      </c>
      <c r="BF5" s="22">
        <v>0</v>
      </c>
      <c r="BG5" s="22" t="e">
        <f t="shared" ref="BG5:BG67" si="39">MAX(BD5-BF5,0)</f>
        <v>#REF!</v>
      </c>
      <c r="BH5" s="23" t="e">
        <f>IF(SUMPRODUCT($J$71:BG$71,$J5:BG5)&lt;0.5, "Pending", IF(BG5&lt;0.5, "Complete", "In Progress"))</f>
        <v>#REF!</v>
      </c>
      <c r="BI5" s="22">
        <v>0</v>
      </c>
      <c r="BJ5" s="22" t="e">
        <f t="shared" ref="BJ5:BJ67" si="40">MAX(BG5-BI5,0)</f>
        <v>#REF!</v>
      </c>
      <c r="BK5" s="23" t="e">
        <f>IF(SUMPRODUCT($J$71:BJ$71,$J5:BJ5)&lt;0.5, "Pending", IF(BJ5&lt;0.5, "Complete", "In Progress"))</f>
        <v>#REF!</v>
      </c>
      <c r="BL5" s="22">
        <v>0</v>
      </c>
      <c r="BM5" s="22" t="e">
        <f t="shared" ref="BM5:BM67" si="41">MAX(BJ5-BL5,0)</f>
        <v>#REF!</v>
      </c>
      <c r="BN5" s="23" t="e">
        <f>IF(SUMPRODUCT($J$71:BM$71,$J5:BM5)&lt;0.5, "Pending", IF(BM5&lt;0.5, "Complete", "In Progress"))</f>
        <v>#REF!</v>
      </c>
      <c r="BO5" s="22">
        <v>0</v>
      </c>
      <c r="BP5" s="22" t="e">
        <f t="shared" ref="BP5:BP67" si="42">MAX(BM5-BO5,0)</f>
        <v>#REF!</v>
      </c>
      <c r="BQ5" s="23" t="e">
        <f>IF(SUMPRODUCT($J$71:BP$71,$J5:BP5)&lt;0.5, "Pending", IF(BP5&lt;0.5, "Complete", "In Progress"))</f>
        <v>#REF!</v>
      </c>
      <c r="BR5" s="22">
        <v>0</v>
      </c>
      <c r="BS5" s="22" t="e">
        <f t="shared" ref="BS5:BS67" si="43">MAX(BP5-BR5,0)</f>
        <v>#REF!</v>
      </c>
      <c r="BT5" s="23" t="e">
        <f>IF(SUMPRODUCT($J$71:BS$71,$J5:BS5)&lt;0.5, "Pending", IF(BS5&lt;0.5, "Complete", "In Progress"))</f>
        <v>#REF!</v>
      </c>
      <c r="BU5" s="22">
        <v>0</v>
      </c>
      <c r="BV5" s="22" t="e">
        <f t="shared" ref="BV5:BV67" si="44">MAX(BS5-BU5,0)</f>
        <v>#REF!</v>
      </c>
      <c r="BW5" s="23" t="e">
        <f>IF(SUMPRODUCT($J$71:BV$71,$J5:BV5)&lt;0.5, "Pending", IF(BV5&lt;0.5, "Complete", "In Progress"))</f>
        <v>#REF!</v>
      </c>
      <c r="BX5" s="22">
        <v>0</v>
      </c>
      <c r="BY5" s="22" t="e">
        <f t="shared" ref="BY5:BY67" si="45">MAX(BV5-BX5,0)</f>
        <v>#REF!</v>
      </c>
      <c r="BZ5" s="23" t="e">
        <f>IF(SUMPRODUCT($J$71:BY$71,$J5:BY5)&lt;0.5, "Pending", IF(BY5&lt;0.5, "Complete", "In Progress"))</f>
        <v>#REF!</v>
      </c>
      <c r="CA5" s="22">
        <v>0</v>
      </c>
      <c r="CB5" s="22" t="e">
        <f t="shared" ref="CB5:CB67" si="46">MAX(BY5-CA5,0)</f>
        <v>#REF!</v>
      </c>
      <c r="CC5" s="23" t="e">
        <f>IF(SUMPRODUCT($J$71:CB$71,$J5:CB5)&lt;0.5, "Pending", IF(CB5&lt;0.5, "Complete", "In Progress"))</f>
        <v>#REF!</v>
      </c>
      <c r="CD5" s="24"/>
      <c r="CE5" s="25">
        <f>SUMPRODUCT($H$71:AY$71,$H5:AY5)</f>
        <v>0</v>
      </c>
    </row>
    <row r="6" spans="1:83" x14ac:dyDescent="0.2">
      <c r="A6" s="16"/>
      <c r="B6" s="16" t="s">
        <v>126</v>
      </c>
      <c r="C6" s="16" t="s">
        <v>162</v>
      </c>
      <c r="D6" s="17" t="s">
        <v>159</v>
      </c>
      <c r="E6" s="178" t="s">
        <v>155</v>
      </c>
      <c r="F6" s="18" t="s">
        <v>117</v>
      </c>
      <c r="G6" s="19" t="str">
        <f t="shared" ca="1" si="0"/>
        <v>Pending</v>
      </c>
      <c r="H6" s="20">
        <v>1</v>
      </c>
      <c r="I6" s="21">
        <v>13</v>
      </c>
      <c r="J6" s="22">
        <v>0</v>
      </c>
      <c r="K6" s="22">
        <f t="shared" si="24"/>
        <v>13</v>
      </c>
      <c r="L6" s="23" t="str">
        <f>IF(SUMPRODUCT($J$71:K$71,$J6:K6)&lt;0.5, "Pending", IF(K6&lt;0.5, "Complete", "In Progress"))</f>
        <v>Pending</v>
      </c>
      <c r="M6" s="22">
        <v>0</v>
      </c>
      <c r="N6" s="22"/>
      <c r="O6" s="23" t="str">
        <f>IF(SUMPRODUCT($J$71:N$71,$J6:N6)&lt;0.5, "Pending", IF(N6&lt;0.5, "Complete", "In Progress"))</f>
        <v>Pending</v>
      </c>
      <c r="P6" s="22">
        <v>0</v>
      </c>
      <c r="Q6" s="22">
        <f t="shared" si="26"/>
        <v>0</v>
      </c>
      <c r="R6" s="23" t="str">
        <f>IF(SUMPRODUCT($J$71:Q$71,$J6:Q6)&lt;0.5, "Pending", IF(Q6&lt;0.5, "Complete", "In Progress"))</f>
        <v>Pending</v>
      </c>
      <c r="S6" s="22">
        <v>0</v>
      </c>
      <c r="T6" s="22">
        <f t="shared" si="27"/>
        <v>0</v>
      </c>
      <c r="U6" s="23" t="str">
        <f>IF(SUMPRODUCT($J$71:T$71,$J6:T6)&lt;0.5, "Pending", IF(T6&lt;0.5, "Complete", "In Progress"))</f>
        <v>Pending</v>
      </c>
      <c r="V6" s="22">
        <v>0</v>
      </c>
      <c r="W6" s="22">
        <f t="shared" si="28"/>
        <v>0</v>
      </c>
      <c r="X6" s="23" t="str">
        <f>IF(SUMPRODUCT($J$71:W$71,$J6:W6)&lt;0.5, "Pending", IF(W6&lt;0.5, "Complete", "In Progress"))</f>
        <v>Pending</v>
      </c>
      <c r="Y6" s="22">
        <v>0</v>
      </c>
      <c r="Z6" s="22">
        <f t="shared" si="29"/>
        <v>0</v>
      </c>
      <c r="AA6" s="23" t="str">
        <f>IF(SUMPRODUCT($J$71:Z$71,$J6:Z6)&lt;0.5, "Pending", IF(Z6&lt;0.5, "Complete", "In Progress"))</f>
        <v>Pending</v>
      </c>
      <c r="AB6" s="22">
        <v>0</v>
      </c>
      <c r="AC6" s="22">
        <f t="shared" si="30"/>
        <v>0</v>
      </c>
      <c r="AD6" s="23" t="str">
        <f>IF(SUMPRODUCT($J$71:AC$71,$J6:AC6)&lt;0.5, "Pending", IF(AC6&lt;0.5, "Complete", "In Progress"))</f>
        <v>Pending</v>
      </c>
      <c r="AE6" s="22">
        <v>0</v>
      </c>
      <c r="AF6" s="22">
        <f t="shared" si="31"/>
        <v>0</v>
      </c>
      <c r="AG6" s="23" t="str">
        <f>IF(SUMPRODUCT($J$71:AF$71,$J6:AF6)&lt;0.5, "Pending", IF(AF6&lt;0.5, "Complete", "In Progress"))</f>
        <v>Pending</v>
      </c>
      <c r="AH6" s="22">
        <v>0</v>
      </c>
      <c r="AI6" s="22">
        <f t="shared" si="32"/>
        <v>0</v>
      </c>
      <c r="AJ6" s="23" t="str">
        <f>IF(SUMPRODUCT($J$71:AI$71,$J6:AI6)&lt;0.5, "Pending", IF(AI6&lt;0.5, "Complete", "In Progress"))</f>
        <v>Pending</v>
      </c>
      <c r="AK6" s="22">
        <v>0</v>
      </c>
      <c r="AL6" s="22">
        <f t="shared" si="33"/>
        <v>0</v>
      </c>
      <c r="AM6" s="23" t="str">
        <f>IF(SUMPRODUCT($J$71:AL$71,$J6:AL6)&lt;0.5, "Pending", IF(AL6&lt;0.5, "Complete", "In Progress"))</f>
        <v>Pending</v>
      </c>
      <c r="AN6" s="22">
        <v>0</v>
      </c>
      <c r="AO6" s="22">
        <f t="shared" si="34"/>
        <v>0</v>
      </c>
      <c r="AP6" s="23" t="str">
        <f>IF(SUMPRODUCT($J$71:AO$71,$J6:AO6)&lt;0.5, "Pending", IF(AO6&lt;0.5, "Complete", "In Progress"))</f>
        <v>Pending</v>
      </c>
      <c r="AQ6" s="22">
        <v>0</v>
      </c>
      <c r="AR6" s="22">
        <f t="shared" si="35"/>
        <v>0</v>
      </c>
      <c r="AS6" s="23" t="str">
        <f>IF(SUMPRODUCT($J$71:AR$71,$J6:AR6)&lt;0.5, "Pending", IF(AR6&lt;0.5, "Complete", "In Progress"))</f>
        <v>Pending</v>
      </c>
      <c r="AT6" s="22">
        <v>0</v>
      </c>
      <c r="AU6" s="22">
        <f t="shared" si="36"/>
        <v>0</v>
      </c>
      <c r="AV6" s="23" t="str">
        <f>IF(SUMPRODUCT($J$71:AU$71,$J6:AU6)&lt;0.5, "Pending", IF(AU6&lt;0.5, "Complete", "In Progress"))</f>
        <v>Pending</v>
      </c>
      <c r="AW6" s="22">
        <v>0</v>
      </c>
      <c r="AX6" s="22">
        <f t="shared" si="37"/>
        <v>0</v>
      </c>
      <c r="AY6" s="23" t="str">
        <f>IF(SUMPRODUCT($J$71:AX$71,$J6:AX6)&lt;0.5,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IF(SUMPRODUCT($J$71:BA$71,$J6:BA6)&lt;0.5,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IF(SUMPRODUCT($J$71:BD$71,$J6:BD6)&lt;0.5,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IF(SUMPRODUCT($J$71:BG$71,$J6:BG6)&lt;0.5,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IF(SUMPRODUCT($J$71:BJ$71,$J6:BJ6)&lt;0.5,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IF(SUMPRODUCT($J$71:BM$71,$J6:BM6)&lt;0.5,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IF(SUMPRODUCT($J$71:BP$71,$J6:BP6)&lt;0.5,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IF(SUMPRODUCT($J$71:BS$71,$J6:BS6)&lt;0.5,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IF(SUMPRODUCT($J$71:BV$71,$J6:BV6)&lt;0.5,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IF(SUMPRODUCT($J$71:BY$71,$J6:BY6)&lt;0.5,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IF(SUMPRODUCT($J$71:CB$71,$J6:CB6)&lt;0.5, "Pending", IF(CB6&lt;0.5, "Complete", "In Progress"))</f>
        <v>#REF!</v>
      </c>
      <c r="CD6" s="24"/>
      <c r="CE6" s="25">
        <f>SUMPRODUCT($H$71:AY$71,$H6:AY6)</f>
        <v>0</v>
      </c>
    </row>
    <row r="7" spans="1:83" x14ac:dyDescent="0.2">
      <c r="A7" s="16"/>
      <c r="B7" s="16" t="s">
        <v>129</v>
      </c>
      <c r="C7" s="16" t="s">
        <v>162</v>
      </c>
      <c r="D7" s="17" t="s">
        <v>160</v>
      </c>
      <c r="E7" s="178" t="s">
        <v>156</v>
      </c>
      <c r="F7" s="18" t="s">
        <v>117</v>
      </c>
      <c r="G7" s="19" t="str">
        <f t="shared" ca="1" si="0"/>
        <v>Pending</v>
      </c>
      <c r="H7" s="20">
        <v>1</v>
      </c>
      <c r="I7" s="21">
        <v>2</v>
      </c>
      <c r="J7" s="22">
        <v>0</v>
      </c>
      <c r="K7" s="22">
        <f t="shared" si="24"/>
        <v>2</v>
      </c>
      <c r="L7" s="23" t="str">
        <f>IF(SUMPRODUCT($J$71:K$71,$J7:K7)&lt;0.5, "Pending", IF(K7&lt;0.5, "Complete", "In Progress"))</f>
        <v>Pending</v>
      </c>
      <c r="M7" s="22">
        <v>0</v>
      </c>
      <c r="N7" s="22">
        <f t="shared" si="25"/>
        <v>2</v>
      </c>
      <c r="O7" s="23" t="str">
        <f>IF(SUMPRODUCT($J$71:N$71,$J7:N7)&lt;0.5, "Pending", IF(N7&lt;0.5, "Complete", "In Progress"))</f>
        <v>Pending</v>
      </c>
      <c r="P7" s="22">
        <v>0</v>
      </c>
      <c r="Q7" s="22">
        <f t="shared" si="26"/>
        <v>2</v>
      </c>
      <c r="R7" s="23" t="str">
        <f>IF(SUMPRODUCT($J$71:Q$71,$J7:Q7)&lt;0.5, "Pending", IF(Q7&lt;0.5, "Complete", "In Progress"))</f>
        <v>Pending</v>
      </c>
      <c r="S7" s="22">
        <v>0</v>
      </c>
      <c r="T7" s="22">
        <f t="shared" si="27"/>
        <v>2</v>
      </c>
      <c r="U7" s="23" t="str">
        <f>IF(SUMPRODUCT($J$71:T$71,$J7:T7)&lt;0.5, "Pending", IF(T7&lt;0.5, "Complete", "In Progress"))</f>
        <v>Pending</v>
      </c>
      <c r="V7" s="22">
        <v>0</v>
      </c>
      <c r="W7" s="22">
        <f t="shared" si="28"/>
        <v>2</v>
      </c>
      <c r="X7" s="23" t="str">
        <f>IF(SUMPRODUCT($J$71:W$71,$J7:W7)&lt;0.5, "Pending", IF(W7&lt;0.5, "Complete", "In Progress"))</f>
        <v>Pending</v>
      </c>
      <c r="Y7" s="22">
        <v>0</v>
      </c>
      <c r="Z7" s="22">
        <f t="shared" si="29"/>
        <v>2</v>
      </c>
      <c r="AA7" s="23" t="str">
        <f>IF(SUMPRODUCT($J$71:Z$71,$J7:Z7)&lt;0.5, "Pending", IF(Z7&lt;0.5, "Complete", "In Progress"))</f>
        <v>Pending</v>
      </c>
      <c r="AB7" s="22">
        <v>0</v>
      </c>
      <c r="AC7" s="22">
        <f t="shared" si="30"/>
        <v>2</v>
      </c>
      <c r="AD7" s="23" t="str">
        <f>IF(SUMPRODUCT($J$71:AC$71,$J7:AC7)&lt;0.5, "Pending", IF(AC7&lt;0.5, "Complete", "In Progress"))</f>
        <v>Pending</v>
      </c>
      <c r="AE7" s="22">
        <v>0</v>
      </c>
      <c r="AF7" s="22">
        <f t="shared" si="31"/>
        <v>2</v>
      </c>
      <c r="AG7" s="23" t="str">
        <f>IF(SUMPRODUCT($J$71:AF$71,$J7:AF7)&lt;0.5, "Pending", IF(AF7&lt;0.5, "Complete", "In Progress"))</f>
        <v>Pending</v>
      </c>
      <c r="AH7" s="22">
        <v>0</v>
      </c>
      <c r="AI7" s="22">
        <f t="shared" si="32"/>
        <v>2</v>
      </c>
      <c r="AJ7" s="23" t="str">
        <f>IF(SUMPRODUCT($J$71:AI$71,$J7:AI7)&lt;0.5, "Pending", IF(AI7&lt;0.5, "Complete", "In Progress"))</f>
        <v>Pending</v>
      </c>
      <c r="AK7" s="22">
        <v>0</v>
      </c>
      <c r="AL7" s="22">
        <f t="shared" si="33"/>
        <v>2</v>
      </c>
      <c r="AM7" s="23" t="str">
        <f>IF(SUMPRODUCT($J$71:AL$71,$J7:AL7)&lt;0.5, "Pending", IF(AL7&lt;0.5, "Complete", "In Progress"))</f>
        <v>Pending</v>
      </c>
      <c r="AN7" s="22">
        <v>0</v>
      </c>
      <c r="AO7" s="22">
        <f t="shared" si="34"/>
        <v>2</v>
      </c>
      <c r="AP7" s="23" t="str">
        <f>IF(SUMPRODUCT($J$71:AO$71,$J7:AO7)&lt;0.5, "Pending", IF(AO7&lt;0.5, "Complete", "In Progress"))</f>
        <v>Pending</v>
      </c>
      <c r="AQ7" s="22">
        <v>0</v>
      </c>
      <c r="AR7" s="22">
        <f t="shared" si="35"/>
        <v>2</v>
      </c>
      <c r="AS7" s="23" t="str">
        <f>IF(SUMPRODUCT($J$71:AR$71,$J7:AR7)&lt;0.5, "Pending", IF(AR7&lt;0.5, "Complete", "In Progress"))</f>
        <v>Pending</v>
      </c>
      <c r="AT7" s="22">
        <v>0</v>
      </c>
      <c r="AU7" s="22">
        <f t="shared" si="36"/>
        <v>2</v>
      </c>
      <c r="AV7" s="23" t="str">
        <f>IF(SUMPRODUCT($J$71:AU$71,$J7:AU7)&lt;0.5, "Pending", IF(AU7&lt;0.5, "Complete", "In Progress"))</f>
        <v>Pending</v>
      </c>
      <c r="AW7" s="22">
        <v>0</v>
      </c>
      <c r="AX7" s="22">
        <f t="shared" si="37"/>
        <v>2</v>
      </c>
      <c r="AY7" s="23" t="str">
        <f>IF(SUMPRODUCT($J$71:AX$71,$J7:AX7)&lt;0.5,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IF(SUMPRODUCT($J$71:BA$71,$J7:BA7)&lt;0.5,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IF(SUMPRODUCT($J$71:BD$71,$J7:BD7)&lt;0.5,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IF(SUMPRODUCT($J$71:BG$71,$J7:BG7)&lt;0.5,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IF(SUMPRODUCT($J$71:BJ$71,$J7:BJ7)&lt;0.5,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IF(SUMPRODUCT($J$71:BM$71,$J7:BM7)&lt;0.5,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IF(SUMPRODUCT($J$71:BP$71,$J7:BP7)&lt;0.5,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IF(SUMPRODUCT($J$71:BS$71,$J7:BS7)&lt;0.5,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IF(SUMPRODUCT($J$71:BV$71,$J7:BV7)&lt;0.5,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IF(SUMPRODUCT($J$71:BY$71,$J7:BY7)&lt;0.5,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IF(SUMPRODUCT($J$71:CB$71,$J7:CB7)&lt;0.5, "Pending", IF(CB7&lt;0.5, "Complete", "In Progress"))</f>
        <v>#REF!</v>
      </c>
      <c r="CD7" s="24"/>
      <c r="CE7" s="25">
        <f>SUMPRODUCT($H$71:AY$71,$H7:AY7)</f>
        <v>0</v>
      </c>
    </row>
    <row r="8" spans="1:83" x14ac:dyDescent="0.2">
      <c r="A8" s="16"/>
      <c r="B8" s="16" t="s">
        <v>127</v>
      </c>
      <c r="C8" s="16" t="s">
        <v>162</v>
      </c>
      <c r="D8" s="17" t="s">
        <v>161</v>
      </c>
      <c r="E8" s="178" t="s">
        <v>157</v>
      </c>
      <c r="F8" s="18" t="s">
        <v>117</v>
      </c>
      <c r="G8" s="19" t="str">
        <f t="shared" ca="1" si="0"/>
        <v>Pending</v>
      </c>
      <c r="H8" s="20">
        <v>1</v>
      </c>
      <c r="I8" s="21">
        <v>8</v>
      </c>
      <c r="J8" s="22">
        <v>0</v>
      </c>
      <c r="K8" s="22">
        <f t="shared" si="24"/>
        <v>8</v>
      </c>
      <c r="L8" s="23" t="str">
        <f>IF(SUMPRODUCT($J$71:K$71,$J8:K8)&lt;0.5, "Pending", IF(K8&lt;0.5, "Complete", "In Progress"))</f>
        <v>Pending</v>
      </c>
      <c r="M8" s="22">
        <v>0</v>
      </c>
      <c r="N8" s="22">
        <f t="shared" si="25"/>
        <v>8</v>
      </c>
      <c r="O8" s="23" t="str">
        <f>IF(SUMPRODUCT($J$71:N$71,$J8:N8)&lt;0.5, "Pending", IF(N8&lt;0.5, "Complete", "In Progress"))</f>
        <v>Pending</v>
      </c>
      <c r="P8" s="22">
        <v>0</v>
      </c>
      <c r="Q8" s="22">
        <f t="shared" si="26"/>
        <v>8</v>
      </c>
      <c r="R8" s="23" t="str">
        <f>IF(SUMPRODUCT($J$71:Q$71,$J8:Q8)&lt;0.5, "Pending", IF(Q8&lt;0.5, "Complete", "In Progress"))</f>
        <v>Pending</v>
      </c>
      <c r="S8" s="22">
        <v>0</v>
      </c>
      <c r="T8" s="22">
        <f t="shared" si="27"/>
        <v>8</v>
      </c>
      <c r="U8" s="23" t="str">
        <f>IF(SUMPRODUCT($J$71:T$71,$J8:T8)&lt;0.5, "Pending", IF(T8&lt;0.5, "Complete", "In Progress"))</f>
        <v>Pending</v>
      </c>
      <c r="V8" s="22">
        <v>0</v>
      </c>
      <c r="W8" s="22">
        <f t="shared" si="28"/>
        <v>8</v>
      </c>
      <c r="X8" s="23" t="str">
        <f>IF(SUMPRODUCT($J$71:W$71,$J8:W8)&lt;0.5, "Pending", IF(W8&lt;0.5, "Complete", "In Progress"))</f>
        <v>Pending</v>
      </c>
      <c r="Y8" s="22">
        <v>0</v>
      </c>
      <c r="Z8" s="22">
        <f t="shared" si="29"/>
        <v>8</v>
      </c>
      <c r="AA8" s="23" t="str">
        <f>IF(SUMPRODUCT($J$71:Z$71,$J8:Z8)&lt;0.5, "Pending", IF(Z8&lt;0.5, "Complete", "In Progress"))</f>
        <v>Pending</v>
      </c>
      <c r="AB8" s="22">
        <v>0</v>
      </c>
      <c r="AC8" s="22">
        <f t="shared" si="30"/>
        <v>8</v>
      </c>
      <c r="AD8" s="23" t="str">
        <f>IF(SUMPRODUCT($J$71:AC$71,$J8:AC8)&lt;0.5, "Pending", IF(AC8&lt;0.5, "Complete", "In Progress"))</f>
        <v>Pending</v>
      </c>
      <c r="AE8" s="22">
        <v>0</v>
      </c>
      <c r="AF8" s="22">
        <f t="shared" si="31"/>
        <v>8</v>
      </c>
      <c r="AG8" s="23" t="str">
        <f>IF(SUMPRODUCT($J$71:AF$71,$J8:AF8)&lt;0.5, "Pending", IF(AF8&lt;0.5, "Complete", "In Progress"))</f>
        <v>Pending</v>
      </c>
      <c r="AH8" s="22">
        <v>0</v>
      </c>
      <c r="AI8" s="22">
        <f t="shared" si="32"/>
        <v>8</v>
      </c>
      <c r="AJ8" s="23" t="str">
        <f>IF(SUMPRODUCT($J$71:AI$71,$J8:AI8)&lt;0.5, "Pending", IF(AI8&lt;0.5, "Complete", "In Progress"))</f>
        <v>Pending</v>
      </c>
      <c r="AK8" s="22">
        <v>0</v>
      </c>
      <c r="AL8" s="22">
        <f t="shared" si="33"/>
        <v>8</v>
      </c>
      <c r="AM8" s="23" t="str">
        <f>IF(SUMPRODUCT($J$71:AL$71,$J8:AL8)&lt;0.5, "Pending", IF(AL8&lt;0.5, "Complete", "In Progress"))</f>
        <v>Pending</v>
      </c>
      <c r="AN8" s="22">
        <v>0</v>
      </c>
      <c r="AO8" s="22">
        <f t="shared" si="34"/>
        <v>8</v>
      </c>
      <c r="AP8" s="23" t="str">
        <f>IF(SUMPRODUCT($J$71:AO$71,$J8:AO8)&lt;0.5, "Pending", IF(AO8&lt;0.5, "Complete", "In Progress"))</f>
        <v>Pending</v>
      </c>
      <c r="AQ8" s="22">
        <v>0</v>
      </c>
      <c r="AR8" s="22">
        <f t="shared" si="35"/>
        <v>8</v>
      </c>
      <c r="AS8" s="23" t="str">
        <f>IF(SUMPRODUCT($J$71:AR$71,$J8:AR8)&lt;0.5, "Pending", IF(AR8&lt;0.5, "Complete", "In Progress"))</f>
        <v>Pending</v>
      </c>
      <c r="AT8" s="22">
        <v>0</v>
      </c>
      <c r="AU8" s="22">
        <f t="shared" si="36"/>
        <v>8</v>
      </c>
      <c r="AV8" s="23" t="str">
        <f>IF(SUMPRODUCT($J$71:AU$71,$J8:AU8)&lt;0.5, "Pending", IF(AU8&lt;0.5, "Complete", "In Progress"))</f>
        <v>Pending</v>
      </c>
      <c r="AW8" s="22">
        <v>0</v>
      </c>
      <c r="AX8" s="22">
        <f t="shared" si="37"/>
        <v>8</v>
      </c>
      <c r="AY8" s="23" t="str">
        <f>IF(SUMPRODUCT($J$71:AX$71,$J8:AX8)&lt;0.5,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IF(SUMPRODUCT($J$71:BA$71,$J8:BA8)&lt;0.5,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IF(SUMPRODUCT($J$71:BD$71,$J8:BD8)&lt;0.5,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IF(SUMPRODUCT($J$71:BG$71,$J8:BG8)&lt;0.5,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IF(SUMPRODUCT($J$71:BJ$71,$J8:BJ8)&lt;0.5,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IF(SUMPRODUCT($J$71:BM$71,$J8:BM8)&lt;0.5,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IF(SUMPRODUCT($J$71:BP$71,$J8:BP8)&lt;0.5,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IF(SUMPRODUCT($J$71:BS$71,$J8:BS8)&lt;0.5,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IF(SUMPRODUCT($J$71:BV$71,$J8:BV8)&lt;0.5,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IF(SUMPRODUCT($J$71:BY$71,$J8:BY8)&lt;0.5,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IF(SUMPRODUCT($J$71:CB$71,$J8:CB8)&lt;0.5, "Pending", IF(CB8&lt;0.5, "Complete", "In Progress"))</f>
        <v>#REF!</v>
      </c>
      <c r="CD8" s="24"/>
      <c r="CE8" s="25">
        <f>SUMPRODUCT($H$71:AY$71,$H8:AY8)</f>
        <v>0</v>
      </c>
    </row>
    <row r="9" spans="1:83" x14ac:dyDescent="0.2">
      <c r="A9" s="16"/>
      <c r="B9" s="16" t="s">
        <v>128</v>
      </c>
      <c r="C9" s="16" t="s">
        <v>162</v>
      </c>
      <c r="D9" s="17" t="s">
        <v>166</v>
      </c>
      <c r="E9" s="178" t="s">
        <v>164</v>
      </c>
      <c r="F9" s="18" t="s">
        <v>117</v>
      </c>
      <c r="G9" s="19" t="str">
        <f t="shared" ca="1" si="0"/>
        <v>Pending</v>
      </c>
      <c r="H9" s="20">
        <v>1</v>
      </c>
      <c r="I9" s="21">
        <v>5</v>
      </c>
      <c r="J9" s="22">
        <v>0</v>
      </c>
      <c r="K9" s="22">
        <f t="shared" si="24"/>
        <v>5</v>
      </c>
      <c r="L9" s="23" t="str">
        <f>IF(SUMPRODUCT($J$71:K$71,$J9:K9)&lt;0.5, "Pending", IF(K9&lt;0.5, "Complete", "In Progress"))</f>
        <v>Pending</v>
      </c>
      <c r="M9" s="22">
        <v>0</v>
      </c>
      <c r="N9" s="22">
        <f t="shared" si="25"/>
        <v>5</v>
      </c>
      <c r="O9" s="23" t="str">
        <f>IF(SUMPRODUCT($J$71:N$71,$J9:N9)&lt;0.5, "Pending", IF(N9&lt;0.5, "Complete", "In Progress"))</f>
        <v>Pending</v>
      </c>
      <c r="P9" s="22">
        <v>0</v>
      </c>
      <c r="Q9" s="22">
        <f t="shared" si="26"/>
        <v>5</v>
      </c>
      <c r="R9" s="23" t="str">
        <f>IF(SUMPRODUCT($J$71:Q$71,$J9:Q9)&lt;0.5, "Pending", IF(Q9&lt;0.5, "Complete", "In Progress"))</f>
        <v>Pending</v>
      </c>
      <c r="S9" s="22">
        <v>0</v>
      </c>
      <c r="T9" s="22">
        <f t="shared" si="27"/>
        <v>5</v>
      </c>
      <c r="U9" s="23" t="str">
        <f>IF(SUMPRODUCT($J$71:T$71,$J9:T9)&lt;0.5, "Pending", IF(T9&lt;0.5, "Complete", "In Progress"))</f>
        <v>Pending</v>
      </c>
      <c r="V9" s="22">
        <v>0</v>
      </c>
      <c r="W9" s="22">
        <f t="shared" si="28"/>
        <v>5</v>
      </c>
      <c r="X9" s="23" t="str">
        <f>IF(SUMPRODUCT($J$71:W$71,$J9:W9)&lt;0.5, "Pending", IF(W9&lt;0.5, "Complete", "In Progress"))</f>
        <v>Pending</v>
      </c>
      <c r="Y9" s="22">
        <v>0</v>
      </c>
      <c r="Z9" s="22">
        <f t="shared" si="29"/>
        <v>5</v>
      </c>
      <c r="AA9" s="23" t="str">
        <f>IF(SUMPRODUCT($J$71:Z$71,$J9:Z9)&lt;0.5, "Pending", IF(Z9&lt;0.5, "Complete", "In Progress"))</f>
        <v>Pending</v>
      </c>
      <c r="AB9" s="22">
        <v>0</v>
      </c>
      <c r="AC9" s="22">
        <f t="shared" si="30"/>
        <v>5</v>
      </c>
      <c r="AD9" s="23" t="str">
        <f>IF(SUMPRODUCT($J$71:AC$71,$J9:AC9)&lt;0.5, "Pending", IF(AC9&lt;0.5, "Complete", "In Progress"))</f>
        <v>Pending</v>
      </c>
      <c r="AE9" s="22">
        <v>0</v>
      </c>
      <c r="AF9" s="22">
        <f t="shared" si="31"/>
        <v>5</v>
      </c>
      <c r="AG9" s="23" t="str">
        <f>IF(SUMPRODUCT($J$71:AF$71,$J9:AF9)&lt;0.5, "Pending", IF(AF9&lt;0.5, "Complete", "In Progress"))</f>
        <v>Pending</v>
      </c>
      <c r="AH9" s="22">
        <v>0</v>
      </c>
      <c r="AI9" s="22">
        <f t="shared" si="32"/>
        <v>5</v>
      </c>
      <c r="AJ9" s="23" t="str">
        <f>IF(SUMPRODUCT($J$71:AI$71,$J9:AI9)&lt;0.5, "Pending", IF(AI9&lt;0.5, "Complete", "In Progress"))</f>
        <v>Pending</v>
      </c>
      <c r="AK9" s="22">
        <v>0</v>
      </c>
      <c r="AL9" s="22">
        <f t="shared" si="33"/>
        <v>5</v>
      </c>
      <c r="AM9" s="23" t="str">
        <f>IF(SUMPRODUCT($J$71:AL$71,$J9:AL9)&lt;0.5, "Pending", IF(AL9&lt;0.5, "Complete", "In Progress"))</f>
        <v>Pending</v>
      </c>
      <c r="AN9" s="22">
        <v>0</v>
      </c>
      <c r="AO9" s="22">
        <f t="shared" si="34"/>
        <v>5</v>
      </c>
      <c r="AP9" s="23" t="str">
        <f>IF(SUMPRODUCT($J$71:AO$71,$J9:AO9)&lt;0.5, "Pending", IF(AO9&lt;0.5, "Complete", "In Progress"))</f>
        <v>Pending</v>
      </c>
      <c r="AQ9" s="22">
        <v>0</v>
      </c>
      <c r="AR9" s="22">
        <f t="shared" si="35"/>
        <v>5</v>
      </c>
      <c r="AS9" s="23" t="str">
        <f>IF(SUMPRODUCT($J$71:AR$71,$J9:AR9)&lt;0.5, "Pending", IF(AR9&lt;0.5, "Complete", "In Progress"))</f>
        <v>Pending</v>
      </c>
      <c r="AT9" s="22">
        <v>0</v>
      </c>
      <c r="AU9" s="22">
        <f t="shared" si="36"/>
        <v>5</v>
      </c>
      <c r="AV9" s="23" t="str">
        <f>IF(SUMPRODUCT($J$71:AU$71,$J9:AU9)&lt;0.5, "Pending", IF(AU9&lt;0.5, "Complete", "In Progress"))</f>
        <v>Pending</v>
      </c>
      <c r="AW9" s="22">
        <v>0</v>
      </c>
      <c r="AX9" s="22">
        <f t="shared" si="37"/>
        <v>5</v>
      </c>
      <c r="AY9" s="23" t="str">
        <f>IF(SUMPRODUCT($J$71:AX$71,$J9:AX9)&lt;0.5,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IF(SUMPRODUCT($J$71:BA$71,$J9:BA9)&lt;0.5,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IF(SUMPRODUCT($J$71:BD$71,$J9:BD9)&lt;0.5,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IF(SUMPRODUCT($J$71:BG$71,$J9:BG9)&lt;0.5,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IF(SUMPRODUCT($J$71:BJ$71,$J9:BJ9)&lt;0.5,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IF(SUMPRODUCT($J$71:BM$71,$J9:BM9)&lt;0.5,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IF(SUMPRODUCT($J$71:BP$71,$J9:BP9)&lt;0.5,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IF(SUMPRODUCT($J$71:BS$71,$J9:BS9)&lt;0.5,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IF(SUMPRODUCT($J$71:BV$71,$J9:BV9)&lt;0.5,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IF(SUMPRODUCT($J$71:BY$71,$J9:BY9)&lt;0.5,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IF(SUMPRODUCT($J$71:CB$71,$J9:CB9)&lt;0.5, "Pending", IF(CB9&lt;0.5, "Complete", "In Progress"))</f>
        <v>#REF!</v>
      </c>
      <c r="CD9" s="24"/>
      <c r="CE9" s="25">
        <f>SUMPRODUCT($H$71:AY$71,$H9:AY9)</f>
        <v>0</v>
      </c>
    </row>
    <row r="10" spans="1:83" x14ac:dyDescent="0.2">
      <c r="A10" s="16"/>
      <c r="B10" s="16" t="s">
        <v>128</v>
      </c>
      <c r="C10" s="16" t="s">
        <v>162</v>
      </c>
      <c r="D10" s="17" t="s">
        <v>167</v>
      </c>
      <c r="E10" s="178" t="s">
        <v>165</v>
      </c>
      <c r="F10" s="18" t="s">
        <v>117</v>
      </c>
      <c r="G10" s="19" t="str">
        <f t="shared" ca="1" si="0"/>
        <v>Pending</v>
      </c>
      <c r="H10" s="20">
        <v>1</v>
      </c>
      <c r="I10" s="21">
        <v>8</v>
      </c>
      <c r="J10" s="22">
        <v>0</v>
      </c>
      <c r="K10" s="22">
        <f t="shared" si="24"/>
        <v>8</v>
      </c>
      <c r="L10" s="23" t="str">
        <f>IF(SUMPRODUCT($J$71:K$71,$J10:K10)&lt;0.5, "Pending", IF(K10&lt;0.5, "Complete", "In Progress"))</f>
        <v>Pending</v>
      </c>
      <c r="M10" s="22">
        <v>0</v>
      </c>
      <c r="N10" s="22">
        <f t="shared" si="25"/>
        <v>8</v>
      </c>
      <c r="O10" s="23" t="str">
        <f>IF(SUMPRODUCT($J$71:N$71,$J10:N10)&lt;0.5, "Pending", IF(N10&lt;0.5, "Complete", "In Progress"))</f>
        <v>Pending</v>
      </c>
      <c r="P10" s="22">
        <v>0</v>
      </c>
      <c r="Q10" s="22">
        <f t="shared" si="26"/>
        <v>8</v>
      </c>
      <c r="R10" s="23" t="str">
        <f>IF(SUMPRODUCT($J$71:Q$71,$J10:Q10)&lt;0.5, "Pending", IF(Q10&lt;0.5, "Complete", "In Progress"))</f>
        <v>Pending</v>
      </c>
      <c r="S10" s="22">
        <v>0</v>
      </c>
      <c r="T10" s="22">
        <f t="shared" si="27"/>
        <v>8</v>
      </c>
      <c r="U10" s="23" t="str">
        <f>IF(SUMPRODUCT($J$71:T$71,$J10:T10)&lt;0.5, "Pending", IF(T10&lt;0.5, "Complete", "In Progress"))</f>
        <v>Pending</v>
      </c>
      <c r="V10" s="22">
        <v>0</v>
      </c>
      <c r="W10" s="22">
        <f t="shared" si="28"/>
        <v>8</v>
      </c>
      <c r="X10" s="23" t="str">
        <f>IF(SUMPRODUCT($J$71:W$71,$J10:W10)&lt;0.5, "Pending", IF(W10&lt;0.5, "Complete", "In Progress"))</f>
        <v>Pending</v>
      </c>
      <c r="Y10" s="22">
        <v>0</v>
      </c>
      <c r="Z10" s="22">
        <f t="shared" si="29"/>
        <v>8</v>
      </c>
      <c r="AA10" s="23" t="str">
        <f>IF(SUMPRODUCT($J$71:Z$71,$J10:Z10)&lt;0.5, "Pending", IF(Z10&lt;0.5, "Complete", "In Progress"))</f>
        <v>Pending</v>
      </c>
      <c r="AB10" s="22">
        <v>0</v>
      </c>
      <c r="AC10" s="22">
        <f t="shared" si="30"/>
        <v>8</v>
      </c>
      <c r="AD10" s="23" t="str">
        <f>IF(SUMPRODUCT($J$71:AC$71,$J10:AC10)&lt;0.5, "Pending", IF(AC10&lt;0.5, "Complete", "In Progress"))</f>
        <v>Pending</v>
      </c>
      <c r="AE10" s="22">
        <v>0</v>
      </c>
      <c r="AF10" s="22">
        <f t="shared" si="31"/>
        <v>8</v>
      </c>
      <c r="AG10" s="23" t="str">
        <f>IF(SUMPRODUCT($J$71:AF$71,$J10:AF10)&lt;0.5, "Pending", IF(AF10&lt;0.5, "Complete", "In Progress"))</f>
        <v>Pending</v>
      </c>
      <c r="AH10" s="22">
        <v>0</v>
      </c>
      <c r="AI10" s="22">
        <f t="shared" si="32"/>
        <v>8</v>
      </c>
      <c r="AJ10" s="23" t="str">
        <f>IF(SUMPRODUCT($J$71:AI$71,$J10:AI10)&lt;0.5, "Pending", IF(AI10&lt;0.5, "Complete", "In Progress"))</f>
        <v>Pending</v>
      </c>
      <c r="AK10" s="22">
        <v>0</v>
      </c>
      <c r="AL10" s="22">
        <f t="shared" si="33"/>
        <v>8</v>
      </c>
      <c r="AM10" s="23" t="str">
        <f>IF(SUMPRODUCT($J$71:AL$71,$J10:AL10)&lt;0.5, "Pending", IF(AL10&lt;0.5, "Complete", "In Progress"))</f>
        <v>Pending</v>
      </c>
      <c r="AN10" s="22">
        <v>0</v>
      </c>
      <c r="AO10" s="22">
        <f t="shared" si="34"/>
        <v>8</v>
      </c>
      <c r="AP10" s="23" t="str">
        <f>IF(SUMPRODUCT($J$71:AO$71,$J10:AO10)&lt;0.5, "Pending", IF(AO10&lt;0.5, "Complete", "In Progress"))</f>
        <v>Pending</v>
      </c>
      <c r="AQ10" s="22">
        <v>0</v>
      </c>
      <c r="AR10" s="22">
        <f t="shared" si="35"/>
        <v>8</v>
      </c>
      <c r="AS10" s="23" t="str">
        <f>IF(SUMPRODUCT($J$71:AR$71,$J10:AR10)&lt;0.5, "Pending", IF(AR10&lt;0.5, "Complete", "In Progress"))</f>
        <v>Pending</v>
      </c>
      <c r="AT10" s="22">
        <v>0</v>
      </c>
      <c r="AU10" s="22">
        <f t="shared" si="36"/>
        <v>8</v>
      </c>
      <c r="AV10" s="23" t="str">
        <f>IF(SUMPRODUCT($J$71:AU$71,$J10:AU10)&lt;0.5, "Pending", IF(AU10&lt;0.5, "Complete", "In Progress"))</f>
        <v>Pending</v>
      </c>
      <c r="AW10" s="22">
        <v>0</v>
      </c>
      <c r="AX10" s="22">
        <f t="shared" si="37"/>
        <v>8</v>
      </c>
      <c r="AY10" s="23" t="str">
        <f>IF(SUMPRODUCT($J$71:AX$71,$J10:AX10)&lt;0.5,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IF(SUMPRODUCT($J$71:BA$71,$J10:BA10)&lt;0.5,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IF(SUMPRODUCT($J$71:BD$71,$J10:BD10)&lt;0.5,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IF(SUMPRODUCT($J$71:BG$71,$J10:BG10)&lt;0.5,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IF(SUMPRODUCT($J$71:BJ$71,$J10:BJ10)&lt;0.5,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IF(SUMPRODUCT($J$71:BM$71,$J10:BM10)&lt;0.5,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IF(SUMPRODUCT($J$71:BP$71,$J10:BP10)&lt;0.5,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IF(SUMPRODUCT($J$71:BS$71,$J10:BS10)&lt;0.5,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IF(SUMPRODUCT($J$71:BV$71,$J10:BV10)&lt;0.5,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IF(SUMPRODUCT($J$71:BY$71,$J10:BY10)&lt;0.5,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IF(SUMPRODUCT($J$71:CB$71,$J10:CB10)&lt;0.5, "Pending", IF(CB10&lt;0.5, "Complete", "In Progress"))</f>
        <v>#REF!</v>
      </c>
      <c r="CD10" s="24"/>
      <c r="CE10" s="25">
        <f>SUMPRODUCT($H$71:AY$71,$H10:AY10)</f>
        <v>0</v>
      </c>
    </row>
    <row r="11" spans="1:83" x14ac:dyDescent="0.2">
      <c r="A11" s="16"/>
      <c r="B11" s="16" t="s">
        <v>128</v>
      </c>
      <c r="C11" s="16" t="s">
        <v>162</v>
      </c>
      <c r="D11" s="17" t="s">
        <v>168</v>
      </c>
      <c r="E11" s="178" t="s">
        <v>170</v>
      </c>
      <c r="F11" s="18" t="s">
        <v>117</v>
      </c>
      <c r="G11" s="19" t="str">
        <f t="shared" ca="1" si="0"/>
        <v>Pending</v>
      </c>
      <c r="H11" s="20">
        <v>1</v>
      </c>
      <c r="I11" s="21">
        <v>13</v>
      </c>
      <c r="J11" s="22">
        <v>0</v>
      </c>
      <c r="K11" s="22">
        <f t="shared" si="24"/>
        <v>13</v>
      </c>
      <c r="L11" s="23" t="str">
        <f>IF(SUMPRODUCT($J$71:K$71,$J11:K11)&lt;0.5, "Pending", IF(K11&lt;0.5, "Complete", "In Progress"))</f>
        <v>Pending</v>
      </c>
      <c r="M11" s="22">
        <v>0</v>
      </c>
      <c r="N11" s="22">
        <f t="shared" si="25"/>
        <v>13</v>
      </c>
      <c r="O11" s="23" t="str">
        <f>IF(SUMPRODUCT($J$71:N$71,$J11:N11)&lt;0.5, "Pending", IF(N11&lt;0.5, "Complete", "In Progress"))</f>
        <v>Pending</v>
      </c>
      <c r="P11" s="22">
        <v>0</v>
      </c>
      <c r="Q11" s="22">
        <f t="shared" si="26"/>
        <v>13</v>
      </c>
      <c r="R11" s="23" t="str">
        <f>IF(SUMPRODUCT($J$71:Q$71,$J11:Q11)&lt;0.5, "Pending", IF(Q11&lt;0.5, "Complete", "In Progress"))</f>
        <v>Pending</v>
      </c>
      <c r="S11" s="22">
        <v>0</v>
      </c>
      <c r="T11" s="22">
        <f t="shared" si="27"/>
        <v>13</v>
      </c>
      <c r="U11" s="23" t="str">
        <f>IF(SUMPRODUCT($J$71:T$71,$J11:T11)&lt;0.5, "Pending", IF(T11&lt;0.5, "Complete", "In Progress"))</f>
        <v>Pending</v>
      </c>
      <c r="V11" s="22">
        <v>0</v>
      </c>
      <c r="W11" s="22">
        <f t="shared" si="28"/>
        <v>13</v>
      </c>
      <c r="X11" s="23" t="str">
        <f>IF(SUMPRODUCT($J$71:W$71,$J11:W11)&lt;0.5, "Pending", IF(W11&lt;0.5, "Complete", "In Progress"))</f>
        <v>Pending</v>
      </c>
      <c r="Y11" s="22">
        <v>0</v>
      </c>
      <c r="Z11" s="22">
        <f t="shared" si="29"/>
        <v>13</v>
      </c>
      <c r="AA11" s="23" t="str">
        <f>IF(SUMPRODUCT($J$71:Z$71,$J11:Z11)&lt;0.5, "Pending", IF(Z11&lt;0.5, "Complete", "In Progress"))</f>
        <v>Pending</v>
      </c>
      <c r="AB11" s="22">
        <v>0</v>
      </c>
      <c r="AC11" s="22">
        <f t="shared" si="30"/>
        <v>13</v>
      </c>
      <c r="AD11" s="23" t="str">
        <f>IF(SUMPRODUCT($J$71:AC$71,$J11:AC11)&lt;0.5, "Pending", IF(AC11&lt;0.5, "Complete", "In Progress"))</f>
        <v>Pending</v>
      </c>
      <c r="AE11" s="22">
        <v>0</v>
      </c>
      <c r="AF11" s="22">
        <f t="shared" si="31"/>
        <v>13</v>
      </c>
      <c r="AG11" s="23" t="str">
        <f>IF(SUMPRODUCT($J$71:AF$71,$J11:AF11)&lt;0.5, "Pending", IF(AF11&lt;0.5, "Complete", "In Progress"))</f>
        <v>Pending</v>
      </c>
      <c r="AH11" s="22">
        <v>0</v>
      </c>
      <c r="AI11" s="22">
        <f t="shared" si="32"/>
        <v>13</v>
      </c>
      <c r="AJ11" s="23" t="str">
        <f>IF(SUMPRODUCT($J$71:AI$71,$J11:AI11)&lt;0.5, "Pending", IF(AI11&lt;0.5, "Complete", "In Progress"))</f>
        <v>Pending</v>
      </c>
      <c r="AK11" s="22">
        <v>0</v>
      </c>
      <c r="AL11" s="22">
        <f t="shared" si="33"/>
        <v>13</v>
      </c>
      <c r="AM11" s="23" t="str">
        <f>IF(SUMPRODUCT($J$71:AL$71,$J11:AL11)&lt;0.5, "Pending", IF(AL11&lt;0.5, "Complete", "In Progress"))</f>
        <v>Pending</v>
      </c>
      <c r="AN11" s="22">
        <v>0</v>
      </c>
      <c r="AO11" s="22">
        <f t="shared" si="34"/>
        <v>13</v>
      </c>
      <c r="AP11" s="23" t="str">
        <f>IF(SUMPRODUCT($J$71:AO$71,$J11:AO11)&lt;0.5, "Pending", IF(AO11&lt;0.5, "Complete", "In Progress"))</f>
        <v>Pending</v>
      </c>
      <c r="AQ11" s="22">
        <v>0</v>
      </c>
      <c r="AR11" s="22">
        <f t="shared" si="35"/>
        <v>13</v>
      </c>
      <c r="AS11" s="23" t="str">
        <f>IF(SUMPRODUCT($J$71:AR$71,$J11:AR11)&lt;0.5, "Pending", IF(AR11&lt;0.5, "Complete", "In Progress"))</f>
        <v>Pending</v>
      </c>
      <c r="AT11" s="22">
        <v>0</v>
      </c>
      <c r="AU11" s="22">
        <f t="shared" si="36"/>
        <v>13</v>
      </c>
      <c r="AV11" s="23" t="str">
        <f>IF(SUMPRODUCT($J$71:AU$71,$J11:AU11)&lt;0.5, "Pending", IF(AU11&lt;0.5, "Complete", "In Progress"))</f>
        <v>Pending</v>
      </c>
      <c r="AW11" s="22">
        <v>0</v>
      </c>
      <c r="AX11" s="22">
        <f t="shared" si="37"/>
        <v>13</v>
      </c>
      <c r="AY11" s="23" t="str">
        <f>IF(SUMPRODUCT($J$71:AX$71,$J11:AX11)&lt;0.5,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IF(SUMPRODUCT($J$71:BA$71,$J11:BA11)&lt;0.5,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IF(SUMPRODUCT($J$71:BD$71,$J11:BD11)&lt;0.5,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IF(SUMPRODUCT($J$71:BG$71,$J11:BG11)&lt;0.5,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IF(SUMPRODUCT($J$71:BJ$71,$J11:BJ11)&lt;0.5,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IF(SUMPRODUCT($J$71:BM$71,$J11:BM11)&lt;0.5,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IF(SUMPRODUCT($J$71:BP$71,$J11:BP11)&lt;0.5,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IF(SUMPRODUCT($J$71:BS$71,$J11:BS11)&lt;0.5,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IF(SUMPRODUCT($J$71:BV$71,$J11:BV11)&lt;0.5,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IF(SUMPRODUCT($J$71:BY$71,$J11:BY11)&lt;0.5,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IF(SUMPRODUCT($J$71:CB$71,$J11:CB11)&lt;0.5, "Pending", IF(CB11&lt;0.5, "Complete", "In Progress"))</f>
        <v>#REF!</v>
      </c>
      <c r="CD11" s="24"/>
      <c r="CE11" s="25">
        <f>SUMPRODUCT($H$71:AY$71,$H11:AY11)</f>
        <v>0</v>
      </c>
    </row>
    <row r="12" spans="1:83" x14ac:dyDescent="0.2">
      <c r="A12" s="16"/>
      <c r="B12" s="16" t="s">
        <v>128</v>
      </c>
      <c r="C12" s="16" t="s">
        <v>162</v>
      </c>
      <c r="D12" s="17" t="s">
        <v>172</v>
      </c>
      <c r="E12" s="178" t="s">
        <v>169</v>
      </c>
      <c r="F12" s="18" t="s">
        <v>117</v>
      </c>
      <c r="G12" s="19" t="str">
        <f t="shared" ca="1" si="0"/>
        <v>Pending</v>
      </c>
      <c r="H12" s="20">
        <v>1</v>
      </c>
      <c r="I12" s="21">
        <v>0</v>
      </c>
      <c r="J12" s="22">
        <v>0</v>
      </c>
      <c r="K12" s="22">
        <f t="shared" si="24"/>
        <v>0</v>
      </c>
      <c r="L12" s="23" t="str">
        <f>IF(SUMPRODUCT($J$71:K$71,$J12:K12)&lt;0.5, "Pending", IF(K12&lt;0.5, "Complete", "In Progress"))</f>
        <v>Pending</v>
      </c>
      <c r="M12" s="22">
        <v>0</v>
      </c>
      <c r="N12" s="22">
        <f t="shared" si="25"/>
        <v>0</v>
      </c>
      <c r="O12" s="23" t="str">
        <f>IF(SUMPRODUCT($J$71:N$71,$J12:N12)&lt;0.5, "Pending", IF(N12&lt;0.5, "Complete", "In Progress"))</f>
        <v>Pending</v>
      </c>
      <c r="P12" s="22">
        <v>0</v>
      </c>
      <c r="Q12" s="22">
        <f t="shared" si="26"/>
        <v>0</v>
      </c>
      <c r="R12" s="23" t="str">
        <f>IF(SUMPRODUCT($J$71:Q$71,$J12:Q12)&lt;0.5, "Pending", IF(Q12&lt;0.5, "Complete", "In Progress"))</f>
        <v>Pending</v>
      </c>
      <c r="S12" s="22">
        <v>0</v>
      </c>
      <c r="T12" s="22">
        <f t="shared" si="27"/>
        <v>0</v>
      </c>
      <c r="U12" s="23" t="str">
        <f>IF(SUMPRODUCT($J$71:T$71,$J12:T12)&lt;0.5, "Pending", IF(T12&lt;0.5, "Complete", "In Progress"))</f>
        <v>Pending</v>
      </c>
      <c r="V12" s="22">
        <v>0</v>
      </c>
      <c r="W12" s="22">
        <f t="shared" si="28"/>
        <v>0</v>
      </c>
      <c r="X12" s="23" t="str">
        <f>IF(SUMPRODUCT($J$71:W$71,$J12:W12)&lt;0.5, "Pending", IF(W12&lt;0.5, "Complete", "In Progress"))</f>
        <v>Pending</v>
      </c>
      <c r="Y12" s="22">
        <v>0</v>
      </c>
      <c r="Z12" s="22">
        <f t="shared" si="29"/>
        <v>0</v>
      </c>
      <c r="AA12" s="23" t="str">
        <f>IF(SUMPRODUCT($J$71:Z$71,$J12:Z12)&lt;0.5, "Pending", IF(Z12&lt;0.5, "Complete", "In Progress"))</f>
        <v>Pending</v>
      </c>
      <c r="AB12" s="22">
        <v>0</v>
      </c>
      <c r="AC12" s="22">
        <f t="shared" si="30"/>
        <v>0</v>
      </c>
      <c r="AD12" s="23" t="str">
        <f>IF(SUMPRODUCT($J$71:AC$71,$J12:AC12)&lt;0.5, "Pending", IF(AC12&lt;0.5, "Complete", "In Progress"))</f>
        <v>Pending</v>
      </c>
      <c r="AE12" s="22">
        <v>0</v>
      </c>
      <c r="AF12" s="22">
        <f t="shared" si="31"/>
        <v>0</v>
      </c>
      <c r="AG12" s="23" t="str">
        <f>IF(SUMPRODUCT($J$71:AF$71,$J12:AF12)&lt;0.5, "Pending", IF(AF12&lt;0.5, "Complete", "In Progress"))</f>
        <v>Pending</v>
      </c>
      <c r="AH12" s="22">
        <v>0</v>
      </c>
      <c r="AI12" s="22">
        <f t="shared" si="32"/>
        <v>0</v>
      </c>
      <c r="AJ12" s="23" t="str">
        <f>IF(SUMPRODUCT($J$71:AI$71,$J12:AI12)&lt;0.5, "Pending", IF(AI12&lt;0.5, "Complete", "In Progress"))</f>
        <v>Pending</v>
      </c>
      <c r="AK12" s="22">
        <v>0</v>
      </c>
      <c r="AL12" s="22">
        <f t="shared" si="33"/>
        <v>0</v>
      </c>
      <c r="AM12" s="23" t="str">
        <f>IF(SUMPRODUCT($J$71:AL$71,$J12:AL12)&lt;0.5, "Pending", IF(AL12&lt;0.5, "Complete", "In Progress"))</f>
        <v>Pending</v>
      </c>
      <c r="AN12" s="22">
        <v>0</v>
      </c>
      <c r="AO12" s="22">
        <f t="shared" si="34"/>
        <v>0</v>
      </c>
      <c r="AP12" s="23" t="str">
        <f>IF(SUMPRODUCT($J$71:AO$71,$J12:AO12)&lt;0.5, "Pending", IF(AO12&lt;0.5, "Complete", "In Progress"))</f>
        <v>Pending</v>
      </c>
      <c r="AQ12" s="22">
        <v>0</v>
      </c>
      <c r="AR12" s="22">
        <f t="shared" si="35"/>
        <v>0</v>
      </c>
      <c r="AS12" s="23" t="str">
        <f>IF(SUMPRODUCT($J$71:AR$71,$J12:AR12)&lt;0.5, "Pending", IF(AR12&lt;0.5, "Complete", "In Progress"))</f>
        <v>Pending</v>
      </c>
      <c r="AT12" s="22">
        <v>0</v>
      </c>
      <c r="AU12" s="22">
        <f t="shared" si="36"/>
        <v>0</v>
      </c>
      <c r="AV12" s="23" t="str">
        <f>IF(SUMPRODUCT($J$71:AU$71,$J12:AU12)&lt;0.5, "Pending", IF(AU12&lt;0.5, "Complete", "In Progress"))</f>
        <v>Pending</v>
      </c>
      <c r="AW12" s="22">
        <v>0</v>
      </c>
      <c r="AX12" s="22">
        <f t="shared" si="37"/>
        <v>0</v>
      </c>
      <c r="AY12" s="23" t="str">
        <f>IF(SUMPRODUCT($J$71:AX$71,$J12:AX12)&lt;0.5,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IF(SUMPRODUCT($J$71:BA$71,$J12:BA12)&lt;0.5,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IF(SUMPRODUCT($J$71:BD$71,$J12:BD12)&lt;0.5,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IF(SUMPRODUCT($J$71:BG$71,$J12:BG12)&lt;0.5,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IF(SUMPRODUCT($J$71:BJ$71,$J12:BJ12)&lt;0.5,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IF(SUMPRODUCT($J$71:BM$71,$J12:BM12)&lt;0.5,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IF(SUMPRODUCT($J$71:BP$71,$J12:BP12)&lt;0.5,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IF(SUMPRODUCT($J$71:BS$71,$J12:BS12)&lt;0.5,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IF(SUMPRODUCT($J$71:BV$71,$J12:BV12)&lt;0.5,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IF(SUMPRODUCT($J$71:BY$71,$J12:BY12)&lt;0.5,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IF(SUMPRODUCT($J$71:CB$71,$J12:CB12)&lt;0.5, "Pending", IF(CB12&lt;0.5, "Complete", "In Progress"))</f>
        <v>#REF!</v>
      </c>
      <c r="CD12" s="24"/>
      <c r="CE12" s="25">
        <f>SUMPRODUCT($H$71:AY$71,$H12:AY12)</f>
        <v>0</v>
      </c>
    </row>
    <row r="13" spans="1:83" x14ac:dyDescent="0.2">
      <c r="A13" s="16"/>
      <c r="B13" s="16" t="s">
        <v>128</v>
      </c>
      <c r="C13" s="16" t="s">
        <v>162</v>
      </c>
      <c r="D13" s="17" t="s">
        <v>173</v>
      </c>
      <c r="E13" s="178" t="s">
        <v>171</v>
      </c>
      <c r="F13" s="18" t="s">
        <v>117</v>
      </c>
      <c r="G13" s="19" t="str">
        <f t="shared" ca="1" si="0"/>
        <v>Pending</v>
      </c>
      <c r="H13" s="20">
        <v>1</v>
      </c>
      <c r="I13" s="21">
        <v>0</v>
      </c>
      <c r="J13" s="22">
        <v>0</v>
      </c>
      <c r="K13" s="22">
        <f t="shared" ref="K13:K15" si="47">MAX(I13-J13, 0)</f>
        <v>0</v>
      </c>
      <c r="L13" s="23" t="str">
        <f>IF(SUMPRODUCT($J$71:K$71,$J13:K13)&lt;0.5, "Pending", IF(K13&lt;0.5, "Complete", "In Progress"))</f>
        <v>Pending</v>
      </c>
      <c r="M13" s="22">
        <v>0</v>
      </c>
      <c r="N13" s="22">
        <f t="shared" ref="N13:N15" si="48">MAX(K13-M13,0)</f>
        <v>0</v>
      </c>
      <c r="O13" s="23" t="str">
        <f>IF(SUMPRODUCT($J$71:N$71,$J13:N13)&lt;0.5, "Pending", IF(N13&lt;0.5, "Complete", "In Progress"))</f>
        <v>Pending</v>
      </c>
      <c r="P13" s="22">
        <v>0</v>
      </c>
      <c r="Q13" s="22">
        <f t="shared" ref="Q13:Q15" si="49">MAX(N13-P13,0)</f>
        <v>0</v>
      </c>
      <c r="R13" s="23" t="str">
        <f>IF(SUMPRODUCT($J$71:Q$71,$J13:Q13)&lt;0.5, "Pending", IF(Q13&lt;0.5, "Complete", "In Progress"))</f>
        <v>Pending</v>
      </c>
      <c r="S13" s="22">
        <v>0</v>
      </c>
      <c r="T13" s="22">
        <f t="shared" ref="T13:T15" si="50">MAX(Q13-S13,0)</f>
        <v>0</v>
      </c>
      <c r="U13" s="23" t="str">
        <f>IF(SUMPRODUCT($J$71:T$71,$J13:T13)&lt;0.5, "Pending", IF(T13&lt;0.5, "Complete", "In Progress"))</f>
        <v>Pending</v>
      </c>
      <c r="V13" s="22">
        <v>0</v>
      </c>
      <c r="W13" s="22">
        <f t="shared" ref="W13:W15" si="51">MAX(T13-V13,0)</f>
        <v>0</v>
      </c>
      <c r="X13" s="23" t="str">
        <f>IF(SUMPRODUCT($J$71:W$71,$J13:W13)&lt;0.5, "Pending", IF(W13&lt;0.5, "Complete", "In Progress"))</f>
        <v>Pending</v>
      </c>
      <c r="Y13" s="22">
        <v>0</v>
      </c>
      <c r="Z13" s="22">
        <f t="shared" ref="Z13:Z15" si="52">MAX(W13-Y13,0)</f>
        <v>0</v>
      </c>
      <c r="AA13" s="23" t="str">
        <f>IF(SUMPRODUCT($J$71:Z$71,$J13:Z13)&lt;0.5, "Pending", IF(Z13&lt;0.5, "Complete", "In Progress"))</f>
        <v>Pending</v>
      </c>
      <c r="AB13" s="22">
        <v>0</v>
      </c>
      <c r="AC13" s="22">
        <f t="shared" ref="AC13:AC15" si="53">MAX(Z13-AB13,0)</f>
        <v>0</v>
      </c>
      <c r="AD13" s="23" t="str">
        <f>IF(SUMPRODUCT($J$71:AC$71,$J13:AC13)&lt;0.5, "Pending", IF(AC13&lt;0.5, "Complete", "In Progress"))</f>
        <v>Pending</v>
      </c>
      <c r="AE13" s="22">
        <v>0</v>
      </c>
      <c r="AF13" s="22">
        <f t="shared" ref="AF13:AF15" si="54">MAX(AC13-AE13,0)</f>
        <v>0</v>
      </c>
      <c r="AG13" s="23" t="str">
        <f>IF(SUMPRODUCT($J$71:AF$71,$J13:AF13)&lt;0.5, "Pending", IF(AF13&lt;0.5, "Complete", "In Progress"))</f>
        <v>Pending</v>
      </c>
      <c r="AH13" s="22">
        <v>0</v>
      </c>
      <c r="AI13" s="22">
        <f t="shared" ref="AI13:AI15" si="55">MAX(AF13-AH13,0)</f>
        <v>0</v>
      </c>
      <c r="AJ13" s="23" t="str">
        <f>IF(SUMPRODUCT($J$71:AI$71,$J13:AI13)&lt;0.5, "Pending", IF(AI13&lt;0.5, "Complete", "In Progress"))</f>
        <v>Pending</v>
      </c>
      <c r="AK13" s="22">
        <v>0</v>
      </c>
      <c r="AL13" s="22">
        <f t="shared" ref="AL13:AL15" si="56">MAX(AI13-AK13,0)</f>
        <v>0</v>
      </c>
      <c r="AM13" s="23" t="str">
        <f>IF(SUMPRODUCT($J$71:AL$71,$J13:AL13)&lt;0.5, "Pending", IF(AL13&lt;0.5, "Complete", "In Progress"))</f>
        <v>Pending</v>
      </c>
      <c r="AN13" s="22">
        <v>0</v>
      </c>
      <c r="AO13" s="22">
        <f t="shared" ref="AO13:AO15" si="57">MAX(AL13-AN13,0)</f>
        <v>0</v>
      </c>
      <c r="AP13" s="23" t="str">
        <f>IF(SUMPRODUCT($J$71:AO$71,$J13:AO13)&lt;0.5, "Pending", IF(AO13&lt;0.5, "Complete", "In Progress"))</f>
        <v>Pending</v>
      </c>
      <c r="AQ13" s="22">
        <v>0</v>
      </c>
      <c r="AR13" s="22">
        <f t="shared" ref="AR13:AR15" si="58">MAX(AO13-AQ13,0)</f>
        <v>0</v>
      </c>
      <c r="AS13" s="23" t="str">
        <f>IF(SUMPRODUCT($J$71:AR$71,$J13:AR13)&lt;0.5, "Pending", IF(AR13&lt;0.5, "Complete", "In Progress"))</f>
        <v>Pending</v>
      </c>
      <c r="AT13" s="22">
        <v>0</v>
      </c>
      <c r="AU13" s="22">
        <f t="shared" ref="AU13:AU15" si="59">MAX(AR13-AT13,0)</f>
        <v>0</v>
      </c>
      <c r="AV13" s="23" t="str">
        <f>IF(SUMPRODUCT($J$71:AU$71,$J13:AU13)&lt;0.5, "Pending", IF(AU13&lt;0.5, "Complete", "In Progress"))</f>
        <v>Pending</v>
      </c>
      <c r="AW13" s="22">
        <v>0</v>
      </c>
      <c r="AX13" s="22">
        <f t="shared" ref="AX13:AX15" si="60">MAX(AU13-AW13,0)</f>
        <v>0</v>
      </c>
      <c r="AY13" s="23" t="str">
        <f>IF(SUMPRODUCT($J$71:AX$71,$J13:AX13)&lt;0.5,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IF(SUMPRODUCT($J$71:BA$71,$J13:BA13)&lt;0.5, "Pending", IF(BA13&lt;0.5, "Complete", "In Progress"))</f>
        <v>#REF!</v>
      </c>
      <c r="BC13" s="22">
        <v>0</v>
      </c>
      <c r="BD13" s="22" t="e">
        <f t="shared" ref="BD13:BD15" si="61">MAX(BA13-BC13,0)</f>
        <v>#REF!</v>
      </c>
      <c r="BE13" s="23" t="e">
        <f>IF(SUMPRODUCT($J$71:BD$71,$J13:BD13)&lt;0.5, "Pending", IF(BD13&lt;0.5, "Complete", "In Progress"))</f>
        <v>#REF!</v>
      </c>
      <c r="BF13" s="22">
        <v>0</v>
      </c>
      <c r="BG13" s="22" t="e">
        <f t="shared" ref="BG13:BG15" si="62">MAX(BD13-BF13,0)</f>
        <v>#REF!</v>
      </c>
      <c r="BH13" s="23" t="e">
        <f>IF(SUMPRODUCT($J$71:BG$71,$J13:BG13)&lt;0.5, "Pending", IF(BG13&lt;0.5, "Complete", "In Progress"))</f>
        <v>#REF!</v>
      </c>
      <c r="BI13" s="22">
        <v>0</v>
      </c>
      <c r="BJ13" s="22" t="e">
        <f t="shared" ref="BJ13:BJ15" si="63">MAX(BG13-BI13,0)</f>
        <v>#REF!</v>
      </c>
      <c r="BK13" s="23" t="e">
        <f>IF(SUMPRODUCT($J$71:BJ$71,$J13:BJ13)&lt;0.5, "Pending", IF(BJ13&lt;0.5, "Complete", "In Progress"))</f>
        <v>#REF!</v>
      </c>
      <c r="BL13" s="22">
        <v>0</v>
      </c>
      <c r="BM13" s="22" t="e">
        <f t="shared" ref="BM13:BM15" si="64">MAX(BJ13-BL13,0)</f>
        <v>#REF!</v>
      </c>
      <c r="BN13" s="23" t="e">
        <f>IF(SUMPRODUCT($J$71:BM$71,$J13:BM13)&lt;0.5, "Pending", IF(BM13&lt;0.5, "Complete", "In Progress"))</f>
        <v>#REF!</v>
      </c>
      <c r="BO13" s="22">
        <v>0</v>
      </c>
      <c r="BP13" s="22" t="e">
        <f t="shared" ref="BP13:BP15" si="65">MAX(BM13-BO13,0)</f>
        <v>#REF!</v>
      </c>
      <c r="BQ13" s="23" t="e">
        <f>IF(SUMPRODUCT($J$71:BP$71,$J13:BP13)&lt;0.5, "Pending", IF(BP13&lt;0.5, "Complete", "In Progress"))</f>
        <v>#REF!</v>
      </c>
      <c r="BR13" s="22">
        <v>0</v>
      </c>
      <c r="BS13" s="22" t="e">
        <f t="shared" ref="BS13:BS15" si="66">MAX(BP13-BR13,0)</f>
        <v>#REF!</v>
      </c>
      <c r="BT13" s="23" t="e">
        <f>IF(SUMPRODUCT($J$71:BS$71,$J13:BS13)&lt;0.5, "Pending", IF(BS13&lt;0.5, "Complete", "In Progress"))</f>
        <v>#REF!</v>
      </c>
      <c r="BU13" s="22">
        <v>0</v>
      </c>
      <c r="BV13" s="22" t="e">
        <f t="shared" ref="BV13:BV15" si="67">MAX(BS13-BU13,0)</f>
        <v>#REF!</v>
      </c>
      <c r="BW13" s="23" t="e">
        <f>IF(SUMPRODUCT($J$71:BV$71,$J13:BV13)&lt;0.5, "Pending", IF(BV13&lt;0.5, "Complete", "In Progress"))</f>
        <v>#REF!</v>
      </c>
      <c r="BX13" s="22">
        <v>0</v>
      </c>
      <c r="BY13" s="22" t="e">
        <f t="shared" ref="BY13:BY15" si="68">MAX(BV13-BX13,0)</f>
        <v>#REF!</v>
      </c>
      <c r="BZ13" s="23" t="e">
        <f>IF(SUMPRODUCT($J$71:BY$71,$J13:BY13)&lt;0.5, "Pending", IF(BY13&lt;0.5, "Complete", "In Progress"))</f>
        <v>#REF!</v>
      </c>
      <c r="CA13" s="22">
        <v>0</v>
      </c>
      <c r="CB13" s="22" t="e">
        <f t="shared" ref="CB13:CB15" si="69">MAX(BY13-CA13,0)</f>
        <v>#REF!</v>
      </c>
      <c r="CC13" s="23" t="e">
        <f>IF(SUMPRODUCT($J$71:CB$71,$J13:CB13)&lt;0.5, "Pending", IF(CB13&lt;0.5, "Complete", "In Progress"))</f>
        <v>#REF!</v>
      </c>
      <c r="CD13" s="24"/>
      <c r="CE13" s="25">
        <f>SUMPRODUCT($H$71:AY$71,$H13:AY13)</f>
        <v>0</v>
      </c>
    </row>
    <row r="14" spans="1:83" x14ac:dyDescent="0.2">
      <c r="A14" s="16"/>
      <c r="B14" s="16" t="s">
        <v>190</v>
      </c>
      <c r="C14" s="16" t="s">
        <v>174</v>
      </c>
      <c r="D14" s="17" t="s">
        <v>175</v>
      </c>
      <c r="E14" s="178" t="s">
        <v>191</v>
      </c>
      <c r="F14" s="18" t="s">
        <v>117</v>
      </c>
      <c r="G14" s="19" t="str">
        <f t="shared" ca="1" si="0"/>
        <v>Pending</v>
      </c>
      <c r="H14" s="20">
        <v>1</v>
      </c>
      <c r="I14" s="21">
        <v>0</v>
      </c>
      <c r="J14" s="22">
        <v>0</v>
      </c>
      <c r="K14" s="22">
        <f t="shared" ref="K14" si="70">MAX(I14-J14, 0)</f>
        <v>0</v>
      </c>
      <c r="L14" s="23" t="str">
        <f>IF(SUMPRODUCT($J$71:K$71,$J14:K14)&lt;0.5, "Pending", IF(K14&lt;0.5, "Complete", "In Progress"))</f>
        <v>Pending</v>
      </c>
      <c r="M14" s="22">
        <v>0</v>
      </c>
      <c r="N14" s="22">
        <f t="shared" ref="N14" si="71">MAX(K14-M14,0)</f>
        <v>0</v>
      </c>
      <c r="O14" s="23" t="str">
        <f>IF(SUMPRODUCT($J$71:N$71,$J14:N14)&lt;0.5, "Pending", IF(N14&lt;0.5, "Complete", "In Progress"))</f>
        <v>Pending</v>
      </c>
      <c r="P14" s="22">
        <v>0</v>
      </c>
      <c r="Q14" s="22">
        <f t="shared" ref="Q14" si="72">MAX(N14-P14,0)</f>
        <v>0</v>
      </c>
      <c r="R14" s="23" t="str">
        <f>IF(SUMPRODUCT($J$71:Q$71,$J14:Q14)&lt;0.5, "Pending", IF(Q14&lt;0.5, "Complete", "In Progress"))</f>
        <v>Pending</v>
      </c>
      <c r="S14" s="22">
        <v>0</v>
      </c>
      <c r="T14" s="22">
        <f t="shared" ref="T14" si="73">MAX(Q14-S14,0)</f>
        <v>0</v>
      </c>
      <c r="U14" s="23" t="str">
        <f>IF(SUMPRODUCT($J$71:T$71,$J14:T14)&lt;0.5, "Pending", IF(T14&lt;0.5, "Complete", "In Progress"))</f>
        <v>Pending</v>
      </c>
      <c r="V14" s="22">
        <v>0</v>
      </c>
      <c r="W14" s="22">
        <f t="shared" ref="W14" si="74">MAX(T14-V14,0)</f>
        <v>0</v>
      </c>
      <c r="X14" s="23" t="str">
        <f>IF(SUMPRODUCT($J$71:W$71,$J14:W14)&lt;0.5, "Pending", IF(W14&lt;0.5, "Complete", "In Progress"))</f>
        <v>Pending</v>
      </c>
      <c r="Y14" s="22">
        <v>0</v>
      </c>
      <c r="Z14" s="22">
        <f t="shared" ref="Z14" si="75">MAX(W14-Y14,0)</f>
        <v>0</v>
      </c>
      <c r="AA14" s="23" t="str">
        <f>IF(SUMPRODUCT($J$71:Z$71,$J14:Z14)&lt;0.5, "Pending", IF(Z14&lt;0.5, "Complete", "In Progress"))</f>
        <v>Pending</v>
      </c>
      <c r="AB14" s="22">
        <v>0</v>
      </c>
      <c r="AC14" s="22">
        <f t="shared" ref="AC14" si="76">MAX(Z14-AB14,0)</f>
        <v>0</v>
      </c>
      <c r="AD14" s="23" t="str">
        <f>IF(SUMPRODUCT($J$71:AC$71,$J14:AC14)&lt;0.5, "Pending", IF(AC14&lt;0.5, "Complete", "In Progress"))</f>
        <v>Pending</v>
      </c>
      <c r="AE14" s="22">
        <v>0</v>
      </c>
      <c r="AF14" s="22">
        <f t="shared" ref="AF14" si="77">MAX(AC14-AE14,0)</f>
        <v>0</v>
      </c>
      <c r="AG14" s="23" t="str">
        <f>IF(SUMPRODUCT($J$71:AF$71,$J14:AF14)&lt;0.5, "Pending", IF(AF14&lt;0.5, "Complete", "In Progress"))</f>
        <v>Pending</v>
      </c>
      <c r="AH14" s="22">
        <v>0</v>
      </c>
      <c r="AI14" s="22">
        <f t="shared" ref="AI14" si="78">MAX(AF14-AH14,0)</f>
        <v>0</v>
      </c>
      <c r="AJ14" s="23" t="str">
        <f>IF(SUMPRODUCT($J$71:AI$71,$J14:AI14)&lt;0.5, "Pending", IF(AI14&lt;0.5, "Complete", "In Progress"))</f>
        <v>Pending</v>
      </c>
      <c r="AK14" s="22">
        <v>0</v>
      </c>
      <c r="AL14" s="22">
        <f t="shared" ref="AL14" si="79">MAX(AI14-AK14,0)</f>
        <v>0</v>
      </c>
      <c r="AM14" s="23" t="str">
        <f>IF(SUMPRODUCT($J$71:AL$71,$J14:AL14)&lt;0.5, "Pending", IF(AL14&lt;0.5, "Complete", "In Progress"))</f>
        <v>Pending</v>
      </c>
      <c r="AN14" s="22">
        <v>0</v>
      </c>
      <c r="AO14" s="22">
        <f t="shared" ref="AO14" si="80">MAX(AL14-AN14,0)</f>
        <v>0</v>
      </c>
      <c r="AP14" s="23" t="str">
        <f>IF(SUMPRODUCT($J$71:AO$71,$J14:AO14)&lt;0.5, "Pending", IF(AO14&lt;0.5, "Complete", "In Progress"))</f>
        <v>Pending</v>
      </c>
      <c r="AQ14" s="22">
        <v>0</v>
      </c>
      <c r="AR14" s="22">
        <f t="shared" ref="AR14" si="81">MAX(AO14-AQ14,0)</f>
        <v>0</v>
      </c>
      <c r="AS14" s="23" t="str">
        <f>IF(SUMPRODUCT($J$71:AR$71,$J14:AR14)&lt;0.5, "Pending", IF(AR14&lt;0.5, "Complete", "In Progress"))</f>
        <v>Pending</v>
      </c>
      <c r="AT14" s="22">
        <v>0</v>
      </c>
      <c r="AU14" s="22">
        <f t="shared" ref="AU14" si="82">MAX(AR14-AT14,0)</f>
        <v>0</v>
      </c>
      <c r="AV14" s="23" t="str">
        <f>IF(SUMPRODUCT($J$71:AU$71,$J14:AU14)&lt;0.5, "Pending", IF(AU14&lt;0.5, "Complete", "In Progress"))</f>
        <v>Pending</v>
      </c>
      <c r="AW14" s="22">
        <v>0</v>
      </c>
      <c r="AX14" s="22">
        <f t="shared" ref="AX14" si="83">MAX(AU14-AW14,0)</f>
        <v>0</v>
      </c>
      <c r="AY14" s="23" t="str">
        <f>IF(SUMPRODUCT($J$71:AX$71,$J14:AX14)&lt;0.5,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IF(SUMPRODUCT($J$71:BA$71,$J14:BA14)&lt;0.5, "Pending", IF(BA14&lt;0.5, "Complete", "In Progress"))</f>
        <v>#REF!</v>
      </c>
      <c r="BC14" s="22">
        <v>0</v>
      </c>
      <c r="BD14" s="22" t="e">
        <f t="shared" ref="BD14" si="84">MAX(BA14-BC14,0)</f>
        <v>#REF!</v>
      </c>
      <c r="BE14" s="23" t="e">
        <f>IF(SUMPRODUCT($J$71:BD$71,$J14:BD14)&lt;0.5, "Pending", IF(BD14&lt;0.5, "Complete", "In Progress"))</f>
        <v>#REF!</v>
      </c>
      <c r="BF14" s="22">
        <v>0</v>
      </c>
      <c r="BG14" s="22" t="e">
        <f t="shared" ref="BG14" si="85">MAX(BD14-BF14,0)</f>
        <v>#REF!</v>
      </c>
      <c r="BH14" s="23" t="e">
        <f>IF(SUMPRODUCT($J$71:BG$71,$J14:BG14)&lt;0.5, "Pending", IF(BG14&lt;0.5, "Complete", "In Progress"))</f>
        <v>#REF!</v>
      </c>
      <c r="BI14" s="22">
        <v>0</v>
      </c>
      <c r="BJ14" s="22" t="e">
        <f t="shared" ref="BJ14" si="86">MAX(BG14-BI14,0)</f>
        <v>#REF!</v>
      </c>
      <c r="BK14" s="23" t="e">
        <f>IF(SUMPRODUCT($J$71:BJ$71,$J14:BJ14)&lt;0.5, "Pending", IF(BJ14&lt;0.5, "Complete", "In Progress"))</f>
        <v>#REF!</v>
      </c>
      <c r="BL14" s="22">
        <v>0</v>
      </c>
      <c r="BM14" s="22" t="e">
        <f t="shared" ref="BM14" si="87">MAX(BJ14-BL14,0)</f>
        <v>#REF!</v>
      </c>
      <c r="BN14" s="23" t="e">
        <f>IF(SUMPRODUCT($J$71:BM$71,$J14:BM14)&lt;0.5, "Pending", IF(BM14&lt;0.5, "Complete", "In Progress"))</f>
        <v>#REF!</v>
      </c>
      <c r="BO14" s="22">
        <v>0</v>
      </c>
      <c r="BP14" s="22" t="e">
        <f t="shared" ref="BP14" si="88">MAX(BM14-BO14,0)</f>
        <v>#REF!</v>
      </c>
      <c r="BQ14" s="23" t="e">
        <f>IF(SUMPRODUCT($J$71:BP$71,$J14:BP14)&lt;0.5, "Pending", IF(BP14&lt;0.5, "Complete", "In Progress"))</f>
        <v>#REF!</v>
      </c>
      <c r="BR14" s="22">
        <v>0</v>
      </c>
      <c r="BS14" s="22" t="e">
        <f t="shared" ref="BS14" si="89">MAX(BP14-BR14,0)</f>
        <v>#REF!</v>
      </c>
      <c r="BT14" s="23" t="e">
        <f>IF(SUMPRODUCT($J$71:BS$71,$J14:BS14)&lt;0.5, "Pending", IF(BS14&lt;0.5, "Complete", "In Progress"))</f>
        <v>#REF!</v>
      </c>
      <c r="BU14" s="22">
        <v>0</v>
      </c>
      <c r="BV14" s="22" t="e">
        <f t="shared" ref="BV14" si="90">MAX(BS14-BU14,0)</f>
        <v>#REF!</v>
      </c>
      <c r="BW14" s="23" t="e">
        <f>IF(SUMPRODUCT($J$71:BV$71,$J14:BV14)&lt;0.5, "Pending", IF(BV14&lt;0.5, "Complete", "In Progress"))</f>
        <v>#REF!</v>
      </c>
      <c r="BX14" s="22">
        <v>0</v>
      </c>
      <c r="BY14" s="22" t="e">
        <f t="shared" ref="BY14" si="91">MAX(BV14-BX14,0)</f>
        <v>#REF!</v>
      </c>
      <c r="BZ14" s="23" t="e">
        <f>IF(SUMPRODUCT($J$71:BY$71,$J14:BY14)&lt;0.5, "Pending", IF(BY14&lt;0.5, "Complete", "In Progress"))</f>
        <v>#REF!</v>
      </c>
      <c r="CA14" s="22">
        <v>0</v>
      </c>
      <c r="CB14" s="22" t="e">
        <f t="shared" ref="CB14" si="92">MAX(BY14-CA14,0)</f>
        <v>#REF!</v>
      </c>
      <c r="CC14" s="23" t="e">
        <f>IF(SUMPRODUCT($J$71:CB$71,$J14:CB14)&lt;0.5, "Pending", IF(CB14&lt;0.5, "Complete", "In Progress"))</f>
        <v>#REF!</v>
      </c>
      <c r="CD14" s="24"/>
      <c r="CE14" s="25">
        <f>SUMPRODUCT($H$71:AY$71,$H14:AY14)</f>
        <v>0</v>
      </c>
    </row>
    <row r="15" spans="1:83" x14ac:dyDescent="0.2">
      <c r="A15" s="16"/>
      <c r="B15" s="16" t="s">
        <v>190</v>
      </c>
      <c r="C15" s="16" t="s">
        <v>174</v>
      </c>
      <c r="D15" s="17" t="s">
        <v>178</v>
      </c>
      <c r="E15" s="178" t="s">
        <v>189</v>
      </c>
      <c r="F15" s="18" t="s">
        <v>117</v>
      </c>
      <c r="G15" s="19" t="str">
        <f t="shared" ca="1" si="0"/>
        <v>Pending</v>
      </c>
      <c r="H15" s="20">
        <v>1</v>
      </c>
      <c r="I15" s="21">
        <v>0</v>
      </c>
      <c r="J15" s="22">
        <v>0</v>
      </c>
      <c r="K15" s="22">
        <f t="shared" si="47"/>
        <v>0</v>
      </c>
      <c r="L15" s="23" t="str">
        <f>IF(SUMPRODUCT($J$71:K$71,$J15:K15)&lt;0.5, "Pending", IF(K15&lt;0.5, "Complete", "In Progress"))</f>
        <v>Pending</v>
      </c>
      <c r="M15" s="22">
        <v>0</v>
      </c>
      <c r="N15" s="22">
        <f t="shared" si="48"/>
        <v>0</v>
      </c>
      <c r="O15" s="23" t="str">
        <f>IF(SUMPRODUCT($J$71:N$71,$J15:N15)&lt;0.5, "Pending", IF(N15&lt;0.5, "Complete", "In Progress"))</f>
        <v>Pending</v>
      </c>
      <c r="P15" s="22">
        <v>0</v>
      </c>
      <c r="Q15" s="22">
        <f t="shared" si="49"/>
        <v>0</v>
      </c>
      <c r="R15" s="23" t="str">
        <f>IF(SUMPRODUCT($J$71:Q$71,$J15:Q15)&lt;0.5, "Pending", IF(Q15&lt;0.5, "Complete", "In Progress"))</f>
        <v>Pending</v>
      </c>
      <c r="S15" s="22">
        <v>0</v>
      </c>
      <c r="T15" s="22">
        <f t="shared" si="50"/>
        <v>0</v>
      </c>
      <c r="U15" s="23" t="str">
        <f>IF(SUMPRODUCT($J$71:T$71,$J15:T15)&lt;0.5, "Pending", IF(T15&lt;0.5, "Complete", "In Progress"))</f>
        <v>Pending</v>
      </c>
      <c r="V15" s="22">
        <v>0</v>
      </c>
      <c r="W15" s="22">
        <f t="shared" si="51"/>
        <v>0</v>
      </c>
      <c r="X15" s="23" t="str">
        <f>IF(SUMPRODUCT($J$71:W$71,$J15:W15)&lt;0.5, "Pending", IF(W15&lt;0.5, "Complete", "In Progress"))</f>
        <v>Pending</v>
      </c>
      <c r="Y15" s="22">
        <v>0</v>
      </c>
      <c r="Z15" s="22">
        <f t="shared" si="52"/>
        <v>0</v>
      </c>
      <c r="AA15" s="23" t="str">
        <f>IF(SUMPRODUCT($J$71:Z$71,$J15:Z15)&lt;0.5, "Pending", IF(Z15&lt;0.5, "Complete", "In Progress"))</f>
        <v>Pending</v>
      </c>
      <c r="AB15" s="22">
        <v>0</v>
      </c>
      <c r="AC15" s="22">
        <f t="shared" si="53"/>
        <v>0</v>
      </c>
      <c r="AD15" s="23" t="str">
        <f>IF(SUMPRODUCT($J$71:AC$71,$J15:AC15)&lt;0.5, "Pending", IF(AC15&lt;0.5, "Complete", "In Progress"))</f>
        <v>Pending</v>
      </c>
      <c r="AE15" s="22">
        <v>0</v>
      </c>
      <c r="AF15" s="22">
        <f t="shared" si="54"/>
        <v>0</v>
      </c>
      <c r="AG15" s="23" t="str">
        <f>IF(SUMPRODUCT($J$71:AF$71,$J15:AF15)&lt;0.5, "Pending", IF(AF15&lt;0.5, "Complete", "In Progress"))</f>
        <v>Pending</v>
      </c>
      <c r="AH15" s="22">
        <v>0</v>
      </c>
      <c r="AI15" s="22">
        <f t="shared" si="55"/>
        <v>0</v>
      </c>
      <c r="AJ15" s="23" t="str">
        <f>IF(SUMPRODUCT($J$71:AI$71,$J15:AI15)&lt;0.5, "Pending", IF(AI15&lt;0.5, "Complete", "In Progress"))</f>
        <v>Pending</v>
      </c>
      <c r="AK15" s="22">
        <v>0</v>
      </c>
      <c r="AL15" s="22">
        <f t="shared" si="56"/>
        <v>0</v>
      </c>
      <c r="AM15" s="23" t="str">
        <f>IF(SUMPRODUCT($J$71:AL$71,$J15:AL15)&lt;0.5, "Pending", IF(AL15&lt;0.5, "Complete", "In Progress"))</f>
        <v>Pending</v>
      </c>
      <c r="AN15" s="22">
        <v>0</v>
      </c>
      <c r="AO15" s="22">
        <f t="shared" si="57"/>
        <v>0</v>
      </c>
      <c r="AP15" s="23" t="str">
        <f>IF(SUMPRODUCT($J$71:AO$71,$J15:AO15)&lt;0.5, "Pending", IF(AO15&lt;0.5, "Complete", "In Progress"))</f>
        <v>Pending</v>
      </c>
      <c r="AQ15" s="22">
        <v>0</v>
      </c>
      <c r="AR15" s="22">
        <f t="shared" si="58"/>
        <v>0</v>
      </c>
      <c r="AS15" s="23" t="str">
        <f>IF(SUMPRODUCT($J$71:AR$71,$J15:AR15)&lt;0.5, "Pending", IF(AR15&lt;0.5, "Complete", "In Progress"))</f>
        <v>Pending</v>
      </c>
      <c r="AT15" s="22">
        <v>0</v>
      </c>
      <c r="AU15" s="22">
        <f t="shared" si="59"/>
        <v>0</v>
      </c>
      <c r="AV15" s="23" t="str">
        <f>IF(SUMPRODUCT($J$71:AU$71,$J15:AU15)&lt;0.5, "Pending", IF(AU15&lt;0.5, "Complete", "In Progress"))</f>
        <v>Pending</v>
      </c>
      <c r="AW15" s="22">
        <v>0</v>
      </c>
      <c r="AX15" s="22">
        <f t="shared" si="60"/>
        <v>0</v>
      </c>
      <c r="AY15" s="23" t="str">
        <f>IF(SUMPRODUCT($J$71:AX$71,$J15:AX15)&lt;0.5,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IF(SUMPRODUCT($J$71:BA$71,$J15:BA15)&lt;0.5, "Pending", IF(BA15&lt;0.5, "Complete", "In Progress"))</f>
        <v>#REF!</v>
      </c>
      <c r="BC15" s="22">
        <v>0</v>
      </c>
      <c r="BD15" s="22" t="e">
        <f t="shared" si="61"/>
        <v>#REF!</v>
      </c>
      <c r="BE15" s="23" t="e">
        <f>IF(SUMPRODUCT($J$71:BD$71,$J15:BD15)&lt;0.5, "Pending", IF(BD15&lt;0.5, "Complete", "In Progress"))</f>
        <v>#REF!</v>
      </c>
      <c r="BF15" s="22">
        <v>0</v>
      </c>
      <c r="BG15" s="22" t="e">
        <f t="shared" si="62"/>
        <v>#REF!</v>
      </c>
      <c r="BH15" s="23" t="e">
        <f>IF(SUMPRODUCT($J$71:BG$71,$J15:BG15)&lt;0.5, "Pending", IF(BG15&lt;0.5, "Complete", "In Progress"))</f>
        <v>#REF!</v>
      </c>
      <c r="BI15" s="22">
        <v>0</v>
      </c>
      <c r="BJ15" s="22" t="e">
        <f t="shared" si="63"/>
        <v>#REF!</v>
      </c>
      <c r="BK15" s="23" t="e">
        <f>IF(SUMPRODUCT($J$71:BJ$71,$J15:BJ15)&lt;0.5, "Pending", IF(BJ15&lt;0.5, "Complete", "In Progress"))</f>
        <v>#REF!</v>
      </c>
      <c r="BL15" s="22">
        <v>0</v>
      </c>
      <c r="BM15" s="22" t="e">
        <f t="shared" si="64"/>
        <v>#REF!</v>
      </c>
      <c r="BN15" s="23" t="e">
        <f>IF(SUMPRODUCT($J$71:BM$71,$J15:BM15)&lt;0.5, "Pending", IF(BM15&lt;0.5, "Complete", "In Progress"))</f>
        <v>#REF!</v>
      </c>
      <c r="BO15" s="22">
        <v>0</v>
      </c>
      <c r="BP15" s="22" t="e">
        <f t="shared" si="65"/>
        <v>#REF!</v>
      </c>
      <c r="BQ15" s="23" t="e">
        <f>IF(SUMPRODUCT($J$71:BP$71,$J15:BP15)&lt;0.5, "Pending", IF(BP15&lt;0.5, "Complete", "In Progress"))</f>
        <v>#REF!</v>
      </c>
      <c r="BR15" s="22">
        <v>0</v>
      </c>
      <c r="BS15" s="22" t="e">
        <f t="shared" si="66"/>
        <v>#REF!</v>
      </c>
      <c r="BT15" s="23" t="e">
        <f>IF(SUMPRODUCT($J$71:BS$71,$J15:BS15)&lt;0.5, "Pending", IF(BS15&lt;0.5, "Complete", "In Progress"))</f>
        <v>#REF!</v>
      </c>
      <c r="BU15" s="22">
        <v>0</v>
      </c>
      <c r="BV15" s="22" t="e">
        <f t="shared" si="67"/>
        <v>#REF!</v>
      </c>
      <c r="BW15" s="23" t="e">
        <f>IF(SUMPRODUCT($J$71:BV$71,$J15:BV15)&lt;0.5, "Pending", IF(BV15&lt;0.5, "Complete", "In Progress"))</f>
        <v>#REF!</v>
      </c>
      <c r="BX15" s="22">
        <v>0</v>
      </c>
      <c r="BY15" s="22" t="e">
        <f t="shared" si="68"/>
        <v>#REF!</v>
      </c>
      <c r="BZ15" s="23" t="e">
        <f>IF(SUMPRODUCT($J$71:BY$71,$J15:BY15)&lt;0.5, "Pending", IF(BY15&lt;0.5, "Complete", "In Progress"))</f>
        <v>#REF!</v>
      </c>
      <c r="CA15" s="22">
        <v>0</v>
      </c>
      <c r="CB15" s="22" t="e">
        <f t="shared" si="69"/>
        <v>#REF!</v>
      </c>
      <c r="CC15" s="23" t="e">
        <f>IF(SUMPRODUCT($J$71:CB$71,$J15:CB15)&lt;0.5, "Pending", IF(CB15&lt;0.5, "Complete", "In Progress"))</f>
        <v>#REF!</v>
      </c>
      <c r="CD15" s="24"/>
      <c r="CE15" s="25">
        <f>SUMPRODUCT($H$71:AY$71,$H15:AY15)</f>
        <v>0</v>
      </c>
    </row>
    <row r="16" spans="1:83" x14ac:dyDescent="0.2">
      <c r="A16" s="16"/>
      <c r="B16" s="16" t="s">
        <v>126</v>
      </c>
      <c r="C16" s="16" t="s">
        <v>174</v>
      </c>
      <c r="D16" s="17" t="s">
        <v>179</v>
      </c>
      <c r="E16" s="178" t="s">
        <v>153</v>
      </c>
      <c r="F16" s="18" t="s">
        <v>117</v>
      </c>
      <c r="G16" s="19" t="str">
        <f t="shared" ca="1" si="0"/>
        <v>Pending</v>
      </c>
      <c r="H16" s="20">
        <v>1</v>
      </c>
      <c r="I16" s="21">
        <v>0</v>
      </c>
      <c r="J16" s="22">
        <v>0</v>
      </c>
      <c r="K16" s="22">
        <f t="shared" si="24"/>
        <v>0</v>
      </c>
      <c r="L16" s="23" t="str">
        <f>IF(SUMPRODUCT($J$71:K$71,$J16:K16)&lt;0.5, "Pending", IF(K16&lt;0.5, "Complete", "In Progress"))</f>
        <v>Pending</v>
      </c>
      <c r="M16" s="22">
        <v>0</v>
      </c>
      <c r="N16" s="22">
        <f t="shared" si="25"/>
        <v>0</v>
      </c>
      <c r="O16" s="23" t="str">
        <f>IF(SUMPRODUCT($J$71:N$71,$J16:N16)&lt;0.5, "Pending", IF(N16&lt;0.5, "Complete", "In Progress"))</f>
        <v>Pending</v>
      </c>
      <c r="P16" s="22">
        <v>0</v>
      </c>
      <c r="Q16" s="22">
        <f t="shared" si="26"/>
        <v>0</v>
      </c>
      <c r="R16" s="23" t="str">
        <f>IF(SUMPRODUCT($J$71:Q$71,$J16:Q16)&lt;0.5, "Pending", IF(Q16&lt;0.5, "Complete", "In Progress"))</f>
        <v>Pending</v>
      </c>
      <c r="S16" s="22">
        <v>0</v>
      </c>
      <c r="T16" s="22">
        <f t="shared" si="27"/>
        <v>0</v>
      </c>
      <c r="U16" s="23" t="str">
        <f>IF(SUMPRODUCT($J$71:T$71,$J16:T16)&lt;0.5, "Pending", IF(T16&lt;0.5, "Complete", "In Progress"))</f>
        <v>Pending</v>
      </c>
      <c r="V16" s="22">
        <v>0</v>
      </c>
      <c r="W16" s="22">
        <f t="shared" si="28"/>
        <v>0</v>
      </c>
      <c r="X16" s="23" t="str">
        <f>IF(SUMPRODUCT($J$71:W$71,$J16:W16)&lt;0.5, "Pending", IF(W16&lt;0.5, "Complete", "In Progress"))</f>
        <v>Pending</v>
      </c>
      <c r="Y16" s="22">
        <v>0</v>
      </c>
      <c r="Z16" s="22">
        <f t="shared" si="29"/>
        <v>0</v>
      </c>
      <c r="AA16" s="23" t="str">
        <f>IF(SUMPRODUCT($J$71:Z$71,$J16:Z16)&lt;0.5, "Pending", IF(Z16&lt;0.5, "Complete", "In Progress"))</f>
        <v>Pending</v>
      </c>
      <c r="AB16" s="22">
        <v>0</v>
      </c>
      <c r="AC16" s="22">
        <f t="shared" si="30"/>
        <v>0</v>
      </c>
      <c r="AD16" s="23" t="str">
        <f>IF(SUMPRODUCT($J$71:AC$71,$J16:AC16)&lt;0.5, "Pending", IF(AC16&lt;0.5, "Complete", "In Progress"))</f>
        <v>Pending</v>
      </c>
      <c r="AE16" s="22">
        <v>0</v>
      </c>
      <c r="AF16" s="22">
        <f t="shared" si="31"/>
        <v>0</v>
      </c>
      <c r="AG16" s="23" t="str">
        <f>IF(SUMPRODUCT($J$71:AF$71,$J16:AF16)&lt;0.5, "Pending", IF(AF16&lt;0.5, "Complete", "In Progress"))</f>
        <v>Pending</v>
      </c>
      <c r="AH16" s="22">
        <v>0</v>
      </c>
      <c r="AI16" s="22">
        <f t="shared" si="32"/>
        <v>0</v>
      </c>
      <c r="AJ16" s="23" t="str">
        <f>IF(SUMPRODUCT($J$71:AI$71,$J16:AI16)&lt;0.5, "Pending", IF(AI16&lt;0.5, "Complete", "In Progress"))</f>
        <v>Pending</v>
      </c>
      <c r="AK16" s="22">
        <v>0</v>
      </c>
      <c r="AL16" s="22">
        <f t="shared" si="33"/>
        <v>0</v>
      </c>
      <c r="AM16" s="23" t="str">
        <f>IF(SUMPRODUCT($J$71:AL$71,$J16:AL16)&lt;0.5, "Pending", IF(AL16&lt;0.5, "Complete", "In Progress"))</f>
        <v>Pending</v>
      </c>
      <c r="AN16" s="22">
        <v>0</v>
      </c>
      <c r="AO16" s="22">
        <f t="shared" si="34"/>
        <v>0</v>
      </c>
      <c r="AP16" s="23" t="str">
        <f>IF(SUMPRODUCT($J$71:AO$71,$J16:AO16)&lt;0.5, "Pending", IF(AO16&lt;0.5, "Complete", "In Progress"))</f>
        <v>Pending</v>
      </c>
      <c r="AQ16" s="22">
        <v>0</v>
      </c>
      <c r="AR16" s="22">
        <f t="shared" si="35"/>
        <v>0</v>
      </c>
      <c r="AS16" s="23" t="str">
        <f>IF(SUMPRODUCT($J$71:AR$71,$J16:AR16)&lt;0.5, "Pending", IF(AR16&lt;0.5, "Complete", "In Progress"))</f>
        <v>Pending</v>
      </c>
      <c r="AT16" s="22">
        <v>0</v>
      </c>
      <c r="AU16" s="22">
        <f t="shared" si="36"/>
        <v>0</v>
      </c>
      <c r="AV16" s="23" t="str">
        <f>IF(SUMPRODUCT($J$71:AU$71,$J16:AU16)&lt;0.5, "Pending", IF(AU16&lt;0.5, "Complete", "In Progress"))</f>
        <v>Pending</v>
      </c>
      <c r="AW16" s="22">
        <v>0</v>
      </c>
      <c r="AX16" s="22">
        <f t="shared" si="37"/>
        <v>0</v>
      </c>
      <c r="AY16" s="23" t="str">
        <f>IF(SUMPRODUCT($J$71:AX$71,$J16:AX16)&lt;0.5,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IF(SUMPRODUCT($J$71:BA$71,$J16:BA16)&lt;0.5,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IF(SUMPRODUCT($J$71:BD$71,$J16:BD16)&lt;0.5,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IF(SUMPRODUCT($J$71:BG$71,$J16:BG16)&lt;0.5,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IF(SUMPRODUCT($J$71:BJ$71,$J16:BJ16)&lt;0.5,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IF(SUMPRODUCT($J$71:BM$71,$J16:BM16)&lt;0.5,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IF(SUMPRODUCT($J$71:BP$71,$J16:BP16)&lt;0.5,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IF(SUMPRODUCT($J$71:BS$71,$J16:BS16)&lt;0.5,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IF(SUMPRODUCT($J$71:BV$71,$J16:BV16)&lt;0.5,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IF(SUMPRODUCT($J$71:BY$71,$J16:BY16)&lt;0.5,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IF(SUMPRODUCT($J$71:CB$71,$J16:CB16)&lt;0.5, "Pending", IF(CB16&lt;0.5, "Complete", "In Progress"))</f>
        <v>#REF!</v>
      </c>
      <c r="CD16" s="24"/>
      <c r="CE16" s="25">
        <f>SUMPRODUCT($H$71:AY$71,$H16:AY16)</f>
        <v>0</v>
      </c>
    </row>
    <row r="17" spans="1:83" x14ac:dyDescent="0.2">
      <c r="A17" s="16"/>
      <c r="B17" s="16" t="s">
        <v>126</v>
      </c>
      <c r="C17" s="16" t="s">
        <v>174</v>
      </c>
      <c r="D17" s="17" t="s">
        <v>180</v>
      </c>
      <c r="E17" s="178" t="s">
        <v>154</v>
      </c>
      <c r="F17" s="18" t="s">
        <v>117</v>
      </c>
      <c r="G17" s="19" t="str">
        <f t="shared" ca="1" si="0"/>
        <v>Pending</v>
      </c>
      <c r="H17" s="20">
        <v>1</v>
      </c>
      <c r="I17" s="21">
        <v>2</v>
      </c>
      <c r="J17" s="22">
        <v>0</v>
      </c>
      <c r="K17" s="22">
        <f t="shared" si="24"/>
        <v>2</v>
      </c>
      <c r="L17" s="23" t="str">
        <f>IF(SUMPRODUCT($J$71:K$71,$J17:K17)&lt;0.5, "Pending", IF(K17&lt;0.5, "Complete", "In Progress"))</f>
        <v>Pending</v>
      </c>
      <c r="M17" s="22">
        <v>0</v>
      </c>
      <c r="N17" s="22">
        <f t="shared" si="25"/>
        <v>2</v>
      </c>
      <c r="O17" s="23" t="str">
        <f>IF(SUMPRODUCT($J$71:N$71,$J17:N17)&lt;0.5, "Pending", IF(N17&lt;0.5, "Complete", "In Progress"))</f>
        <v>Pending</v>
      </c>
      <c r="P17" s="22">
        <v>0</v>
      </c>
      <c r="Q17" s="22">
        <f t="shared" si="26"/>
        <v>2</v>
      </c>
      <c r="R17" s="23" t="str">
        <f>IF(SUMPRODUCT($J$71:Q$71,$J17:Q17)&lt;0.5, "Pending", IF(Q17&lt;0.5, "Complete", "In Progress"))</f>
        <v>Pending</v>
      </c>
      <c r="S17" s="22">
        <v>0</v>
      </c>
      <c r="T17" s="22">
        <f t="shared" si="27"/>
        <v>2</v>
      </c>
      <c r="U17" s="23" t="str">
        <f>IF(SUMPRODUCT($J$71:T$71,$J17:T17)&lt;0.5, "Pending", IF(T17&lt;0.5, "Complete", "In Progress"))</f>
        <v>Pending</v>
      </c>
      <c r="V17" s="22">
        <v>0</v>
      </c>
      <c r="W17" s="22">
        <f t="shared" si="28"/>
        <v>2</v>
      </c>
      <c r="X17" s="23" t="str">
        <f>IF(SUMPRODUCT($J$71:W$71,$J17:W17)&lt;0.5, "Pending", IF(W17&lt;0.5, "Complete", "In Progress"))</f>
        <v>Pending</v>
      </c>
      <c r="Y17" s="22">
        <v>0</v>
      </c>
      <c r="Z17" s="22">
        <f t="shared" si="29"/>
        <v>2</v>
      </c>
      <c r="AA17" s="23" t="str">
        <f>IF(SUMPRODUCT($J$71:Z$71,$J17:Z17)&lt;0.5, "Pending", IF(Z17&lt;0.5, "Complete", "In Progress"))</f>
        <v>Pending</v>
      </c>
      <c r="AB17" s="22">
        <v>0</v>
      </c>
      <c r="AC17" s="22">
        <f t="shared" si="30"/>
        <v>2</v>
      </c>
      <c r="AD17" s="23" t="str">
        <f>IF(SUMPRODUCT($J$71:AC$71,$J17:AC17)&lt;0.5, "Pending", IF(AC17&lt;0.5, "Complete", "In Progress"))</f>
        <v>Pending</v>
      </c>
      <c r="AE17" s="22">
        <v>0</v>
      </c>
      <c r="AF17" s="22">
        <f t="shared" si="31"/>
        <v>2</v>
      </c>
      <c r="AG17" s="23" t="str">
        <f>IF(SUMPRODUCT($J$71:AF$71,$J17:AF17)&lt;0.5, "Pending", IF(AF17&lt;0.5, "Complete", "In Progress"))</f>
        <v>Pending</v>
      </c>
      <c r="AH17" s="22">
        <v>0</v>
      </c>
      <c r="AI17" s="22">
        <f t="shared" si="32"/>
        <v>2</v>
      </c>
      <c r="AJ17" s="23" t="str">
        <f>IF(SUMPRODUCT($J$71:AI$71,$J17:AI17)&lt;0.5, "Pending", IF(AI17&lt;0.5, "Complete", "In Progress"))</f>
        <v>Pending</v>
      </c>
      <c r="AK17" s="22">
        <v>0</v>
      </c>
      <c r="AL17" s="22">
        <f t="shared" si="33"/>
        <v>2</v>
      </c>
      <c r="AM17" s="23" t="str">
        <f>IF(SUMPRODUCT($J$71:AL$71,$J17:AL17)&lt;0.5, "Pending", IF(AL17&lt;0.5, "Complete", "In Progress"))</f>
        <v>Pending</v>
      </c>
      <c r="AN17" s="22">
        <v>0</v>
      </c>
      <c r="AO17" s="22">
        <f t="shared" si="34"/>
        <v>2</v>
      </c>
      <c r="AP17" s="23" t="str">
        <f>IF(SUMPRODUCT($J$71:AO$71,$J17:AO17)&lt;0.5, "Pending", IF(AO17&lt;0.5, "Complete", "In Progress"))</f>
        <v>Pending</v>
      </c>
      <c r="AQ17" s="22">
        <v>0</v>
      </c>
      <c r="AR17" s="22">
        <f t="shared" si="35"/>
        <v>2</v>
      </c>
      <c r="AS17" s="23" t="str">
        <f>IF(SUMPRODUCT($J$71:AR$71,$J17:AR17)&lt;0.5, "Pending", IF(AR17&lt;0.5, "Complete", "In Progress"))</f>
        <v>Pending</v>
      </c>
      <c r="AT17" s="22">
        <v>0</v>
      </c>
      <c r="AU17" s="22">
        <f t="shared" si="36"/>
        <v>2</v>
      </c>
      <c r="AV17" s="23" t="str">
        <f>IF(SUMPRODUCT($J$71:AU$71,$J17:AU17)&lt;0.5, "Pending", IF(AU17&lt;0.5, "Complete", "In Progress"))</f>
        <v>Pending</v>
      </c>
      <c r="AW17" s="22">
        <v>0</v>
      </c>
      <c r="AX17" s="22">
        <f t="shared" si="37"/>
        <v>2</v>
      </c>
      <c r="AY17" s="23" t="str">
        <f>IF(SUMPRODUCT($J$71:AX$71,$J17:AX17)&lt;0.5,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IF(SUMPRODUCT($J$71:BA$71,$J17:BA17)&lt;0.5,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IF(SUMPRODUCT($J$71:BD$71,$J17:BD17)&lt;0.5,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IF(SUMPRODUCT($J$71:BG$71,$J17:BG17)&lt;0.5,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IF(SUMPRODUCT($J$71:BJ$71,$J17:BJ17)&lt;0.5,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IF(SUMPRODUCT($J$71:BM$71,$J17:BM17)&lt;0.5,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IF(SUMPRODUCT($J$71:BP$71,$J17:BP17)&lt;0.5,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IF(SUMPRODUCT($J$71:BS$71,$J17:BS17)&lt;0.5,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IF(SUMPRODUCT($J$71:BV$71,$J17:BV17)&lt;0.5,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IF(SUMPRODUCT($J$71:BY$71,$J17:BY17)&lt;0.5,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IF(SUMPRODUCT($J$71:CB$71,$J17:CB17)&lt;0.5, "Pending", IF(CB17&lt;0.5, "Complete", "In Progress"))</f>
        <v>#REF!</v>
      </c>
      <c r="CD17" s="24"/>
      <c r="CE17" s="25">
        <f>SUMPRODUCT($H$71:AY$71,$H17:AY17)</f>
        <v>0</v>
      </c>
    </row>
    <row r="18" spans="1:83" x14ac:dyDescent="0.2">
      <c r="A18" s="16"/>
      <c r="B18" s="16" t="s">
        <v>126</v>
      </c>
      <c r="C18" s="16" t="s">
        <v>174</v>
      </c>
      <c r="D18" s="17" t="s">
        <v>187</v>
      </c>
      <c r="E18" s="178" t="s">
        <v>155</v>
      </c>
      <c r="F18" s="18" t="s">
        <v>117</v>
      </c>
      <c r="G18" s="19" t="str">
        <f t="shared" ca="1" si="0"/>
        <v>Pending</v>
      </c>
      <c r="H18" s="20">
        <v>1</v>
      </c>
      <c r="I18" s="21">
        <v>5</v>
      </c>
      <c r="J18" s="22">
        <v>0</v>
      </c>
      <c r="K18" s="22">
        <f t="shared" si="24"/>
        <v>5</v>
      </c>
      <c r="L18" s="23" t="str">
        <f>IF(SUMPRODUCT($J$71:K$71,$J18:K18)&lt;0.5, "Pending", IF(K18&lt;0.5, "Complete", "In Progress"))</f>
        <v>Pending</v>
      </c>
      <c r="M18" s="22">
        <v>0</v>
      </c>
      <c r="N18" s="22">
        <f t="shared" si="25"/>
        <v>5</v>
      </c>
      <c r="O18" s="23" t="str">
        <f>IF(SUMPRODUCT($J$71:N$71,$J18:N18)&lt;0.5, "Pending", IF(N18&lt;0.5, "Complete", "In Progress"))</f>
        <v>Pending</v>
      </c>
      <c r="P18" s="22">
        <v>0</v>
      </c>
      <c r="Q18" s="22">
        <f t="shared" si="26"/>
        <v>5</v>
      </c>
      <c r="R18" s="23" t="str">
        <f>IF(SUMPRODUCT($J$71:Q$71,$J18:Q18)&lt;0.5, "Pending", IF(Q18&lt;0.5, "Complete", "In Progress"))</f>
        <v>Pending</v>
      </c>
      <c r="S18" s="22">
        <v>0</v>
      </c>
      <c r="T18" s="22">
        <f t="shared" si="27"/>
        <v>5</v>
      </c>
      <c r="U18" s="23" t="str">
        <f>IF(SUMPRODUCT($J$71:T$71,$J18:T18)&lt;0.5, "Pending", IF(T18&lt;0.5, "Complete", "In Progress"))</f>
        <v>Pending</v>
      </c>
      <c r="V18" s="22">
        <v>0</v>
      </c>
      <c r="W18" s="22">
        <f t="shared" si="28"/>
        <v>5</v>
      </c>
      <c r="X18" s="23" t="str">
        <f>IF(SUMPRODUCT($J$71:W$71,$J18:W18)&lt;0.5, "Pending", IF(W18&lt;0.5, "Complete", "In Progress"))</f>
        <v>Pending</v>
      </c>
      <c r="Y18" s="22">
        <v>0</v>
      </c>
      <c r="Z18" s="22">
        <f t="shared" si="29"/>
        <v>5</v>
      </c>
      <c r="AA18" s="23" t="str">
        <f>IF(SUMPRODUCT($J$71:Z$71,$J18:Z18)&lt;0.5, "Pending", IF(Z18&lt;0.5, "Complete", "In Progress"))</f>
        <v>Pending</v>
      </c>
      <c r="AB18" s="22">
        <v>0</v>
      </c>
      <c r="AC18" s="22">
        <f t="shared" si="30"/>
        <v>5</v>
      </c>
      <c r="AD18" s="23" t="str">
        <f>IF(SUMPRODUCT($J$71:AC$71,$J18:AC18)&lt;0.5, "Pending", IF(AC18&lt;0.5, "Complete", "In Progress"))</f>
        <v>Pending</v>
      </c>
      <c r="AE18" s="22">
        <v>0</v>
      </c>
      <c r="AF18" s="22">
        <f t="shared" si="31"/>
        <v>5</v>
      </c>
      <c r="AG18" s="23" t="str">
        <f>IF(SUMPRODUCT($J$71:AF$71,$J18:AF18)&lt;0.5, "Pending", IF(AF18&lt;0.5, "Complete", "In Progress"))</f>
        <v>Pending</v>
      </c>
      <c r="AH18" s="22">
        <v>0</v>
      </c>
      <c r="AI18" s="22">
        <f t="shared" si="32"/>
        <v>5</v>
      </c>
      <c r="AJ18" s="23" t="str">
        <f>IF(SUMPRODUCT($J$71:AI$71,$J18:AI18)&lt;0.5, "Pending", IF(AI18&lt;0.5, "Complete", "In Progress"))</f>
        <v>Pending</v>
      </c>
      <c r="AK18" s="22">
        <v>0</v>
      </c>
      <c r="AL18" s="22">
        <f t="shared" si="33"/>
        <v>5</v>
      </c>
      <c r="AM18" s="23" t="str">
        <f>IF(SUMPRODUCT($J$71:AL$71,$J18:AL18)&lt;0.5, "Pending", IF(AL18&lt;0.5, "Complete", "In Progress"))</f>
        <v>Pending</v>
      </c>
      <c r="AN18" s="22">
        <v>0</v>
      </c>
      <c r="AO18" s="22">
        <f t="shared" si="34"/>
        <v>5</v>
      </c>
      <c r="AP18" s="23" t="str">
        <f>IF(SUMPRODUCT($J$71:AO$71,$J18:AO18)&lt;0.5, "Pending", IF(AO18&lt;0.5, "Complete", "In Progress"))</f>
        <v>Pending</v>
      </c>
      <c r="AQ18" s="22">
        <v>0</v>
      </c>
      <c r="AR18" s="22">
        <f t="shared" si="35"/>
        <v>5</v>
      </c>
      <c r="AS18" s="23" t="str">
        <f>IF(SUMPRODUCT($J$71:AR$71,$J18:AR18)&lt;0.5, "Pending", IF(AR18&lt;0.5, "Complete", "In Progress"))</f>
        <v>Pending</v>
      </c>
      <c r="AT18" s="22">
        <v>0</v>
      </c>
      <c r="AU18" s="22">
        <f t="shared" si="36"/>
        <v>5</v>
      </c>
      <c r="AV18" s="23" t="str">
        <f>IF(SUMPRODUCT($J$71:AU$71,$J18:AU18)&lt;0.5, "Pending", IF(AU18&lt;0.5, "Complete", "In Progress"))</f>
        <v>Pending</v>
      </c>
      <c r="AW18" s="22">
        <v>0</v>
      </c>
      <c r="AX18" s="22">
        <f t="shared" si="37"/>
        <v>5</v>
      </c>
      <c r="AY18" s="23" t="str">
        <f>IF(SUMPRODUCT($J$71:AX$71,$J18:AX18)&lt;0.5,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IF(SUMPRODUCT($J$71:BA$71,$J18:BA18)&lt;0.5,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IF(SUMPRODUCT($J$71:BD$71,$J18:BD18)&lt;0.5,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IF(SUMPRODUCT($J$71:BG$71,$J18:BG18)&lt;0.5,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IF(SUMPRODUCT($J$71:BJ$71,$J18:BJ18)&lt;0.5,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IF(SUMPRODUCT($J$71:BM$71,$J18:BM18)&lt;0.5,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IF(SUMPRODUCT($J$71:BP$71,$J18:BP18)&lt;0.5,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IF(SUMPRODUCT($J$71:BS$71,$J18:BS18)&lt;0.5,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IF(SUMPRODUCT($J$71:BV$71,$J18:BV18)&lt;0.5,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IF(SUMPRODUCT($J$71:BY$71,$J18:BY18)&lt;0.5,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IF(SUMPRODUCT($J$71:CB$71,$J18:CB18)&lt;0.5, "Pending", IF(CB18&lt;0.5, "Complete", "In Progress"))</f>
        <v>#REF!</v>
      </c>
      <c r="CD18" s="24"/>
      <c r="CE18" s="25">
        <f>SUMPRODUCT($H$71:AY$71,$H18:AY18)</f>
        <v>0</v>
      </c>
    </row>
    <row r="19" spans="1:83" x14ac:dyDescent="0.2">
      <c r="A19" s="16"/>
      <c r="B19" s="16" t="s">
        <v>129</v>
      </c>
      <c r="C19" s="16" t="s">
        <v>174</v>
      </c>
      <c r="D19" s="17" t="s">
        <v>192</v>
      </c>
      <c r="E19" s="178" t="s">
        <v>156</v>
      </c>
      <c r="F19" s="18" t="s">
        <v>117</v>
      </c>
      <c r="G19" s="19" t="str">
        <f t="shared" ca="1" si="0"/>
        <v>Pending</v>
      </c>
      <c r="H19" s="20">
        <v>1</v>
      </c>
      <c r="I19" s="21">
        <v>13</v>
      </c>
      <c r="J19" s="22">
        <v>0</v>
      </c>
      <c r="K19" s="22">
        <f t="shared" ref="K19" si="93">MAX(I19-J19, 0)</f>
        <v>13</v>
      </c>
      <c r="L19" s="23" t="str">
        <f>IF(SUMPRODUCT($J$71:K$71,$J19:K19)&lt;0.5, "Pending", IF(K19&lt;0.5, "Complete", "In Progress"))</f>
        <v>Pending</v>
      </c>
      <c r="M19" s="22">
        <v>0</v>
      </c>
      <c r="N19" s="22">
        <f t="shared" ref="N19" si="94">MAX(K19-M19,0)</f>
        <v>13</v>
      </c>
      <c r="O19" s="23" t="str">
        <f>IF(SUMPRODUCT($J$71:N$71,$J19:N19)&lt;0.5, "Pending", IF(N19&lt;0.5, "Complete", "In Progress"))</f>
        <v>Pending</v>
      </c>
      <c r="P19" s="22">
        <v>0</v>
      </c>
      <c r="Q19" s="22">
        <f t="shared" ref="Q19" si="95">MAX(N19-P19,0)</f>
        <v>13</v>
      </c>
      <c r="R19" s="23" t="str">
        <f>IF(SUMPRODUCT($J$71:Q$71,$J19:Q19)&lt;0.5, "Pending", IF(Q19&lt;0.5, "Complete", "In Progress"))</f>
        <v>Pending</v>
      </c>
      <c r="S19" s="22">
        <v>0</v>
      </c>
      <c r="T19" s="22">
        <f t="shared" ref="T19" si="96">MAX(Q19-S19,0)</f>
        <v>13</v>
      </c>
      <c r="U19" s="23" t="str">
        <f>IF(SUMPRODUCT($J$71:T$71,$J19:T19)&lt;0.5, "Pending", IF(T19&lt;0.5, "Complete", "In Progress"))</f>
        <v>Pending</v>
      </c>
      <c r="V19" s="22">
        <v>0</v>
      </c>
      <c r="W19" s="22">
        <f t="shared" ref="W19" si="97">MAX(T19-V19,0)</f>
        <v>13</v>
      </c>
      <c r="X19" s="23" t="str">
        <f>IF(SUMPRODUCT($J$71:W$71,$J19:W19)&lt;0.5, "Pending", IF(W19&lt;0.5, "Complete", "In Progress"))</f>
        <v>Pending</v>
      </c>
      <c r="Y19" s="22">
        <v>0</v>
      </c>
      <c r="Z19" s="22">
        <f t="shared" ref="Z19" si="98">MAX(W19-Y19,0)</f>
        <v>13</v>
      </c>
      <c r="AA19" s="23" t="str">
        <f>IF(SUMPRODUCT($J$71:Z$71,$J19:Z19)&lt;0.5, "Pending", IF(Z19&lt;0.5, "Complete", "In Progress"))</f>
        <v>Pending</v>
      </c>
      <c r="AB19" s="22">
        <v>0</v>
      </c>
      <c r="AC19" s="22">
        <f t="shared" ref="AC19" si="99">MAX(Z19-AB19,0)</f>
        <v>13</v>
      </c>
      <c r="AD19" s="23" t="str">
        <f>IF(SUMPRODUCT($J$71:AC$71,$J19:AC19)&lt;0.5, "Pending", IF(AC19&lt;0.5, "Complete", "In Progress"))</f>
        <v>Pending</v>
      </c>
      <c r="AE19" s="22">
        <v>0</v>
      </c>
      <c r="AF19" s="22">
        <f t="shared" ref="AF19" si="100">MAX(AC19-AE19,0)</f>
        <v>13</v>
      </c>
      <c r="AG19" s="23" t="str">
        <f>IF(SUMPRODUCT($J$71:AF$71,$J19:AF19)&lt;0.5, "Pending", IF(AF19&lt;0.5, "Complete", "In Progress"))</f>
        <v>Pending</v>
      </c>
      <c r="AH19" s="22">
        <v>0</v>
      </c>
      <c r="AI19" s="22">
        <f t="shared" ref="AI19" si="101">MAX(AF19-AH19,0)</f>
        <v>13</v>
      </c>
      <c r="AJ19" s="23" t="str">
        <f>IF(SUMPRODUCT($J$71:AI$71,$J19:AI19)&lt;0.5, "Pending", IF(AI19&lt;0.5, "Complete", "In Progress"))</f>
        <v>Pending</v>
      </c>
      <c r="AK19" s="22">
        <v>0</v>
      </c>
      <c r="AL19" s="22">
        <f t="shared" ref="AL19" si="102">MAX(AI19-AK19,0)</f>
        <v>13</v>
      </c>
      <c r="AM19" s="23" t="str">
        <f>IF(SUMPRODUCT($J$71:AL$71,$J19:AL19)&lt;0.5, "Pending", IF(AL19&lt;0.5, "Complete", "In Progress"))</f>
        <v>Pending</v>
      </c>
      <c r="AN19" s="22">
        <v>0</v>
      </c>
      <c r="AO19" s="22">
        <f t="shared" ref="AO19" si="103">MAX(AL19-AN19,0)</f>
        <v>13</v>
      </c>
      <c r="AP19" s="23" t="str">
        <f>IF(SUMPRODUCT($J$71:AO$71,$J19:AO19)&lt;0.5, "Pending", IF(AO19&lt;0.5, "Complete", "In Progress"))</f>
        <v>Pending</v>
      </c>
      <c r="AQ19" s="22">
        <v>0</v>
      </c>
      <c r="AR19" s="22">
        <f t="shared" ref="AR19" si="104">MAX(AO19-AQ19,0)</f>
        <v>13</v>
      </c>
      <c r="AS19" s="23" t="str">
        <f>IF(SUMPRODUCT($J$71:AR$71,$J19:AR19)&lt;0.5, "Pending", IF(AR19&lt;0.5, "Complete", "In Progress"))</f>
        <v>Pending</v>
      </c>
      <c r="AT19" s="22">
        <v>0</v>
      </c>
      <c r="AU19" s="22">
        <f t="shared" ref="AU19" si="105">MAX(AR19-AT19,0)</f>
        <v>13</v>
      </c>
      <c r="AV19" s="23" t="str">
        <f>IF(SUMPRODUCT($J$71:AU$71,$J19:AU19)&lt;0.5, "Pending", IF(AU19&lt;0.5, "Complete", "In Progress"))</f>
        <v>Pending</v>
      </c>
      <c r="AW19" s="22">
        <v>0</v>
      </c>
      <c r="AX19" s="22">
        <f t="shared" ref="AX19" si="106">MAX(AU19-AW19,0)</f>
        <v>13</v>
      </c>
      <c r="AY19" s="23" t="str">
        <f>IF(SUMPRODUCT($J$71:AX$71,$J19:AX19)&lt;0.5,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IF(SUMPRODUCT($J$71:BA$71,$J19:BA19)&lt;0.5, "Pending", IF(BA19&lt;0.5, "Complete", "In Progress"))</f>
        <v>#REF!</v>
      </c>
      <c r="BC19" s="22">
        <v>0</v>
      </c>
      <c r="BD19" s="22" t="e">
        <f t="shared" ref="BD19" si="107">MAX(BA19-BC19,0)</f>
        <v>#REF!</v>
      </c>
      <c r="BE19" s="23" t="e">
        <f>IF(SUMPRODUCT($J$71:BD$71,$J19:BD19)&lt;0.5, "Pending", IF(BD19&lt;0.5, "Complete", "In Progress"))</f>
        <v>#REF!</v>
      </c>
      <c r="BF19" s="22">
        <v>0</v>
      </c>
      <c r="BG19" s="22" t="e">
        <f t="shared" ref="BG19" si="108">MAX(BD19-BF19,0)</f>
        <v>#REF!</v>
      </c>
      <c r="BH19" s="23" t="e">
        <f>IF(SUMPRODUCT($J$71:BG$71,$J19:BG19)&lt;0.5, "Pending", IF(BG19&lt;0.5, "Complete", "In Progress"))</f>
        <v>#REF!</v>
      </c>
      <c r="BI19" s="22">
        <v>0</v>
      </c>
      <c r="BJ19" s="22" t="e">
        <f t="shared" ref="BJ19" si="109">MAX(BG19-BI19,0)</f>
        <v>#REF!</v>
      </c>
      <c r="BK19" s="23" t="e">
        <f>IF(SUMPRODUCT($J$71:BJ$71,$J19:BJ19)&lt;0.5, "Pending", IF(BJ19&lt;0.5, "Complete", "In Progress"))</f>
        <v>#REF!</v>
      </c>
      <c r="BL19" s="22">
        <v>0</v>
      </c>
      <c r="BM19" s="22" t="e">
        <f t="shared" ref="BM19" si="110">MAX(BJ19-BL19,0)</f>
        <v>#REF!</v>
      </c>
      <c r="BN19" s="23" t="e">
        <f>IF(SUMPRODUCT($J$71:BM$71,$J19:BM19)&lt;0.5, "Pending", IF(BM19&lt;0.5, "Complete", "In Progress"))</f>
        <v>#REF!</v>
      </c>
      <c r="BO19" s="22">
        <v>0</v>
      </c>
      <c r="BP19" s="22" t="e">
        <f t="shared" ref="BP19" si="111">MAX(BM19-BO19,0)</f>
        <v>#REF!</v>
      </c>
      <c r="BQ19" s="23" t="e">
        <f>IF(SUMPRODUCT($J$71:BP$71,$J19:BP19)&lt;0.5, "Pending", IF(BP19&lt;0.5, "Complete", "In Progress"))</f>
        <v>#REF!</v>
      </c>
      <c r="BR19" s="22">
        <v>0</v>
      </c>
      <c r="BS19" s="22" t="e">
        <f t="shared" ref="BS19" si="112">MAX(BP19-BR19,0)</f>
        <v>#REF!</v>
      </c>
      <c r="BT19" s="23" t="e">
        <f>IF(SUMPRODUCT($J$71:BS$71,$J19:BS19)&lt;0.5, "Pending", IF(BS19&lt;0.5, "Complete", "In Progress"))</f>
        <v>#REF!</v>
      </c>
      <c r="BU19" s="22">
        <v>0</v>
      </c>
      <c r="BV19" s="22" t="e">
        <f t="shared" ref="BV19" si="113">MAX(BS19-BU19,0)</f>
        <v>#REF!</v>
      </c>
      <c r="BW19" s="23" t="e">
        <f>IF(SUMPRODUCT($J$71:BV$71,$J19:BV19)&lt;0.5, "Pending", IF(BV19&lt;0.5, "Complete", "In Progress"))</f>
        <v>#REF!</v>
      </c>
      <c r="BX19" s="22">
        <v>0</v>
      </c>
      <c r="BY19" s="22" t="e">
        <f t="shared" ref="BY19" si="114">MAX(BV19-BX19,0)</f>
        <v>#REF!</v>
      </c>
      <c r="BZ19" s="23" t="e">
        <f>IF(SUMPRODUCT($J$71:BY$71,$J19:BY19)&lt;0.5, "Pending", IF(BY19&lt;0.5, "Complete", "In Progress"))</f>
        <v>#REF!</v>
      </c>
      <c r="CA19" s="22">
        <v>0</v>
      </c>
      <c r="CB19" s="22" t="e">
        <f t="shared" ref="CB19" si="115">MAX(BY19-CA19,0)</f>
        <v>#REF!</v>
      </c>
      <c r="CC19" s="23" t="e">
        <f>IF(SUMPRODUCT($J$71:CB$71,$J19:CB19)&lt;0.5, "Pending", IF(CB19&lt;0.5, "Complete", "In Progress"))</f>
        <v>#REF!</v>
      </c>
      <c r="CD19" s="24"/>
      <c r="CE19" s="25">
        <f>SUMPRODUCT($H$71:AY$71,$H19:AY19)</f>
        <v>0</v>
      </c>
    </row>
    <row r="20" spans="1:83" x14ac:dyDescent="0.2">
      <c r="A20" s="16"/>
      <c r="B20" s="16" t="s">
        <v>127</v>
      </c>
      <c r="C20" s="16" t="s">
        <v>174</v>
      </c>
      <c r="D20" s="17" t="s">
        <v>193</v>
      </c>
      <c r="E20" s="178" t="s">
        <v>177</v>
      </c>
      <c r="F20" s="18" t="s">
        <v>117</v>
      </c>
      <c r="G20" s="19" t="str">
        <f t="shared" ca="1" si="0"/>
        <v>Pending</v>
      </c>
      <c r="H20" s="20">
        <v>1</v>
      </c>
      <c r="I20" s="21">
        <v>2</v>
      </c>
      <c r="J20" s="22">
        <v>0</v>
      </c>
      <c r="K20" s="22">
        <f t="shared" si="24"/>
        <v>2</v>
      </c>
      <c r="L20" s="23" t="str">
        <f>IF(SUMPRODUCT($J$71:K$71,$J20:K20)&lt;0.5, "Pending", IF(K20&lt;0.5, "Complete", "In Progress"))</f>
        <v>Pending</v>
      </c>
      <c r="M20" s="22">
        <v>0</v>
      </c>
      <c r="N20" s="22">
        <f t="shared" si="25"/>
        <v>2</v>
      </c>
      <c r="O20" s="23" t="str">
        <f>IF(SUMPRODUCT($J$71:N$71,$J20:N20)&lt;0.5, "Pending", IF(N20&lt;0.5, "Complete", "In Progress"))</f>
        <v>Pending</v>
      </c>
      <c r="P20" s="22">
        <v>0</v>
      </c>
      <c r="Q20" s="22">
        <f t="shared" si="26"/>
        <v>2</v>
      </c>
      <c r="R20" s="23" t="str">
        <f>IF(SUMPRODUCT($J$71:Q$71,$J20:Q20)&lt;0.5, "Pending", IF(Q20&lt;0.5, "Complete", "In Progress"))</f>
        <v>Pending</v>
      </c>
      <c r="S20" s="22">
        <v>0</v>
      </c>
      <c r="T20" s="22">
        <f t="shared" si="27"/>
        <v>2</v>
      </c>
      <c r="U20" s="23" t="str">
        <f>IF(SUMPRODUCT($J$71:T$71,$J20:T20)&lt;0.5, "Pending", IF(T20&lt;0.5, "Complete", "In Progress"))</f>
        <v>Pending</v>
      </c>
      <c r="V20" s="22">
        <v>0</v>
      </c>
      <c r="W20" s="22">
        <f t="shared" si="28"/>
        <v>2</v>
      </c>
      <c r="X20" s="23" t="str">
        <f>IF(SUMPRODUCT($J$71:W$71,$J20:W20)&lt;0.5, "Pending", IF(W20&lt;0.5, "Complete", "In Progress"))</f>
        <v>Pending</v>
      </c>
      <c r="Y20" s="22">
        <v>0</v>
      </c>
      <c r="Z20" s="22">
        <f t="shared" si="29"/>
        <v>2</v>
      </c>
      <c r="AA20" s="23" t="str">
        <f>IF(SUMPRODUCT($J$71:Z$71,$J20:Z20)&lt;0.5, "Pending", IF(Z20&lt;0.5, "Complete", "In Progress"))</f>
        <v>Pending</v>
      </c>
      <c r="AB20" s="22">
        <v>0</v>
      </c>
      <c r="AC20" s="22">
        <f t="shared" si="30"/>
        <v>2</v>
      </c>
      <c r="AD20" s="23" t="str">
        <f>IF(SUMPRODUCT($J$71:AC$71,$J20:AC20)&lt;0.5, "Pending", IF(AC20&lt;0.5, "Complete", "In Progress"))</f>
        <v>Pending</v>
      </c>
      <c r="AE20" s="22">
        <v>0</v>
      </c>
      <c r="AF20" s="22">
        <f t="shared" si="31"/>
        <v>2</v>
      </c>
      <c r="AG20" s="23" t="str">
        <f>IF(SUMPRODUCT($J$71:AF$71,$J20:AF20)&lt;0.5, "Pending", IF(AF20&lt;0.5, "Complete", "In Progress"))</f>
        <v>Pending</v>
      </c>
      <c r="AH20" s="22">
        <v>0</v>
      </c>
      <c r="AI20" s="22">
        <f t="shared" si="32"/>
        <v>2</v>
      </c>
      <c r="AJ20" s="23" t="str">
        <f>IF(SUMPRODUCT($J$71:AI$71,$J20:AI20)&lt;0.5, "Pending", IF(AI20&lt;0.5, "Complete", "In Progress"))</f>
        <v>Pending</v>
      </c>
      <c r="AK20" s="22">
        <v>0</v>
      </c>
      <c r="AL20" s="22">
        <f t="shared" si="33"/>
        <v>2</v>
      </c>
      <c r="AM20" s="23" t="str">
        <f>IF(SUMPRODUCT($J$71:AL$71,$J20:AL20)&lt;0.5, "Pending", IF(AL20&lt;0.5, "Complete", "In Progress"))</f>
        <v>Pending</v>
      </c>
      <c r="AN20" s="22">
        <v>0</v>
      </c>
      <c r="AO20" s="22">
        <f t="shared" si="34"/>
        <v>2</v>
      </c>
      <c r="AP20" s="23" t="str">
        <f>IF(SUMPRODUCT($J$71:AO$71,$J20:AO20)&lt;0.5, "Pending", IF(AO20&lt;0.5, "Complete", "In Progress"))</f>
        <v>Pending</v>
      </c>
      <c r="AQ20" s="22">
        <v>0</v>
      </c>
      <c r="AR20" s="22">
        <f t="shared" si="35"/>
        <v>2</v>
      </c>
      <c r="AS20" s="23" t="str">
        <f>IF(SUMPRODUCT($J$71:AR$71,$J20:AR20)&lt;0.5, "Pending", IF(AR20&lt;0.5, "Complete", "In Progress"))</f>
        <v>Pending</v>
      </c>
      <c r="AT20" s="22">
        <v>0</v>
      </c>
      <c r="AU20" s="22">
        <f t="shared" si="36"/>
        <v>2</v>
      </c>
      <c r="AV20" s="23" t="str">
        <f>IF(SUMPRODUCT($J$71:AU$71,$J20:AU20)&lt;0.5, "Pending", IF(AU20&lt;0.5, "Complete", "In Progress"))</f>
        <v>Pending</v>
      </c>
      <c r="AW20" s="22">
        <v>0</v>
      </c>
      <c r="AX20" s="22">
        <f t="shared" si="37"/>
        <v>2</v>
      </c>
      <c r="AY20" s="23" t="str">
        <f>IF(SUMPRODUCT($J$71:AX$71,$J20:AX20)&lt;0.5,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IF(SUMPRODUCT($J$71:BA$71,$J20:BA20)&lt;0.5,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IF(SUMPRODUCT($J$71:BD$71,$J20:BD20)&lt;0.5,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IF(SUMPRODUCT($J$71:BG$71,$J20:BG20)&lt;0.5,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IF(SUMPRODUCT($J$71:BJ$71,$J20:BJ20)&lt;0.5,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IF(SUMPRODUCT($J$71:BM$71,$J20:BM20)&lt;0.5,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IF(SUMPRODUCT($J$71:BP$71,$J20:BP20)&lt;0.5,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IF(SUMPRODUCT($J$71:BS$71,$J20:BS20)&lt;0.5,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IF(SUMPRODUCT($J$71:BV$71,$J20:BV20)&lt;0.5,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IF(SUMPRODUCT($J$71:BY$71,$J20:BY20)&lt;0.5,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IF(SUMPRODUCT($J$71:CB$71,$J20:CB20)&lt;0.5, "Pending", IF(CB20&lt;0.5, "Complete", "In Progress"))</f>
        <v>#REF!</v>
      </c>
      <c r="CD20" s="24"/>
      <c r="CE20" s="25">
        <f>SUMPRODUCT($H$71:AY$71,$H20:AY20)</f>
        <v>0</v>
      </c>
    </row>
    <row r="21" spans="1:83" x14ac:dyDescent="0.2">
      <c r="A21" s="16"/>
      <c r="B21" s="16" t="s">
        <v>126</v>
      </c>
      <c r="C21" s="16" t="s">
        <v>174</v>
      </c>
      <c r="D21" s="17" t="s">
        <v>182</v>
      </c>
      <c r="E21" s="178" t="s">
        <v>153</v>
      </c>
      <c r="F21" s="18" t="s">
        <v>117</v>
      </c>
      <c r="G21" s="19" t="str">
        <f t="shared" ca="1" si="0"/>
        <v>Pending</v>
      </c>
      <c r="H21" s="20">
        <v>1</v>
      </c>
      <c r="I21" s="21">
        <v>20</v>
      </c>
      <c r="J21" s="22">
        <v>0</v>
      </c>
      <c r="K21" s="22">
        <f t="shared" ref="K21:K22" si="116">MAX(I21-J21, 0)</f>
        <v>20</v>
      </c>
      <c r="L21" s="23" t="str">
        <f>IF(SUMPRODUCT($J$71:K$71,$J21:K21)&lt;0.5, "Pending", IF(K21&lt;0.5, "Complete", "In Progress"))</f>
        <v>Pending</v>
      </c>
      <c r="M21" s="22">
        <v>0</v>
      </c>
      <c r="N21" s="22">
        <f t="shared" ref="N21:N22" si="117">MAX(K21-M21,0)</f>
        <v>20</v>
      </c>
      <c r="O21" s="23" t="str">
        <f>IF(SUMPRODUCT($J$71:N$71,$J21:N21)&lt;0.5, "Pending", IF(N21&lt;0.5, "Complete", "In Progress"))</f>
        <v>Pending</v>
      </c>
      <c r="P21" s="22">
        <v>0</v>
      </c>
      <c r="Q21" s="22">
        <f t="shared" ref="Q21:Q22" si="118">MAX(N21-P21,0)</f>
        <v>20</v>
      </c>
      <c r="R21" s="23" t="str">
        <f>IF(SUMPRODUCT($J$71:Q$71,$J21:Q21)&lt;0.5, "Pending", IF(Q21&lt;0.5, "Complete", "In Progress"))</f>
        <v>Pending</v>
      </c>
      <c r="S21" s="22">
        <v>0</v>
      </c>
      <c r="T21" s="22">
        <f t="shared" ref="T21:T22" si="119">MAX(Q21-S21,0)</f>
        <v>20</v>
      </c>
      <c r="U21" s="23" t="str">
        <f>IF(SUMPRODUCT($J$71:T$71,$J21:T21)&lt;0.5, "Pending", IF(T21&lt;0.5, "Complete", "In Progress"))</f>
        <v>Pending</v>
      </c>
      <c r="V21" s="22">
        <v>0</v>
      </c>
      <c r="W21" s="22">
        <f t="shared" ref="W21:W22" si="120">MAX(T21-V21,0)</f>
        <v>20</v>
      </c>
      <c r="X21" s="23" t="str">
        <f>IF(SUMPRODUCT($J$71:W$71,$J21:W21)&lt;0.5, "Pending", IF(W21&lt;0.5, "Complete", "In Progress"))</f>
        <v>Pending</v>
      </c>
      <c r="Y21" s="22">
        <v>0</v>
      </c>
      <c r="Z21" s="22">
        <f t="shared" ref="Z21:Z22" si="121">MAX(W21-Y21,0)</f>
        <v>20</v>
      </c>
      <c r="AA21" s="23" t="str">
        <f>IF(SUMPRODUCT($J$71:Z$71,$J21:Z21)&lt;0.5, "Pending", IF(Z21&lt;0.5, "Complete", "In Progress"))</f>
        <v>Pending</v>
      </c>
      <c r="AB21" s="22">
        <v>0</v>
      </c>
      <c r="AC21" s="22">
        <f t="shared" ref="AC21:AC22" si="122">MAX(Z21-AB21,0)</f>
        <v>20</v>
      </c>
      <c r="AD21" s="23" t="str">
        <f>IF(SUMPRODUCT($J$71:AC$71,$J21:AC21)&lt;0.5, "Pending", IF(AC21&lt;0.5, "Complete", "In Progress"))</f>
        <v>Pending</v>
      </c>
      <c r="AE21" s="22">
        <v>0</v>
      </c>
      <c r="AF21" s="22">
        <f t="shared" ref="AF21:AF22" si="123">MAX(AC21-AE21,0)</f>
        <v>20</v>
      </c>
      <c r="AG21" s="23" t="str">
        <f>IF(SUMPRODUCT($J$71:AF$71,$J21:AF21)&lt;0.5, "Pending", IF(AF21&lt;0.5, "Complete", "In Progress"))</f>
        <v>Pending</v>
      </c>
      <c r="AH21" s="22">
        <v>0</v>
      </c>
      <c r="AI21" s="22">
        <f t="shared" ref="AI21:AI22" si="124">MAX(AF21-AH21,0)</f>
        <v>20</v>
      </c>
      <c r="AJ21" s="23" t="str">
        <f>IF(SUMPRODUCT($J$71:AI$71,$J21:AI21)&lt;0.5, "Pending", IF(AI21&lt;0.5, "Complete", "In Progress"))</f>
        <v>Pending</v>
      </c>
      <c r="AK21" s="22">
        <v>0</v>
      </c>
      <c r="AL21" s="22">
        <f t="shared" ref="AL21:AL22" si="125">MAX(AI21-AK21,0)</f>
        <v>20</v>
      </c>
      <c r="AM21" s="23" t="str">
        <f>IF(SUMPRODUCT($J$71:AL$71,$J21:AL21)&lt;0.5, "Pending", IF(AL21&lt;0.5, "Complete", "In Progress"))</f>
        <v>Pending</v>
      </c>
      <c r="AN21" s="22">
        <v>0</v>
      </c>
      <c r="AO21" s="22">
        <f t="shared" ref="AO21:AO22" si="126">MAX(AL21-AN21,0)</f>
        <v>20</v>
      </c>
      <c r="AP21" s="23" t="str">
        <f>IF(SUMPRODUCT($J$71:AO$71,$J21:AO21)&lt;0.5, "Pending", IF(AO21&lt;0.5, "Complete", "In Progress"))</f>
        <v>Pending</v>
      </c>
      <c r="AQ21" s="22">
        <v>0</v>
      </c>
      <c r="AR21" s="22">
        <f t="shared" ref="AR21:AR22" si="127">MAX(AO21-AQ21,0)</f>
        <v>20</v>
      </c>
      <c r="AS21" s="23" t="str">
        <f>IF(SUMPRODUCT($J$71:AR$71,$J21:AR21)&lt;0.5, "Pending", IF(AR21&lt;0.5, "Complete", "In Progress"))</f>
        <v>Pending</v>
      </c>
      <c r="AT21" s="22">
        <v>0</v>
      </c>
      <c r="AU21" s="22">
        <f t="shared" ref="AU21:AU22" si="128">MAX(AR21-AT21,0)</f>
        <v>20</v>
      </c>
      <c r="AV21" s="23" t="str">
        <f>IF(SUMPRODUCT($J$71:AU$71,$J21:AU21)&lt;0.5, "Pending", IF(AU21&lt;0.5, "Complete", "In Progress"))</f>
        <v>Pending</v>
      </c>
      <c r="AW21" s="22">
        <v>0</v>
      </c>
      <c r="AX21" s="22">
        <f t="shared" ref="AX21:AX22" si="129">MAX(AU21-AW21,0)</f>
        <v>20</v>
      </c>
      <c r="AY21" s="23" t="str">
        <f>IF(SUMPRODUCT($J$71:AX$71,$J21:AX21)&lt;0.5,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IF(SUMPRODUCT($J$71:BA$71,$J21:BA21)&lt;0.5, "Pending", IF(BA21&lt;0.5, "Complete", "In Progress"))</f>
        <v>#REF!</v>
      </c>
      <c r="BC21" s="22">
        <v>0</v>
      </c>
      <c r="BD21" s="22" t="e">
        <f t="shared" ref="BD21:BD22" si="130">MAX(BA21-BC21,0)</f>
        <v>#REF!</v>
      </c>
      <c r="BE21" s="23" t="e">
        <f>IF(SUMPRODUCT($J$71:BD$71,$J21:BD21)&lt;0.5, "Pending", IF(BD21&lt;0.5, "Complete", "In Progress"))</f>
        <v>#REF!</v>
      </c>
      <c r="BF21" s="22">
        <v>0</v>
      </c>
      <c r="BG21" s="22" t="e">
        <f t="shared" ref="BG21:BG22" si="131">MAX(BD21-BF21,0)</f>
        <v>#REF!</v>
      </c>
      <c r="BH21" s="23" t="e">
        <f>IF(SUMPRODUCT($J$71:BG$71,$J21:BG21)&lt;0.5, "Pending", IF(BG21&lt;0.5, "Complete", "In Progress"))</f>
        <v>#REF!</v>
      </c>
      <c r="BI21" s="22">
        <v>0</v>
      </c>
      <c r="BJ21" s="22" t="e">
        <f t="shared" ref="BJ21:BJ22" si="132">MAX(BG21-BI21,0)</f>
        <v>#REF!</v>
      </c>
      <c r="BK21" s="23" t="e">
        <f>IF(SUMPRODUCT($J$71:BJ$71,$J21:BJ21)&lt;0.5, "Pending", IF(BJ21&lt;0.5, "Complete", "In Progress"))</f>
        <v>#REF!</v>
      </c>
      <c r="BL21" s="22">
        <v>0</v>
      </c>
      <c r="BM21" s="22" t="e">
        <f t="shared" ref="BM21:BM22" si="133">MAX(BJ21-BL21,0)</f>
        <v>#REF!</v>
      </c>
      <c r="BN21" s="23" t="e">
        <f>IF(SUMPRODUCT($J$71:BM$71,$J21:BM21)&lt;0.5, "Pending", IF(BM21&lt;0.5, "Complete", "In Progress"))</f>
        <v>#REF!</v>
      </c>
      <c r="BO21" s="22">
        <v>0</v>
      </c>
      <c r="BP21" s="22" t="e">
        <f t="shared" ref="BP21:BP22" si="134">MAX(BM21-BO21,0)</f>
        <v>#REF!</v>
      </c>
      <c r="BQ21" s="23" t="e">
        <f>IF(SUMPRODUCT($J$71:BP$71,$J21:BP21)&lt;0.5, "Pending", IF(BP21&lt;0.5, "Complete", "In Progress"))</f>
        <v>#REF!</v>
      </c>
      <c r="BR21" s="22">
        <v>0</v>
      </c>
      <c r="BS21" s="22" t="e">
        <f t="shared" ref="BS21:BS22" si="135">MAX(BP21-BR21,0)</f>
        <v>#REF!</v>
      </c>
      <c r="BT21" s="23" t="e">
        <f>IF(SUMPRODUCT($J$71:BS$71,$J21:BS21)&lt;0.5, "Pending", IF(BS21&lt;0.5, "Complete", "In Progress"))</f>
        <v>#REF!</v>
      </c>
      <c r="BU21" s="22">
        <v>0</v>
      </c>
      <c r="BV21" s="22" t="e">
        <f t="shared" ref="BV21:BV22" si="136">MAX(BS21-BU21,0)</f>
        <v>#REF!</v>
      </c>
      <c r="BW21" s="23" t="e">
        <f>IF(SUMPRODUCT($J$71:BV$71,$J21:BV21)&lt;0.5, "Pending", IF(BV21&lt;0.5, "Complete", "In Progress"))</f>
        <v>#REF!</v>
      </c>
      <c r="BX21" s="22">
        <v>0</v>
      </c>
      <c r="BY21" s="22" t="e">
        <f t="shared" ref="BY21:BY22" si="137">MAX(BV21-BX21,0)</f>
        <v>#REF!</v>
      </c>
      <c r="BZ21" s="23" t="e">
        <f>IF(SUMPRODUCT($J$71:BY$71,$J21:BY21)&lt;0.5, "Pending", IF(BY21&lt;0.5, "Complete", "In Progress"))</f>
        <v>#REF!</v>
      </c>
      <c r="CA21" s="22">
        <v>0</v>
      </c>
      <c r="CB21" s="22" t="e">
        <f t="shared" ref="CB21:CB22" si="138">MAX(BY21-CA21,0)</f>
        <v>#REF!</v>
      </c>
      <c r="CC21" s="23" t="e">
        <f>IF(SUMPRODUCT($J$71:CB$71,$J21:CB21)&lt;0.5, "Pending", IF(CB21&lt;0.5, "Complete", "In Progress"))</f>
        <v>#REF!</v>
      </c>
      <c r="CD21" s="24"/>
      <c r="CE21" s="25">
        <f>SUMPRODUCT($H$71:AY$71,$H21:AY21)</f>
        <v>0</v>
      </c>
    </row>
    <row r="22" spans="1:83" x14ac:dyDescent="0.2">
      <c r="A22" s="16"/>
      <c r="B22" s="16" t="s">
        <v>127</v>
      </c>
      <c r="C22" s="16" t="s">
        <v>181</v>
      </c>
      <c r="D22" s="17" t="s">
        <v>183</v>
      </c>
      <c r="E22" s="178" t="s">
        <v>194</v>
      </c>
      <c r="F22" s="18" t="s">
        <v>117</v>
      </c>
      <c r="G22" s="19" t="str">
        <f t="shared" ca="1" si="0"/>
        <v>Pending</v>
      </c>
      <c r="H22" s="20">
        <v>1</v>
      </c>
      <c r="I22" s="21">
        <v>20</v>
      </c>
      <c r="J22" s="22">
        <v>0</v>
      </c>
      <c r="K22" s="22">
        <f t="shared" si="116"/>
        <v>20</v>
      </c>
      <c r="L22" s="23" t="str">
        <f>IF(SUMPRODUCT($J$71:K$71,$J22:K22)&lt;0.5, "Pending", IF(K22&lt;0.5, "Complete", "In Progress"))</f>
        <v>Pending</v>
      </c>
      <c r="M22" s="22">
        <v>0</v>
      </c>
      <c r="N22" s="22">
        <f t="shared" si="117"/>
        <v>20</v>
      </c>
      <c r="O22" s="23" t="str">
        <f>IF(SUMPRODUCT($J$71:N$71,$J22:N22)&lt;0.5, "Pending", IF(N22&lt;0.5, "Complete", "In Progress"))</f>
        <v>Pending</v>
      </c>
      <c r="P22" s="22">
        <v>0</v>
      </c>
      <c r="Q22" s="22">
        <f t="shared" si="118"/>
        <v>20</v>
      </c>
      <c r="R22" s="23" t="str">
        <f>IF(SUMPRODUCT($J$71:Q$71,$J22:Q22)&lt;0.5, "Pending", IF(Q22&lt;0.5, "Complete", "In Progress"))</f>
        <v>Pending</v>
      </c>
      <c r="S22" s="22">
        <v>0</v>
      </c>
      <c r="T22" s="22">
        <f t="shared" si="119"/>
        <v>20</v>
      </c>
      <c r="U22" s="23" t="str">
        <f>IF(SUMPRODUCT($J$71:T$71,$J22:T22)&lt;0.5, "Pending", IF(T22&lt;0.5, "Complete", "In Progress"))</f>
        <v>Pending</v>
      </c>
      <c r="V22" s="22">
        <v>0</v>
      </c>
      <c r="W22" s="22">
        <f t="shared" si="120"/>
        <v>20</v>
      </c>
      <c r="X22" s="23" t="str">
        <f>IF(SUMPRODUCT($J$71:W$71,$J22:W22)&lt;0.5, "Pending", IF(W22&lt;0.5, "Complete", "In Progress"))</f>
        <v>Pending</v>
      </c>
      <c r="Y22" s="22">
        <v>0</v>
      </c>
      <c r="Z22" s="22">
        <f t="shared" si="121"/>
        <v>20</v>
      </c>
      <c r="AA22" s="23" t="str">
        <f>IF(SUMPRODUCT($J$71:Z$71,$J22:Z22)&lt;0.5, "Pending", IF(Z22&lt;0.5, "Complete", "In Progress"))</f>
        <v>Pending</v>
      </c>
      <c r="AB22" s="22">
        <v>0</v>
      </c>
      <c r="AC22" s="22">
        <f t="shared" si="122"/>
        <v>20</v>
      </c>
      <c r="AD22" s="23" t="str">
        <f>IF(SUMPRODUCT($J$71:AC$71,$J22:AC22)&lt;0.5, "Pending", IF(AC22&lt;0.5, "Complete", "In Progress"))</f>
        <v>Pending</v>
      </c>
      <c r="AE22" s="22">
        <v>0</v>
      </c>
      <c r="AF22" s="22">
        <f t="shared" si="123"/>
        <v>20</v>
      </c>
      <c r="AG22" s="23" t="str">
        <f>IF(SUMPRODUCT($J$71:AF$71,$J22:AF22)&lt;0.5, "Pending", IF(AF22&lt;0.5, "Complete", "In Progress"))</f>
        <v>Pending</v>
      </c>
      <c r="AH22" s="22">
        <v>0</v>
      </c>
      <c r="AI22" s="22">
        <f t="shared" si="124"/>
        <v>20</v>
      </c>
      <c r="AJ22" s="23" t="str">
        <f>IF(SUMPRODUCT($J$71:AI$71,$J22:AI22)&lt;0.5, "Pending", IF(AI22&lt;0.5, "Complete", "In Progress"))</f>
        <v>Pending</v>
      </c>
      <c r="AK22" s="22">
        <v>0</v>
      </c>
      <c r="AL22" s="22">
        <f t="shared" si="125"/>
        <v>20</v>
      </c>
      <c r="AM22" s="23" t="str">
        <f>IF(SUMPRODUCT($J$71:AL$71,$J22:AL22)&lt;0.5, "Pending", IF(AL22&lt;0.5, "Complete", "In Progress"))</f>
        <v>Pending</v>
      </c>
      <c r="AN22" s="22">
        <v>0</v>
      </c>
      <c r="AO22" s="22">
        <f t="shared" si="126"/>
        <v>20</v>
      </c>
      <c r="AP22" s="23" t="str">
        <f>IF(SUMPRODUCT($J$71:AO$71,$J22:AO22)&lt;0.5, "Pending", IF(AO22&lt;0.5, "Complete", "In Progress"))</f>
        <v>Pending</v>
      </c>
      <c r="AQ22" s="22">
        <v>0</v>
      </c>
      <c r="AR22" s="22">
        <f t="shared" si="127"/>
        <v>20</v>
      </c>
      <c r="AS22" s="23" t="str">
        <f>IF(SUMPRODUCT($J$71:AR$71,$J22:AR22)&lt;0.5, "Pending", IF(AR22&lt;0.5, "Complete", "In Progress"))</f>
        <v>Pending</v>
      </c>
      <c r="AT22" s="22">
        <v>0</v>
      </c>
      <c r="AU22" s="22">
        <f t="shared" si="128"/>
        <v>20</v>
      </c>
      <c r="AV22" s="23" t="str">
        <f>IF(SUMPRODUCT($J$71:AU$71,$J22:AU22)&lt;0.5, "Pending", IF(AU22&lt;0.5, "Complete", "In Progress"))</f>
        <v>Pending</v>
      </c>
      <c r="AW22" s="22">
        <v>0</v>
      </c>
      <c r="AX22" s="22">
        <f t="shared" si="129"/>
        <v>20</v>
      </c>
      <c r="AY22" s="23" t="str">
        <f>IF(SUMPRODUCT($J$71:AX$71,$J22:AX22)&lt;0.5,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IF(SUMPRODUCT($J$71:BA$71,$J22:BA22)&lt;0.5, "Pending", IF(BA22&lt;0.5, "Complete", "In Progress"))</f>
        <v>#REF!</v>
      </c>
      <c r="BC22" s="22">
        <v>0</v>
      </c>
      <c r="BD22" s="22" t="e">
        <f t="shared" si="130"/>
        <v>#REF!</v>
      </c>
      <c r="BE22" s="23" t="e">
        <f>IF(SUMPRODUCT($J$71:BD$71,$J22:BD22)&lt;0.5, "Pending", IF(BD22&lt;0.5, "Complete", "In Progress"))</f>
        <v>#REF!</v>
      </c>
      <c r="BF22" s="22">
        <v>0</v>
      </c>
      <c r="BG22" s="22" t="e">
        <f t="shared" si="131"/>
        <v>#REF!</v>
      </c>
      <c r="BH22" s="23" t="e">
        <f>IF(SUMPRODUCT($J$71:BG$71,$J22:BG22)&lt;0.5, "Pending", IF(BG22&lt;0.5, "Complete", "In Progress"))</f>
        <v>#REF!</v>
      </c>
      <c r="BI22" s="22">
        <v>0</v>
      </c>
      <c r="BJ22" s="22" t="e">
        <f t="shared" si="132"/>
        <v>#REF!</v>
      </c>
      <c r="BK22" s="23" t="e">
        <f>IF(SUMPRODUCT($J$71:BJ$71,$J22:BJ22)&lt;0.5, "Pending", IF(BJ22&lt;0.5, "Complete", "In Progress"))</f>
        <v>#REF!</v>
      </c>
      <c r="BL22" s="22">
        <v>0</v>
      </c>
      <c r="BM22" s="22" t="e">
        <f t="shared" si="133"/>
        <v>#REF!</v>
      </c>
      <c r="BN22" s="23" t="e">
        <f>IF(SUMPRODUCT($J$71:BM$71,$J22:BM22)&lt;0.5, "Pending", IF(BM22&lt;0.5, "Complete", "In Progress"))</f>
        <v>#REF!</v>
      </c>
      <c r="BO22" s="22">
        <v>0</v>
      </c>
      <c r="BP22" s="22" t="e">
        <f t="shared" si="134"/>
        <v>#REF!</v>
      </c>
      <c r="BQ22" s="23" t="e">
        <f>IF(SUMPRODUCT($J$71:BP$71,$J22:BP22)&lt;0.5, "Pending", IF(BP22&lt;0.5, "Complete", "In Progress"))</f>
        <v>#REF!</v>
      </c>
      <c r="BR22" s="22">
        <v>0</v>
      </c>
      <c r="BS22" s="22" t="e">
        <f t="shared" si="135"/>
        <v>#REF!</v>
      </c>
      <c r="BT22" s="23" t="e">
        <f>IF(SUMPRODUCT($J$71:BS$71,$J22:BS22)&lt;0.5, "Pending", IF(BS22&lt;0.5, "Complete", "In Progress"))</f>
        <v>#REF!</v>
      </c>
      <c r="BU22" s="22">
        <v>0</v>
      </c>
      <c r="BV22" s="22" t="e">
        <f t="shared" si="136"/>
        <v>#REF!</v>
      </c>
      <c r="BW22" s="23" t="e">
        <f>IF(SUMPRODUCT($J$71:BV$71,$J22:BV22)&lt;0.5, "Pending", IF(BV22&lt;0.5, "Complete", "In Progress"))</f>
        <v>#REF!</v>
      </c>
      <c r="BX22" s="22">
        <v>0</v>
      </c>
      <c r="BY22" s="22" t="e">
        <f t="shared" si="137"/>
        <v>#REF!</v>
      </c>
      <c r="BZ22" s="23" t="e">
        <f>IF(SUMPRODUCT($J$71:BY$71,$J22:BY22)&lt;0.5, "Pending", IF(BY22&lt;0.5, "Complete", "In Progress"))</f>
        <v>#REF!</v>
      </c>
      <c r="CA22" s="22">
        <v>0</v>
      </c>
      <c r="CB22" s="22" t="e">
        <f t="shared" si="138"/>
        <v>#REF!</v>
      </c>
      <c r="CC22" s="23" t="e">
        <f>IF(SUMPRODUCT($J$71:CB$71,$J22:CB22)&lt;0.5, "Pending", IF(CB22&lt;0.5, "Complete", "In Progress"))</f>
        <v>#REF!</v>
      </c>
      <c r="CD22" s="24"/>
      <c r="CE22" s="25">
        <f>SUMPRODUCT($H$71:AY$71,$H22:AY22)</f>
        <v>0</v>
      </c>
    </row>
    <row r="23" spans="1:83" x14ac:dyDescent="0.2">
      <c r="A23" s="16"/>
      <c r="B23" s="16" t="s">
        <v>127</v>
      </c>
      <c r="C23" s="16" t="s">
        <v>181</v>
      </c>
      <c r="D23" s="17" t="s">
        <v>184</v>
      </c>
      <c r="E23" s="178" t="s">
        <v>195</v>
      </c>
      <c r="F23" s="18" t="s">
        <v>117</v>
      </c>
      <c r="G23" s="19" t="str">
        <f t="shared" ca="1" si="0"/>
        <v>Pending</v>
      </c>
      <c r="H23" s="20">
        <v>1</v>
      </c>
      <c r="I23" s="21">
        <v>20</v>
      </c>
      <c r="J23" s="22">
        <v>0</v>
      </c>
      <c r="K23" s="22">
        <f t="shared" si="24"/>
        <v>20</v>
      </c>
      <c r="L23" s="23" t="str">
        <f>IF(SUMPRODUCT($J$71:K$71,$J23:K23)&lt;0.5, "Pending", IF(K23&lt;0.5, "Complete", "In Progress"))</f>
        <v>Pending</v>
      </c>
      <c r="M23" s="22">
        <v>0</v>
      </c>
      <c r="N23" s="22">
        <f t="shared" si="25"/>
        <v>20</v>
      </c>
      <c r="O23" s="23" t="str">
        <f>IF(SUMPRODUCT($J$71:N$71,$J23:N23)&lt;0.5, "Pending", IF(N23&lt;0.5, "Complete", "In Progress"))</f>
        <v>Pending</v>
      </c>
      <c r="P23" s="22">
        <v>0</v>
      </c>
      <c r="Q23" s="22">
        <f t="shared" si="26"/>
        <v>20</v>
      </c>
      <c r="R23" s="23" t="str">
        <f>IF(SUMPRODUCT($J$71:Q$71,$J23:Q23)&lt;0.5, "Pending", IF(Q23&lt;0.5, "Complete", "In Progress"))</f>
        <v>Pending</v>
      </c>
      <c r="S23" s="22">
        <v>0</v>
      </c>
      <c r="T23" s="22">
        <f t="shared" si="27"/>
        <v>20</v>
      </c>
      <c r="U23" s="23" t="str">
        <f>IF(SUMPRODUCT($J$71:T$71,$J23:T23)&lt;0.5, "Pending", IF(T23&lt;0.5, "Complete", "In Progress"))</f>
        <v>Pending</v>
      </c>
      <c r="V23" s="22">
        <v>0</v>
      </c>
      <c r="W23" s="22">
        <f t="shared" si="28"/>
        <v>20</v>
      </c>
      <c r="X23" s="23" t="str">
        <f>IF(SUMPRODUCT($J$71:W$71,$J23:W23)&lt;0.5, "Pending", IF(W23&lt;0.5, "Complete", "In Progress"))</f>
        <v>Pending</v>
      </c>
      <c r="Y23" s="22">
        <v>0</v>
      </c>
      <c r="Z23" s="22">
        <f t="shared" si="29"/>
        <v>20</v>
      </c>
      <c r="AA23" s="23" t="str">
        <f>IF(SUMPRODUCT($J$71:Z$71,$J23:Z23)&lt;0.5, "Pending", IF(Z23&lt;0.5, "Complete", "In Progress"))</f>
        <v>Pending</v>
      </c>
      <c r="AB23" s="22">
        <v>0</v>
      </c>
      <c r="AC23" s="22">
        <f t="shared" si="30"/>
        <v>20</v>
      </c>
      <c r="AD23" s="23" t="str">
        <f>IF(SUMPRODUCT($J$71:AC$71,$J23:AC23)&lt;0.5, "Pending", IF(AC23&lt;0.5, "Complete", "In Progress"))</f>
        <v>Pending</v>
      </c>
      <c r="AE23" s="22">
        <v>0</v>
      </c>
      <c r="AF23" s="22">
        <f t="shared" si="31"/>
        <v>20</v>
      </c>
      <c r="AG23" s="23" t="str">
        <f>IF(SUMPRODUCT($J$71:AF$71,$J23:AF23)&lt;0.5, "Pending", IF(AF23&lt;0.5, "Complete", "In Progress"))</f>
        <v>Pending</v>
      </c>
      <c r="AH23" s="22">
        <v>0</v>
      </c>
      <c r="AI23" s="22">
        <f t="shared" si="32"/>
        <v>20</v>
      </c>
      <c r="AJ23" s="23" t="str">
        <f>IF(SUMPRODUCT($J$71:AI$71,$J23:AI23)&lt;0.5, "Pending", IF(AI23&lt;0.5, "Complete", "In Progress"))</f>
        <v>Pending</v>
      </c>
      <c r="AK23" s="22">
        <v>0</v>
      </c>
      <c r="AL23" s="22">
        <f t="shared" si="33"/>
        <v>20</v>
      </c>
      <c r="AM23" s="23" t="str">
        <f>IF(SUMPRODUCT($J$71:AL$71,$J23:AL23)&lt;0.5, "Pending", IF(AL23&lt;0.5, "Complete", "In Progress"))</f>
        <v>Pending</v>
      </c>
      <c r="AN23" s="22">
        <v>0</v>
      </c>
      <c r="AO23" s="22">
        <f t="shared" si="34"/>
        <v>20</v>
      </c>
      <c r="AP23" s="23" t="str">
        <f>IF(SUMPRODUCT($J$71:AO$71,$J23:AO23)&lt;0.5, "Pending", IF(AO23&lt;0.5, "Complete", "In Progress"))</f>
        <v>Pending</v>
      </c>
      <c r="AQ23" s="22">
        <v>0</v>
      </c>
      <c r="AR23" s="22">
        <f t="shared" si="35"/>
        <v>20</v>
      </c>
      <c r="AS23" s="23" t="str">
        <f>IF(SUMPRODUCT($J$71:AR$71,$J23:AR23)&lt;0.5, "Pending", IF(AR23&lt;0.5, "Complete", "In Progress"))</f>
        <v>Pending</v>
      </c>
      <c r="AT23" s="22">
        <v>0</v>
      </c>
      <c r="AU23" s="22">
        <f t="shared" si="36"/>
        <v>20</v>
      </c>
      <c r="AV23" s="23" t="str">
        <f>IF(SUMPRODUCT($J$71:AU$71,$J23:AU23)&lt;0.5, "Pending", IF(AU23&lt;0.5, "Complete", "In Progress"))</f>
        <v>Pending</v>
      </c>
      <c r="AW23" s="22">
        <v>0</v>
      </c>
      <c r="AX23" s="22">
        <f t="shared" si="37"/>
        <v>20</v>
      </c>
      <c r="AY23" s="23" t="str">
        <f>IF(SUMPRODUCT($J$71:AX$71,$J23:AX23)&lt;0.5,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IF(SUMPRODUCT($J$71:BA$71,$J23:BA23)&lt;0.5,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IF(SUMPRODUCT($J$71:BD$71,$J23:BD23)&lt;0.5,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IF(SUMPRODUCT($J$71:BG$71,$J23:BG23)&lt;0.5,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IF(SUMPRODUCT($J$71:BJ$71,$J23:BJ23)&lt;0.5,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IF(SUMPRODUCT($J$71:BM$71,$J23:BM23)&lt;0.5,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IF(SUMPRODUCT($J$71:BP$71,$J23:BP23)&lt;0.5,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IF(SUMPRODUCT($J$71:BS$71,$J23:BS23)&lt;0.5,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IF(SUMPRODUCT($J$71:BV$71,$J23:BV23)&lt;0.5,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IF(SUMPRODUCT($J$71:BY$71,$J23:BY23)&lt;0.5,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IF(SUMPRODUCT($J$71:CB$71,$J23:CB23)&lt;0.5, "Pending", IF(CB23&lt;0.5, "Complete", "In Progress"))</f>
        <v>#REF!</v>
      </c>
      <c r="CD23" s="24"/>
      <c r="CE23" s="25">
        <f>SUMPRODUCT($H$71:AY$71,$H23:AY23)</f>
        <v>0</v>
      </c>
    </row>
    <row r="24" spans="1:83" x14ac:dyDescent="0.2">
      <c r="A24" s="16"/>
      <c r="B24" s="16" t="s">
        <v>126</v>
      </c>
      <c r="C24" s="16" t="s">
        <v>181</v>
      </c>
      <c r="D24" s="17" t="s">
        <v>186</v>
      </c>
      <c r="E24" s="178" t="s">
        <v>154</v>
      </c>
      <c r="F24" s="18" t="s">
        <v>117</v>
      </c>
      <c r="G24" s="19" t="str">
        <f t="shared" ca="1" si="0"/>
        <v>Pending</v>
      </c>
      <c r="H24" s="20">
        <v>1</v>
      </c>
      <c r="I24" s="21">
        <v>2</v>
      </c>
      <c r="J24" s="22">
        <v>0</v>
      </c>
      <c r="K24" s="22">
        <f t="shared" si="24"/>
        <v>2</v>
      </c>
      <c r="L24" s="23" t="str">
        <f>IF(SUMPRODUCT($J$71:K$71,$J24:K24)&lt;0.5, "Pending", IF(K24&lt;0.5, "Complete", "In Progress"))</f>
        <v>Pending</v>
      </c>
      <c r="M24" s="22">
        <v>0</v>
      </c>
      <c r="N24" s="22">
        <f t="shared" si="25"/>
        <v>2</v>
      </c>
      <c r="O24" s="23" t="str">
        <f>IF(SUMPRODUCT($J$71:N$71,$J24:N24)&lt;0.5, "Pending", IF(N24&lt;0.5, "Complete", "In Progress"))</f>
        <v>Pending</v>
      </c>
      <c r="P24" s="22">
        <v>0</v>
      </c>
      <c r="Q24" s="22">
        <f t="shared" si="26"/>
        <v>2</v>
      </c>
      <c r="R24" s="23" t="str">
        <f>IF(SUMPRODUCT($J$71:Q$71,$J24:Q24)&lt;0.5, "Pending", IF(Q24&lt;0.5, "Complete", "In Progress"))</f>
        <v>Pending</v>
      </c>
      <c r="S24" s="22">
        <v>0</v>
      </c>
      <c r="T24" s="22">
        <f t="shared" si="27"/>
        <v>2</v>
      </c>
      <c r="U24" s="23" t="str">
        <f>IF(SUMPRODUCT($J$71:T$71,$J24:T24)&lt;0.5, "Pending", IF(T24&lt;0.5, "Complete", "In Progress"))</f>
        <v>Pending</v>
      </c>
      <c r="V24" s="22">
        <v>0</v>
      </c>
      <c r="W24" s="22">
        <f t="shared" si="28"/>
        <v>2</v>
      </c>
      <c r="X24" s="23" t="str">
        <f>IF(SUMPRODUCT($J$71:W$71,$J24:W24)&lt;0.5, "Pending", IF(W24&lt;0.5, "Complete", "In Progress"))</f>
        <v>Pending</v>
      </c>
      <c r="Y24" s="22">
        <v>0</v>
      </c>
      <c r="Z24" s="22">
        <f t="shared" si="29"/>
        <v>2</v>
      </c>
      <c r="AA24" s="23" t="str">
        <f>IF(SUMPRODUCT($J$71:Z$71,$J24:Z24)&lt;0.5, "Pending", IF(Z24&lt;0.5, "Complete", "In Progress"))</f>
        <v>Pending</v>
      </c>
      <c r="AB24" s="22">
        <v>0</v>
      </c>
      <c r="AC24" s="22">
        <f t="shared" si="30"/>
        <v>2</v>
      </c>
      <c r="AD24" s="23" t="str">
        <f>IF(SUMPRODUCT($J$71:AC$71,$J24:AC24)&lt;0.5, "Pending", IF(AC24&lt;0.5, "Complete", "In Progress"))</f>
        <v>Pending</v>
      </c>
      <c r="AE24" s="22">
        <v>0</v>
      </c>
      <c r="AF24" s="22">
        <f t="shared" si="31"/>
        <v>2</v>
      </c>
      <c r="AG24" s="23" t="str">
        <f>IF(SUMPRODUCT($J$71:AF$71,$J24:AF24)&lt;0.5, "Pending", IF(AF24&lt;0.5, "Complete", "In Progress"))</f>
        <v>Pending</v>
      </c>
      <c r="AH24" s="22">
        <v>0</v>
      </c>
      <c r="AI24" s="22">
        <f t="shared" si="32"/>
        <v>2</v>
      </c>
      <c r="AJ24" s="23" t="str">
        <f>IF(SUMPRODUCT($J$71:AI$71,$J24:AI24)&lt;0.5, "Pending", IF(AI24&lt;0.5, "Complete", "In Progress"))</f>
        <v>Pending</v>
      </c>
      <c r="AK24" s="22">
        <v>0</v>
      </c>
      <c r="AL24" s="22">
        <f t="shared" si="33"/>
        <v>2</v>
      </c>
      <c r="AM24" s="23" t="str">
        <f>IF(SUMPRODUCT($J$71:AL$71,$J24:AL24)&lt;0.5, "Pending", IF(AL24&lt;0.5, "Complete", "In Progress"))</f>
        <v>Pending</v>
      </c>
      <c r="AN24" s="22">
        <v>0</v>
      </c>
      <c r="AO24" s="22">
        <f t="shared" si="34"/>
        <v>2</v>
      </c>
      <c r="AP24" s="23" t="str">
        <f>IF(SUMPRODUCT($J$71:AO$71,$J24:AO24)&lt;0.5, "Pending", IF(AO24&lt;0.5, "Complete", "In Progress"))</f>
        <v>Pending</v>
      </c>
      <c r="AQ24" s="22">
        <v>0</v>
      </c>
      <c r="AR24" s="22">
        <f t="shared" si="35"/>
        <v>2</v>
      </c>
      <c r="AS24" s="23" t="str">
        <f>IF(SUMPRODUCT($J$71:AR$71,$J24:AR24)&lt;0.5, "Pending", IF(AR24&lt;0.5, "Complete", "In Progress"))</f>
        <v>Pending</v>
      </c>
      <c r="AT24" s="22">
        <v>0</v>
      </c>
      <c r="AU24" s="22">
        <f t="shared" si="36"/>
        <v>2</v>
      </c>
      <c r="AV24" s="23" t="str">
        <f>IF(SUMPRODUCT($J$71:AU$71,$J24:AU24)&lt;0.5, "Pending", IF(AU24&lt;0.5, "Complete", "In Progress"))</f>
        <v>Pending</v>
      </c>
      <c r="AW24" s="22">
        <v>0</v>
      </c>
      <c r="AX24" s="22">
        <f t="shared" si="37"/>
        <v>2</v>
      </c>
      <c r="AY24" s="23" t="str">
        <f>IF(SUMPRODUCT($J$71:AX$71,$J24:AX24)&lt;0.5,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IF(SUMPRODUCT($J$71:BA$71,$J24:BA24)&lt;0.5,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IF(SUMPRODUCT($J$71:BD$71,$J24:BD24)&lt;0.5,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IF(SUMPRODUCT($J$71:BG$71,$J24:BG24)&lt;0.5,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IF(SUMPRODUCT($J$71:BJ$71,$J24:BJ24)&lt;0.5,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IF(SUMPRODUCT($J$71:BM$71,$J24:BM24)&lt;0.5,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IF(SUMPRODUCT($J$71:BP$71,$J24:BP24)&lt;0.5,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IF(SUMPRODUCT($J$71:BS$71,$J24:BS24)&lt;0.5,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IF(SUMPRODUCT($J$71:BV$71,$J24:BV24)&lt;0.5,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IF(SUMPRODUCT($J$71:BY$71,$J24:BY24)&lt;0.5,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IF(SUMPRODUCT($J$71:CB$71,$J24:CB24)&lt;0.5, "Pending", IF(CB24&lt;0.5, "Complete", "In Progress"))</f>
        <v>#REF!</v>
      </c>
      <c r="CD24" s="24"/>
      <c r="CE24" s="25">
        <f>SUMPRODUCT($H$71:AY$71,$H24:AY24)</f>
        <v>0</v>
      </c>
    </row>
    <row r="25" spans="1:83" x14ac:dyDescent="0.2">
      <c r="A25" s="16"/>
      <c r="B25" s="16" t="s">
        <v>126</v>
      </c>
      <c r="C25" s="16" t="s">
        <v>181</v>
      </c>
      <c r="D25" s="17" t="s">
        <v>188</v>
      </c>
      <c r="E25" s="178" t="s">
        <v>155</v>
      </c>
      <c r="F25" s="18" t="s">
        <v>117</v>
      </c>
      <c r="G25" s="19" t="str">
        <f t="shared" ca="1" si="0"/>
        <v>Pending</v>
      </c>
      <c r="H25" s="20">
        <v>1</v>
      </c>
      <c r="I25" s="21">
        <v>2</v>
      </c>
      <c r="J25" s="22">
        <v>0</v>
      </c>
      <c r="K25" s="22">
        <f t="shared" si="24"/>
        <v>2</v>
      </c>
      <c r="L25" s="23" t="str">
        <f>IF(SUMPRODUCT($J$71:K$71,$J25:K25)&lt;0.5, "Pending", IF(K25&lt;0.5, "Complete", "In Progress"))</f>
        <v>Pending</v>
      </c>
      <c r="M25" s="22">
        <v>0</v>
      </c>
      <c r="N25" s="22">
        <f t="shared" si="25"/>
        <v>2</v>
      </c>
      <c r="O25" s="23" t="str">
        <f>IF(SUMPRODUCT($J$71:N$71,$J25:N25)&lt;0.5, "Pending", IF(N25&lt;0.5, "Complete", "In Progress"))</f>
        <v>Pending</v>
      </c>
      <c r="P25" s="22">
        <v>0</v>
      </c>
      <c r="Q25" s="22">
        <f t="shared" si="26"/>
        <v>2</v>
      </c>
      <c r="R25" s="23" t="str">
        <f>IF(SUMPRODUCT($J$71:Q$71,$J25:Q25)&lt;0.5, "Pending", IF(Q25&lt;0.5, "Complete", "In Progress"))</f>
        <v>Pending</v>
      </c>
      <c r="S25" s="22">
        <v>0</v>
      </c>
      <c r="T25" s="22">
        <f t="shared" si="27"/>
        <v>2</v>
      </c>
      <c r="U25" s="23" t="str">
        <f>IF(SUMPRODUCT($J$71:T$71,$J25:T25)&lt;0.5, "Pending", IF(T25&lt;0.5, "Complete", "In Progress"))</f>
        <v>Pending</v>
      </c>
      <c r="V25" s="22">
        <v>0</v>
      </c>
      <c r="W25" s="22">
        <f t="shared" si="28"/>
        <v>2</v>
      </c>
      <c r="X25" s="23" t="str">
        <f>IF(SUMPRODUCT($J$71:W$71,$J25:W25)&lt;0.5, "Pending", IF(W25&lt;0.5, "Complete", "In Progress"))</f>
        <v>Pending</v>
      </c>
      <c r="Y25" s="22">
        <v>0</v>
      </c>
      <c r="Z25" s="22">
        <f t="shared" si="29"/>
        <v>2</v>
      </c>
      <c r="AA25" s="23" t="str">
        <f>IF(SUMPRODUCT($J$71:Z$71,$J25:Z25)&lt;0.5, "Pending", IF(Z25&lt;0.5, "Complete", "In Progress"))</f>
        <v>Pending</v>
      </c>
      <c r="AB25" s="22">
        <v>0</v>
      </c>
      <c r="AC25" s="22">
        <f t="shared" si="30"/>
        <v>2</v>
      </c>
      <c r="AD25" s="23" t="str">
        <f>IF(SUMPRODUCT($J$71:AC$71,$J25:AC25)&lt;0.5, "Pending", IF(AC25&lt;0.5, "Complete", "In Progress"))</f>
        <v>Pending</v>
      </c>
      <c r="AE25" s="22">
        <v>0</v>
      </c>
      <c r="AF25" s="22">
        <f t="shared" si="31"/>
        <v>2</v>
      </c>
      <c r="AG25" s="23" t="str">
        <f>IF(SUMPRODUCT($J$71:AF$71,$J25:AF25)&lt;0.5, "Pending", IF(AF25&lt;0.5, "Complete", "In Progress"))</f>
        <v>Pending</v>
      </c>
      <c r="AH25" s="22">
        <v>0</v>
      </c>
      <c r="AI25" s="22">
        <f t="shared" si="32"/>
        <v>2</v>
      </c>
      <c r="AJ25" s="23" t="str">
        <f>IF(SUMPRODUCT($J$71:AI$71,$J25:AI25)&lt;0.5, "Pending", IF(AI25&lt;0.5, "Complete", "In Progress"))</f>
        <v>Pending</v>
      </c>
      <c r="AK25" s="22">
        <v>0</v>
      </c>
      <c r="AL25" s="22">
        <f t="shared" si="33"/>
        <v>2</v>
      </c>
      <c r="AM25" s="23" t="str">
        <f>IF(SUMPRODUCT($J$71:AL$71,$J25:AL25)&lt;0.5, "Pending", IF(AL25&lt;0.5, "Complete", "In Progress"))</f>
        <v>Pending</v>
      </c>
      <c r="AN25" s="22">
        <v>0</v>
      </c>
      <c r="AO25" s="22">
        <f t="shared" si="34"/>
        <v>2</v>
      </c>
      <c r="AP25" s="23" t="str">
        <f>IF(SUMPRODUCT($J$71:AO$71,$J25:AO25)&lt;0.5, "Pending", IF(AO25&lt;0.5, "Complete", "In Progress"))</f>
        <v>Pending</v>
      </c>
      <c r="AQ25" s="22">
        <v>0</v>
      </c>
      <c r="AR25" s="22">
        <f t="shared" si="35"/>
        <v>2</v>
      </c>
      <c r="AS25" s="23" t="str">
        <f>IF(SUMPRODUCT($J$71:AR$71,$J25:AR25)&lt;0.5, "Pending", IF(AR25&lt;0.5, "Complete", "In Progress"))</f>
        <v>Pending</v>
      </c>
      <c r="AT25" s="22">
        <v>0</v>
      </c>
      <c r="AU25" s="22">
        <f t="shared" si="36"/>
        <v>2</v>
      </c>
      <c r="AV25" s="23" t="str">
        <f>IF(SUMPRODUCT($J$71:AU$71,$J25:AU25)&lt;0.5, "Pending", IF(AU25&lt;0.5, "Complete", "In Progress"))</f>
        <v>Pending</v>
      </c>
      <c r="AW25" s="22">
        <v>0</v>
      </c>
      <c r="AX25" s="22">
        <f t="shared" si="37"/>
        <v>2</v>
      </c>
      <c r="AY25" s="23" t="str">
        <f>IF(SUMPRODUCT($J$71:AX$71,$J25:AX25)&lt;0.5,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IF(SUMPRODUCT($J$71:BA$71,$J25:BA25)&lt;0.5,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IF(SUMPRODUCT($J$71:BD$71,$J25:BD25)&lt;0.5,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IF(SUMPRODUCT($J$71:BG$71,$J25:BG25)&lt;0.5,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IF(SUMPRODUCT($J$71:BJ$71,$J25:BJ25)&lt;0.5,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IF(SUMPRODUCT($J$71:BM$71,$J25:BM25)&lt;0.5,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IF(SUMPRODUCT($J$71:BP$71,$J25:BP25)&lt;0.5,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IF(SUMPRODUCT($J$71:BS$71,$J25:BS25)&lt;0.5,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IF(SUMPRODUCT($J$71:BV$71,$J25:BV25)&lt;0.5,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IF(SUMPRODUCT($J$71:BY$71,$J25:BY25)&lt;0.5,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IF(SUMPRODUCT($J$71:CB$71,$J25:CB25)&lt;0.5, "Pending", IF(CB25&lt;0.5, "Complete", "In Progress"))</f>
        <v>#REF!</v>
      </c>
      <c r="CD25" s="24"/>
      <c r="CE25" s="25">
        <f>SUMPRODUCT($H$71:AY$71,$H25:AY25)</f>
        <v>0</v>
      </c>
    </row>
    <row r="26" spans="1:83" x14ac:dyDescent="0.2">
      <c r="A26" s="16"/>
      <c r="B26" s="16" t="s">
        <v>129</v>
      </c>
      <c r="C26" s="16" t="s">
        <v>181</v>
      </c>
      <c r="D26" s="17" t="s">
        <v>196</v>
      </c>
      <c r="E26" s="178" t="s">
        <v>156</v>
      </c>
      <c r="F26" s="18" t="s">
        <v>117</v>
      </c>
      <c r="G26" s="19" t="str">
        <f t="shared" ca="1" si="0"/>
        <v>Pending</v>
      </c>
      <c r="H26" s="20">
        <v>1</v>
      </c>
      <c r="I26" s="21">
        <v>5</v>
      </c>
      <c r="J26" s="22">
        <v>0</v>
      </c>
      <c r="K26" s="22">
        <f t="shared" ref="K26" si="139">MAX(I26-J26, 0)</f>
        <v>5</v>
      </c>
      <c r="L26" s="23" t="str">
        <f>IF(SUMPRODUCT($J$71:K$71,$J26:K26)&lt;0.5, "Pending", IF(K26&lt;0.5, "Complete", "In Progress"))</f>
        <v>Pending</v>
      </c>
      <c r="M26" s="22">
        <v>0</v>
      </c>
      <c r="N26" s="22">
        <f t="shared" ref="N26" si="140">MAX(K26-M26,0)</f>
        <v>5</v>
      </c>
      <c r="O26" s="23" t="str">
        <f>IF(SUMPRODUCT($J$71:N$71,$J26:N26)&lt;0.5, "Pending", IF(N26&lt;0.5, "Complete", "In Progress"))</f>
        <v>Pending</v>
      </c>
      <c r="P26" s="22">
        <v>0</v>
      </c>
      <c r="Q26" s="22">
        <f t="shared" ref="Q26" si="141">MAX(N26-P26,0)</f>
        <v>5</v>
      </c>
      <c r="R26" s="23" t="str">
        <f>IF(SUMPRODUCT($J$71:Q$71,$J26:Q26)&lt;0.5, "Pending", IF(Q26&lt;0.5, "Complete", "In Progress"))</f>
        <v>Pending</v>
      </c>
      <c r="S26" s="22">
        <v>0</v>
      </c>
      <c r="T26" s="22">
        <f t="shared" ref="T26" si="142">MAX(Q26-S26,0)</f>
        <v>5</v>
      </c>
      <c r="U26" s="23" t="str">
        <f>IF(SUMPRODUCT($J$71:T$71,$J26:T26)&lt;0.5, "Pending", IF(T26&lt;0.5, "Complete", "In Progress"))</f>
        <v>Pending</v>
      </c>
      <c r="V26" s="22">
        <v>0</v>
      </c>
      <c r="W26" s="22">
        <f t="shared" ref="W26" si="143">MAX(T26-V26,0)</f>
        <v>5</v>
      </c>
      <c r="X26" s="23" t="str">
        <f>IF(SUMPRODUCT($J$71:W$71,$J26:W26)&lt;0.5, "Pending", IF(W26&lt;0.5, "Complete", "In Progress"))</f>
        <v>Pending</v>
      </c>
      <c r="Y26" s="22">
        <v>0</v>
      </c>
      <c r="Z26" s="22">
        <f t="shared" ref="Z26" si="144">MAX(W26-Y26,0)</f>
        <v>5</v>
      </c>
      <c r="AA26" s="23" t="str">
        <f>IF(SUMPRODUCT($J$71:Z$71,$J26:Z26)&lt;0.5, "Pending", IF(Z26&lt;0.5, "Complete", "In Progress"))</f>
        <v>Pending</v>
      </c>
      <c r="AB26" s="22">
        <v>0</v>
      </c>
      <c r="AC26" s="22">
        <f t="shared" ref="AC26" si="145">MAX(Z26-AB26,0)</f>
        <v>5</v>
      </c>
      <c r="AD26" s="23" t="str">
        <f>IF(SUMPRODUCT($J$71:AC$71,$J26:AC26)&lt;0.5, "Pending", IF(AC26&lt;0.5, "Complete", "In Progress"))</f>
        <v>Pending</v>
      </c>
      <c r="AE26" s="22">
        <v>0</v>
      </c>
      <c r="AF26" s="22">
        <f t="shared" ref="AF26" si="146">MAX(AC26-AE26,0)</f>
        <v>5</v>
      </c>
      <c r="AG26" s="23" t="str">
        <f>IF(SUMPRODUCT($J$71:AF$71,$J26:AF26)&lt;0.5, "Pending", IF(AF26&lt;0.5, "Complete", "In Progress"))</f>
        <v>Pending</v>
      </c>
      <c r="AH26" s="22">
        <v>0</v>
      </c>
      <c r="AI26" s="22">
        <f t="shared" ref="AI26" si="147">MAX(AF26-AH26,0)</f>
        <v>5</v>
      </c>
      <c r="AJ26" s="23" t="str">
        <f>IF(SUMPRODUCT($J$71:AI$71,$J26:AI26)&lt;0.5, "Pending", IF(AI26&lt;0.5, "Complete", "In Progress"))</f>
        <v>Pending</v>
      </c>
      <c r="AK26" s="22">
        <v>0</v>
      </c>
      <c r="AL26" s="22">
        <f t="shared" ref="AL26" si="148">MAX(AI26-AK26,0)</f>
        <v>5</v>
      </c>
      <c r="AM26" s="23" t="str">
        <f>IF(SUMPRODUCT($J$71:AL$71,$J26:AL26)&lt;0.5, "Pending", IF(AL26&lt;0.5, "Complete", "In Progress"))</f>
        <v>Pending</v>
      </c>
      <c r="AN26" s="22">
        <v>0</v>
      </c>
      <c r="AO26" s="22">
        <f t="shared" ref="AO26" si="149">MAX(AL26-AN26,0)</f>
        <v>5</v>
      </c>
      <c r="AP26" s="23" t="str">
        <f>IF(SUMPRODUCT($J$71:AO$71,$J26:AO26)&lt;0.5, "Pending", IF(AO26&lt;0.5, "Complete", "In Progress"))</f>
        <v>Pending</v>
      </c>
      <c r="AQ26" s="22">
        <v>0</v>
      </c>
      <c r="AR26" s="22">
        <f t="shared" ref="AR26" si="150">MAX(AO26-AQ26,0)</f>
        <v>5</v>
      </c>
      <c r="AS26" s="23" t="str">
        <f>IF(SUMPRODUCT($J$71:AR$71,$J26:AR26)&lt;0.5, "Pending", IF(AR26&lt;0.5, "Complete", "In Progress"))</f>
        <v>Pending</v>
      </c>
      <c r="AT26" s="22">
        <v>0</v>
      </c>
      <c r="AU26" s="22">
        <f t="shared" ref="AU26" si="151">MAX(AR26-AT26,0)</f>
        <v>5</v>
      </c>
      <c r="AV26" s="23" t="str">
        <f>IF(SUMPRODUCT($J$71:AU$71,$J26:AU26)&lt;0.5, "Pending", IF(AU26&lt;0.5, "Complete", "In Progress"))</f>
        <v>Pending</v>
      </c>
      <c r="AW26" s="22">
        <v>0</v>
      </c>
      <c r="AX26" s="22">
        <f t="shared" ref="AX26" si="152">MAX(AU26-AW26,0)</f>
        <v>5</v>
      </c>
      <c r="AY26" s="23" t="str">
        <f>IF(SUMPRODUCT($J$71:AX$71,$J26:AX26)&lt;0.5,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IF(SUMPRODUCT($J$71:BA$71,$J26:BA26)&lt;0.5, "Pending", IF(BA26&lt;0.5, "Complete", "In Progress"))</f>
        <v>#REF!</v>
      </c>
      <c r="BC26" s="22">
        <v>0</v>
      </c>
      <c r="BD26" s="22" t="e">
        <f t="shared" ref="BD26" si="153">MAX(BA26-BC26,0)</f>
        <v>#REF!</v>
      </c>
      <c r="BE26" s="23" t="e">
        <f>IF(SUMPRODUCT($J$71:BD$71,$J26:BD26)&lt;0.5, "Pending", IF(BD26&lt;0.5, "Complete", "In Progress"))</f>
        <v>#REF!</v>
      </c>
      <c r="BF26" s="22">
        <v>0</v>
      </c>
      <c r="BG26" s="22" t="e">
        <f t="shared" ref="BG26" si="154">MAX(BD26-BF26,0)</f>
        <v>#REF!</v>
      </c>
      <c r="BH26" s="23" t="e">
        <f>IF(SUMPRODUCT($J$71:BG$71,$J26:BG26)&lt;0.5, "Pending", IF(BG26&lt;0.5, "Complete", "In Progress"))</f>
        <v>#REF!</v>
      </c>
      <c r="BI26" s="22">
        <v>0</v>
      </c>
      <c r="BJ26" s="22" t="e">
        <f t="shared" ref="BJ26" si="155">MAX(BG26-BI26,0)</f>
        <v>#REF!</v>
      </c>
      <c r="BK26" s="23" t="e">
        <f>IF(SUMPRODUCT($J$71:BJ$71,$J26:BJ26)&lt;0.5, "Pending", IF(BJ26&lt;0.5, "Complete", "In Progress"))</f>
        <v>#REF!</v>
      </c>
      <c r="BL26" s="22">
        <v>0</v>
      </c>
      <c r="BM26" s="22" t="e">
        <f t="shared" ref="BM26" si="156">MAX(BJ26-BL26,0)</f>
        <v>#REF!</v>
      </c>
      <c r="BN26" s="23" t="e">
        <f>IF(SUMPRODUCT($J$71:BM$71,$J26:BM26)&lt;0.5, "Pending", IF(BM26&lt;0.5, "Complete", "In Progress"))</f>
        <v>#REF!</v>
      </c>
      <c r="BO26" s="22">
        <v>0</v>
      </c>
      <c r="BP26" s="22" t="e">
        <f t="shared" ref="BP26" si="157">MAX(BM26-BO26,0)</f>
        <v>#REF!</v>
      </c>
      <c r="BQ26" s="23" t="e">
        <f>IF(SUMPRODUCT($J$71:BP$71,$J26:BP26)&lt;0.5, "Pending", IF(BP26&lt;0.5, "Complete", "In Progress"))</f>
        <v>#REF!</v>
      </c>
      <c r="BR26" s="22">
        <v>0</v>
      </c>
      <c r="BS26" s="22" t="e">
        <f t="shared" ref="BS26" si="158">MAX(BP26-BR26,0)</f>
        <v>#REF!</v>
      </c>
      <c r="BT26" s="23" t="e">
        <f>IF(SUMPRODUCT($J$71:BS$71,$J26:BS26)&lt;0.5, "Pending", IF(BS26&lt;0.5, "Complete", "In Progress"))</f>
        <v>#REF!</v>
      </c>
      <c r="BU26" s="22">
        <v>0</v>
      </c>
      <c r="BV26" s="22" t="e">
        <f t="shared" ref="BV26" si="159">MAX(BS26-BU26,0)</f>
        <v>#REF!</v>
      </c>
      <c r="BW26" s="23" t="e">
        <f>IF(SUMPRODUCT($J$71:BV$71,$J26:BV26)&lt;0.5, "Pending", IF(BV26&lt;0.5, "Complete", "In Progress"))</f>
        <v>#REF!</v>
      </c>
      <c r="BX26" s="22">
        <v>0</v>
      </c>
      <c r="BY26" s="22" t="e">
        <f t="shared" ref="BY26" si="160">MAX(BV26-BX26,0)</f>
        <v>#REF!</v>
      </c>
      <c r="BZ26" s="23" t="e">
        <f>IF(SUMPRODUCT($J$71:BY$71,$J26:BY26)&lt;0.5, "Pending", IF(BY26&lt;0.5, "Complete", "In Progress"))</f>
        <v>#REF!</v>
      </c>
      <c r="CA26" s="22">
        <v>0</v>
      </c>
      <c r="CB26" s="22" t="e">
        <f t="shared" ref="CB26" si="161">MAX(BY26-CA26,0)</f>
        <v>#REF!</v>
      </c>
      <c r="CC26" s="23" t="e">
        <f>IF(SUMPRODUCT($J$71:CB$71,$J26:CB26)&lt;0.5, "Pending", IF(CB26&lt;0.5, "Complete", "In Progress"))</f>
        <v>#REF!</v>
      </c>
      <c r="CD26" s="24"/>
      <c r="CE26" s="25">
        <f>SUMPRODUCT($H$71:AY$71,$H26:AY26)</f>
        <v>0</v>
      </c>
    </row>
    <row r="27" spans="1:83" x14ac:dyDescent="0.2">
      <c r="A27" s="16"/>
      <c r="B27" s="16" t="s">
        <v>127</v>
      </c>
      <c r="C27" s="16" t="s">
        <v>181</v>
      </c>
      <c r="D27" s="17" t="s">
        <v>197</v>
      </c>
      <c r="E27" s="178" t="s">
        <v>185</v>
      </c>
      <c r="F27" s="18" t="s">
        <v>117</v>
      </c>
      <c r="G27" s="19" t="str">
        <f t="shared" ca="1" si="0"/>
        <v>Pending</v>
      </c>
      <c r="H27" s="20">
        <v>1</v>
      </c>
      <c r="I27" s="21">
        <v>2</v>
      </c>
      <c r="J27" s="22">
        <v>0</v>
      </c>
      <c r="K27" s="22">
        <f t="shared" si="24"/>
        <v>2</v>
      </c>
      <c r="L27" s="23" t="str">
        <f>IF(SUMPRODUCT($J$71:K$71,$J27:K27)&lt;0.5, "Pending", IF(K27&lt;0.5, "Complete", "In Progress"))</f>
        <v>Pending</v>
      </c>
      <c r="M27" s="22">
        <v>0</v>
      </c>
      <c r="N27" s="22">
        <f t="shared" si="25"/>
        <v>2</v>
      </c>
      <c r="O27" s="23" t="str">
        <f>IF(SUMPRODUCT($J$71:N$71,$J27:N27)&lt;0.5, "Pending", IF(N27&lt;0.5, "Complete", "In Progress"))</f>
        <v>Pending</v>
      </c>
      <c r="P27" s="22">
        <v>0</v>
      </c>
      <c r="Q27" s="22">
        <f t="shared" si="26"/>
        <v>2</v>
      </c>
      <c r="R27" s="23" t="str">
        <f>IF(SUMPRODUCT($J$71:Q$71,$J27:Q27)&lt;0.5, "Pending", IF(Q27&lt;0.5, "Complete", "In Progress"))</f>
        <v>Pending</v>
      </c>
      <c r="S27" s="22">
        <v>0</v>
      </c>
      <c r="T27" s="22">
        <f t="shared" si="27"/>
        <v>2</v>
      </c>
      <c r="U27" s="23" t="str">
        <f>IF(SUMPRODUCT($J$71:T$71,$J27:T27)&lt;0.5, "Pending", IF(T27&lt;0.5, "Complete", "In Progress"))</f>
        <v>Pending</v>
      </c>
      <c r="V27" s="22">
        <v>0</v>
      </c>
      <c r="W27" s="22">
        <f t="shared" si="28"/>
        <v>2</v>
      </c>
      <c r="X27" s="23" t="str">
        <f>IF(SUMPRODUCT($J$71:W$71,$J27:W27)&lt;0.5, "Pending", IF(W27&lt;0.5, "Complete", "In Progress"))</f>
        <v>Pending</v>
      </c>
      <c r="Y27" s="22">
        <v>0</v>
      </c>
      <c r="Z27" s="22">
        <f t="shared" si="29"/>
        <v>2</v>
      </c>
      <c r="AA27" s="23" t="str">
        <f>IF(SUMPRODUCT($J$71:Z$71,$J27:Z27)&lt;0.5, "Pending", IF(Z27&lt;0.5, "Complete", "In Progress"))</f>
        <v>Pending</v>
      </c>
      <c r="AB27" s="22">
        <v>0</v>
      </c>
      <c r="AC27" s="22">
        <f t="shared" si="30"/>
        <v>2</v>
      </c>
      <c r="AD27" s="23" t="str">
        <f>IF(SUMPRODUCT($J$71:AC$71,$J27:AC27)&lt;0.5, "Pending", IF(AC27&lt;0.5, "Complete", "In Progress"))</f>
        <v>Pending</v>
      </c>
      <c r="AE27" s="22">
        <v>0</v>
      </c>
      <c r="AF27" s="22">
        <f t="shared" si="31"/>
        <v>2</v>
      </c>
      <c r="AG27" s="23" t="str">
        <f>IF(SUMPRODUCT($J$71:AF$71,$J27:AF27)&lt;0.5, "Pending", IF(AF27&lt;0.5, "Complete", "In Progress"))</f>
        <v>Pending</v>
      </c>
      <c r="AH27" s="22">
        <v>0</v>
      </c>
      <c r="AI27" s="22">
        <f t="shared" si="32"/>
        <v>2</v>
      </c>
      <c r="AJ27" s="23" t="str">
        <f>IF(SUMPRODUCT($J$71:AI$71,$J27:AI27)&lt;0.5, "Pending", IF(AI27&lt;0.5, "Complete", "In Progress"))</f>
        <v>Pending</v>
      </c>
      <c r="AK27" s="22">
        <v>0</v>
      </c>
      <c r="AL27" s="22">
        <f t="shared" si="33"/>
        <v>2</v>
      </c>
      <c r="AM27" s="23" t="str">
        <f>IF(SUMPRODUCT($J$71:AL$71,$J27:AL27)&lt;0.5, "Pending", IF(AL27&lt;0.5, "Complete", "In Progress"))</f>
        <v>Pending</v>
      </c>
      <c r="AN27" s="22">
        <v>0</v>
      </c>
      <c r="AO27" s="22">
        <f t="shared" si="34"/>
        <v>2</v>
      </c>
      <c r="AP27" s="23" t="str">
        <f>IF(SUMPRODUCT($J$71:AO$71,$J27:AO27)&lt;0.5, "Pending", IF(AO27&lt;0.5, "Complete", "In Progress"))</f>
        <v>Pending</v>
      </c>
      <c r="AQ27" s="22">
        <v>0</v>
      </c>
      <c r="AR27" s="22">
        <f t="shared" si="35"/>
        <v>2</v>
      </c>
      <c r="AS27" s="23" t="str">
        <f>IF(SUMPRODUCT($J$71:AR$71,$J27:AR27)&lt;0.5, "Pending", IF(AR27&lt;0.5, "Complete", "In Progress"))</f>
        <v>Pending</v>
      </c>
      <c r="AT27" s="22">
        <v>0</v>
      </c>
      <c r="AU27" s="22">
        <f t="shared" si="36"/>
        <v>2</v>
      </c>
      <c r="AV27" s="23" t="str">
        <f>IF(SUMPRODUCT($J$71:AU$71,$J27:AU27)&lt;0.5, "Pending", IF(AU27&lt;0.5, "Complete", "In Progress"))</f>
        <v>Pending</v>
      </c>
      <c r="AW27" s="22">
        <v>0</v>
      </c>
      <c r="AX27" s="22">
        <f t="shared" si="37"/>
        <v>2</v>
      </c>
      <c r="AY27" s="23" t="str">
        <f>IF(SUMPRODUCT($J$71:AX$71,$J27:AX27)&lt;0.5,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IF(SUMPRODUCT($J$71:BA$71,$J27:BA27)&lt;0.5,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IF(SUMPRODUCT($J$71:BD$71,$J27:BD27)&lt;0.5,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IF(SUMPRODUCT($J$71:BG$71,$J27:BG27)&lt;0.5,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IF(SUMPRODUCT($J$71:BJ$71,$J27:BJ27)&lt;0.5,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IF(SUMPRODUCT($J$71:BM$71,$J27:BM27)&lt;0.5,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IF(SUMPRODUCT($J$71:BP$71,$J27:BP27)&lt;0.5,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IF(SUMPRODUCT($J$71:BS$71,$J27:BS27)&lt;0.5,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IF(SUMPRODUCT($J$71:BV$71,$J27:BV27)&lt;0.5,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IF(SUMPRODUCT($J$71:BY$71,$J27:BY27)&lt;0.5,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IF(SUMPRODUCT($J$71:CB$71,$J27:CB27)&lt;0.5, "Pending", IF(CB27&lt;0.5, "Complete", "In Progress"))</f>
        <v>#REF!</v>
      </c>
      <c r="CD27" s="24"/>
      <c r="CE27" s="25">
        <f>SUMPRODUCT($H$71:AY$71,$H27:AY27)</f>
        <v>0</v>
      </c>
    </row>
    <row r="28" spans="1:83" x14ac:dyDescent="0.2">
      <c r="A28" s="16"/>
      <c r="C28" s="16"/>
      <c r="D28" s="17"/>
      <c r="F28" s="18" t="s">
        <v>117</v>
      </c>
      <c r="G28" s="19" t="str">
        <f t="shared" ca="1" si="0"/>
        <v>Pending</v>
      </c>
      <c r="H28" s="20">
        <v>1</v>
      </c>
      <c r="I28" s="21">
        <v>40</v>
      </c>
      <c r="J28" s="22">
        <v>0</v>
      </c>
      <c r="K28" s="22">
        <f t="shared" si="24"/>
        <v>40</v>
      </c>
      <c r="L28" s="23" t="str">
        <f>IF(SUMPRODUCT($J$71:K$71,$J28:K28)&lt;0.5, "Pending", IF(K28&lt;0.5, "Complete", "In Progress"))</f>
        <v>Pending</v>
      </c>
      <c r="M28" s="22">
        <v>0</v>
      </c>
      <c r="N28" s="22">
        <f t="shared" si="25"/>
        <v>40</v>
      </c>
      <c r="O28" s="23" t="str">
        <f>IF(SUMPRODUCT($J$71:N$71,$J28:N28)&lt;0.5, "Pending", IF(N28&lt;0.5, "Complete", "In Progress"))</f>
        <v>Pending</v>
      </c>
      <c r="P28" s="22">
        <v>0</v>
      </c>
      <c r="Q28" s="22">
        <f t="shared" si="26"/>
        <v>40</v>
      </c>
      <c r="R28" s="23" t="str">
        <f>IF(SUMPRODUCT($J$71:Q$71,$J28:Q28)&lt;0.5, "Pending", IF(Q28&lt;0.5, "Complete", "In Progress"))</f>
        <v>Pending</v>
      </c>
      <c r="S28" s="22">
        <v>0</v>
      </c>
      <c r="T28" s="22">
        <f t="shared" si="27"/>
        <v>40</v>
      </c>
      <c r="U28" s="23" t="str">
        <f>IF(SUMPRODUCT($J$71:T$71,$J28:T28)&lt;0.5, "Pending", IF(T28&lt;0.5, "Complete", "In Progress"))</f>
        <v>Pending</v>
      </c>
      <c r="V28" s="22">
        <v>0</v>
      </c>
      <c r="W28" s="22">
        <f t="shared" si="28"/>
        <v>40</v>
      </c>
      <c r="X28" s="23" t="str">
        <f>IF(SUMPRODUCT($J$71:W$71,$J28:W28)&lt;0.5, "Pending", IF(W28&lt;0.5, "Complete", "In Progress"))</f>
        <v>Pending</v>
      </c>
      <c r="Y28" s="22">
        <v>0</v>
      </c>
      <c r="Z28" s="22">
        <f t="shared" si="29"/>
        <v>40</v>
      </c>
      <c r="AA28" s="23" t="str">
        <f>IF(SUMPRODUCT($J$71:Z$71,$J28:Z28)&lt;0.5, "Pending", IF(Z28&lt;0.5, "Complete", "In Progress"))</f>
        <v>Pending</v>
      </c>
      <c r="AB28" s="22">
        <v>0</v>
      </c>
      <c r="AC28" s="22">
        <f t="shared" si="30"/>
        <v>40</v>
      </c>
      <c r="AD28" s="23" t="str">
        <f>IF(SUMPRODUCT($J$71:AC$71,$J28:AC28)&lt;0.5, "Pending", IF(AC28&lt;0.5, "Complete", "In Progress"))</f>
        <v>Pending</v>
      </c>
      <c r="AE28" s="22">
        <v>0</v>
      </c>
      <c r="AF28" s="22">
        <f t="shared" si="31"/>
        <v>40</v>
      </c>
      <c r="AG28" s="23" t="str">
        <f>IF(SUMPRODUCT($J$71:AF$71,$J28:AF28)&lt;0.5, "Pending", IF(AF28&lt;0.5, "Complete", "In Progress"))</f>
        <v>Pending</v>
      </c>
      <c r="AH28" s="22">
        <v>0</v>
      </c>
      <c r="AI28" s="22">
        <f t="shared" si="32"/>
        <v>40</v>
      </c>
      <c r="AJ28" s="23" t="str">
        <f>IF(SUMPRODUCT($J$71:AI$71,$J28:AI28)&lt;0.5, "Pending", IF(AI28&lt;0.5, "Complete", "In Progress"))</f>
        <v>Pending</v>
      </c>
      <c r="AK28" s="22">
        <v>0</v>
      </c>
      <c r="AL28" s="22">
        <f t="shared" si="33"/>
        <v>40</v>
      </c>
      <c r="AM28" s="23" t="str">
        <f>IF(SUMPRODUCT($J$71:AL$71,$J28:AL28)&lt;0.5, "Pending", IF(AL28&lt;0.5, "Complete", "In Progress"))</f>
        <v>Pending</v>
      </c>
      <c r="AN28" s="22">
        <v>0</v>
      </c>
      <c r="AO28" s="22">
        <f t="shared" si="34"/>
        <v>40</v>
      </c>
      <c r="AP28" s="23" t="str">
        <f>IF(SUMPRODUCT($J$71:AO$71,$J28:AO28)&lt;0.5, "Pending", IF(AO28&lt;0.5, "Complete", "In Progress"))</f>
        <v>Pending</v>
      </c>
      <c r="AQ28" s="22">
        <v>0</v>
      </c>
      <c r="AR28" s="22">
        <f t="shared" si="35"/>
        <v>40</v>
      </c>
      <c r="AS28" s="23" t="str">
        <f>IF(SUMPRODUCT($J$71:AR$71,$J28:AR28)&lt;0.5, "Pending", IF(AR28&lt;0.5, "Complete", "In Progress"))</f>
        <v>Pending</v>
      </c>
      <c r="AT28" s="22">
        <v>0</v>
      </c>
      <c r="AU28" s="22">
        <f t="shared" si="36"/>
        <v>40</v>
      </c>
      <c r="AV28" s="23" t="str">
        <f>IF(SUMPRODUCT($J$71:AU$71,$J28:AU28)&lt;0.5, "Pending", IF(AU28&lt;0.5, "Complete", "In Progress"))</f>
        <v>Pending</v>
      </c>
      <c r="AW28" s="22">
        <v>0</v>
      </c>
      <c r="AX28" s="22">
        <f t="shared" si="37"/>
        <v>40</v>
      </c>
      <c r="AY28" s="23" t="str">
        <f>IF(SUMPRODUCT($J$71:AX$71,$J28:AX28)&lt;0.5,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IF(SUMPRODUCT($J$71:BA$71,$J28:BA28)&lt;0.5,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IF(SUMPRODUCT($J$71:BD$71,$J28:BD28)&lt;0.5,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IF(SUMPRODUCT($J$71:BG$71,$J28:BG28)&lt;0.5,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IF(SUMPRODUCT($J$71:BJ$71,$J28:BJ28)&lt;0.5,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IF(SUMPRODUCT($J$71:BM$71,$J28:BM28)&lt;0.5,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IF(SUMPRODUCT($J$71:BP$71,$J28:BP28)&lt;0.5,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IF(SUMPRODUCT($J$71:BS$71,$J28:BS28)&lt;0.5,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IF(SUMPRODUCT($J$71:BV$71,$J28:BV28)&lt;0.5,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IF(SUMPRODUCT($J$71:BY$71,$J28:BY28)&lt;0.5,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IF(SUMPRODUCT($J$71:CB$71,$J28:CB28)&lt;0.5, "Pending", IF(CB28&lt;0.5, "Complete", "In Progress"))</f>
        <v>#REF!</v>
      </c>
      <c r="CD28" s="24"/>
      <c r="CE28" s="25">
        <f>SUMPRODUCT($H$71:AY$71,$H28:AY28)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117</v>
      </c>
      <c r="G29" s="19" t="str">
        <f t="shared" ca="1" si="0"/>
        <v>Pending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IF(SUMPRODUCT($J$71:K$71,$J29:K29)&lt;0.5,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IF(SUMPRODUCT($J$71:N$71,$J29:N29)&lt;0.5,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IF(SUMPRODUCT($J$71:Q$71,$J29:Q29)&lt;0.5,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IF(SUMPRODUCT($J$71:T$71,$J29:T29)&lt;0.5,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IF(SUMPRODUCT($J$71:W$71,$J29:W29)&lt;0.5,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IF(SUMPRODUCT($J$71:Z$71,$J29:Z29)&lt;0.5,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IF(SUMPRODUCT($J$71:AC$71,$J29:AC29)&lt;0.5,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IF(SUMPRODUCT($J$71:AF$71,$J29:AF29)&lt;0.5,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IF(SUMPRODUCT($J$71:AI$71,$J29:AI29)&lt;0.5,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IF(SUMPRODUCT($J$71:AL$71,$J29:AL29)&lt;0.5,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IF(SUMPRODUCT($J$71:AO$71,$J29:AO29)&lt;0.5,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IF(SUMPRODUCT($J$71:AR$71,$J29:AR29)&lt;0.5,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IF(SUMPRODUCT($J$71:AU$71,$J29:AU29)&lt;0.5,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IF(SUMPRODUCT($J$71:AX$71,$J29:AX29)&lt;0.5,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IF(SUMPRODUCT($J$71:BA$71,$J29:BA29)&lt;0.5,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IF(SUMPRODUCT($J$71:BD$71,$J29:BD29)&lt;0.5,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IF(SUMPRODUCT($J$71:BG$71,$J29:BG29)&lt;0.5,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IF(SUMPRODUCT($J$71:BJ$71,$J29:BJ29)&lt;0.5,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IF(SUMPRODUCT($J$71:BM$71,$J29:BM29)&lt;0.5,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IF(SUMPRODUCT($J$71:BP$71,$J29:BP29)&lt;0.5,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IF(SUMPRODUCT($J$71:BS$71,$J29:BS29)&lt;0.5,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IF(SUMPRODUCT($J$71:BV$71,$J29:BV29)&lt;0.5,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IF(SUMPRODUCT($J$71:BY$71,$J29:BY29)&lt;0.5,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IF(SUMPRODUCT($J$71:CB$71,$J29:CB29)&lt;0.5, "Pending", IF(CB29&lt;0.5, "Complete", "In Progress"))</f>
        <v>#REF!</v>
      </c>
      <c r="CD29" s="24"/>
      <c r="CE29" s="25">
        <f>SUMPRODUCT($H$71:AY$71,$H29:AY29)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117</v>
      </c>
      <c r="G30" s="19" t="str">
        <f t="shared" ca="1" si="0"/>
        <v>Pending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IF(SUMPRODUCT($J$71:K$71,$J30:K30)&lt;0.5,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IF(SUMPRODUCT($J$71:N$71,$J30:N30)&lt;0.5,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IF(SUMPRODUCT($J$71:Q$71,$J30:Q30)&lt;0.5,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IF(SUMPRODUCT($J$71:T$71,$J30:T30)&lt;0.5,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IF(SUMPRODUCT($J$71:W$71,$J30:W30)&lt;0.5,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IF(SUMPRODUCT($J$71:Z$71,$J30:Z30)&lt;0.5,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IF(SUMPRODUCT($J$71:AC$71,$J30:AC30)&lt;0.5,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IF(SUMPRODUCT($J$71:AF$71,$J30:AF30)&lt;0.5,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IF(SUMPRODUCT($J$71:AI$71,$J30:AI30)&lt;0.5,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IF(SUMPRODUCT($J$71:AL$71,$J30:AL30)&lt;0.5,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IF(SUMPRODUCT($J$71:AO$71,$J30:AO30)&lt;0.5,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IF(SUMPRODUCT($J$71:AR$71,$J30:AR30)&lt;0.5,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IF(SUMPRODUCT($J$71:AU$71,$J30:AU30)&lt;0.5,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IF(SUMPRODUCT($J$71:AX$71,$J30:AX30)&lt;0.5,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IF(SUMPRODUCT($J$71:BA$71,$J30:BA30)&lt;0.5,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IF(SUMPRODUCT($J$71:BD$71,$J30:BD30)&lt;0.5,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IF(SUMPRODUCT($J$71:BG$71,$J30:BG30)&lt;0.5,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IF(SUMPRODUCT($J$71:BJ$71,$J30:BJ30)&lt;0.5,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IF(SUMPRODUCT($J$71:BM$71,$J30:BM30)&lt;0.5,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IF(SUMPRODUCT($J$71:BP$71,$J30:BP30)&lt;0.5,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IF(SUMPRODUCT($J$71:BS$71,$J30:BS30)&lt;0.5,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IF(SUMPRODUCT($J$71:BV$71,$J30:BV30)&lt;0.5,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IF(SUMPRODUCT($J$71:BY$71,$J30:BY30)&lt;0.5,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IF(SUMPRODUCT($J$71:CB$71,$J30:CB30)&lt;0.5, "Pending", IF(CB30&lt;0.5, "Complete", "In Progress"))</f>
        <v>#REF!</v>
      </c>
      <c r="CD30" s="24"/>
      <c r="CE30" s="25">
        <f>SUMPRODUCT($H$71:AY$71,$H30:AY30)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117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IF(SUMPRODUCT($J$71:K$71,$J31:K31)&lt;0.5,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IF(SUMPRODUCT($J$71:N$71,$J31:N31)&lt;0.5,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IF(SUMPRODUCT($J$71:Q$71,$J31:Q31)&lt;0.5,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IF(SUMPRODUCT($J$71:T$71,$J31:T31)&lt;0.5,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IF(SUMPRODUCT($J$71:W$71,$J31:W31)&lt;0.5,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IF(SUMPRODUCT($J$71:Z$71,$J31:Z31)&lt;0.5,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IF(SUMPRODUCT($J$71:AC$71,$J31:AC31)&lt;0.5,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IF(SUMPRODUCT($J$71:AF$71,$J31:AF31)&lt;0.5,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IF(SUMPRODUCT($J$71:AI$71,$J31:AI31)&lt;0.5,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IF(SUMPRODUCT($J$71:AL$71,$J31:AL31)&lt;0.5,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IF(SUMPRODUCT($J$71:AO$71,$J31:AO31)&lt;0.5,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IF(SUMPRODUCT($J$71:AR$71,$J31:AR31)&lt;0.5,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IF(SUMPRODUCT($J$71:AU$71,$J31:AU31)&lt;0.5,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IF(SUMPRODUCT($J$71:AX$71,$J31:AX31)&lt;0.5,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IF(SUMPRODUCT($J$71:BA$71,$J31:BA31)&lt;0.5,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IF(SUMPRODUCT($J$71:BD$71,$J31:BD31)&lt;0.5,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IF(SUMPRODUCT($J$71:BG$71,$J31:BG31)&lt;0.5,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IF(SUMPRODUCT($J$71:BJ$71,$J31:BJ31)&lt;0.5,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IF(SUMPRODUCT($J$71:BM$71,$J31:BM31)&lt;0.5,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IF(SUMPRODUCT($J$71:BP$71,$J31:BP31)&lt;0.5,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IF(SUMPRODUCT($J$71:BS$71,$J31:BS31)&lt;0.5,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IF(SUMPRODUCT($J$71:BV$71,$J31:BV31)&lt;0.5,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IF(SUMPRODUCT($J$71:BY$71,$J31:BY31)&lt;0.5,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IF(SUMPRODUCT($J$71:CB$71,$J31:CB31)&lt;0.5, "Pending", IF(CB31&lt;0.5, "Complete", "In Progress"))</f>
        <v>#REF!</v>
      </c>
      <c r="CD31" s="24"/>
      <c r="CE31" s="25">
        <f>SUMPRODUCT($H$71:AY$71,$H31:AY31)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117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IF(SUMPRODUCT($J$71:K$71,$J32:K32)&lt;0.5,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IF(SUMPRODUCT($J$71:N$71,$J32:N32)&lt;0.5,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IF(SUMPRODUCT($J$71:Q$71,$J32:Q32)&lt;0.5,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IF(SUMPRODUCT($J$71:T$71,$J32:T32)&lt;0.5,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IF(SUMPRODUCT($J$71:W$71,$J32:W32)&lt;0.5,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IF(SUMPRODUCT($J$71:Z$71,$J32:Z32)&lt;0.5,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IF(SUMPRODUCT($J$71:AC$71,$J32:AC32)&lt;0.5,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IF(SUMPRODUCT($J$71:AF$71,$J32:AF32)&lt;0.5,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IF(SUMPRODUCT($J$71:AI$71,$J32:AI32)&lt;0.5,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IF(SUMPRODUCT($J$71:AL$71,$J32:AL32)&lt;0.5,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IF(SUMPRODUCT($J$71:AO$71,$J32:AO32)&lt;0.5,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IF(SUMPRODUCT($J$71:AR$71,$J32:AR32)&lt;0.5,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IF(SUMPRODUCT($J$71:AU$71,$J32:AU32)&lt;0.5,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IF(SUMPRODUCT($J$71:AX$71,$J32:AX32)&lt;0.5,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IF(SUMPRODUCT($J$71:BA$71,$J32:BA32)&lt;0.5,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IF(SUMPRODUCT($J$71:BD$71,$J32:BD32)&lt;0.5,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IF(SUMPRODUCT($J$71:BG$71,$J32:BG32)&lt;0.5,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IF(SUMPRODUCT($J$71:BJ$71,$J32:BJ32)&lt;0.5,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IF(SUMPRODUCT($J$71:BM$71,$J32:BM32)&lt;0.5,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IF(SUMPRODUCT($J$71:BP$71,$J32:BP32)&lt;0.5,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IF(SUMPRODUCT($J$71:BS$71,$J32:BS32)&lt;0.5,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IF(SUMPRODUCT($J$71:BV$71,$J32:BV32)&lt;0.5,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IF(SUMPRODUCT($J$71:BY$71,$J32:BY32)&lt;0.5,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IF(SUMPRODUCT($J$71:CB$71,$J32:CB32)&lt;0.5, "Pending", IF(CB32&lt;0.5, "Complete", "In Progress"))</f>
        <v>#REF!</v>
      </c>
      <c r="CD32" s="24"/>
      <c r="CE32" s="25">
        <f>SUMPRODUCT($H$71:AY$71,$H32:AY32)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117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IF(SUMPRODUCT($J$71:K$71,$J33:K33)&lt;0.5,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IF(SUMPRODUCT($J$71:N$71,$J33:N33)&lt;0.5,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IF(SUMPRODUCT($J$71:Q$71,$J33:Q33)&lt;0.5,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IF(SUMPRODUCT($J$71:T$71,$J33:T33)&lt;0.5,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IF(SUMPRODUCT($J$71:W$71,$J33:W33)&lt;0.5,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IF(SUMPRODUCT($J$71:Z$71,$J33:Z33)&lt;0.5,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IF(SUMPRODUCT($J$71:AC$71,$J33:AC33)&lt;0.5,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IF(SUMPRODUCT($J$71:AF$71,$J33:AF33)&lt;0.5,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IF(SUMPRODUCT($J$71:AI$71,$J33:AI33)&lt;0.5,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IF(SUMPRODUCT($J$71:AL$71,$J33:AL33)&lt;0.5,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IF(SUMPRODUCT($J$71:AO$71,$J33:AO33)&lt;0.5,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IF(SUMPRODUCT($J$71:AR$71,$J33:AR33)&lt;0.5,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IF(SUMPRODUCT($J$71:AU$71,$J33:AU33)&lt;0.5,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IF(SUMPRODUCT($J$71:AX$71,$J33:AX33)&lt;0.5,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IF(SUMPRODUCT($J$71:BA$71,$J33:BA33)&lt;0.5,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IF(SUMPRODUCT($J$71:BD$71,$J33:BD33)&lt;0.5,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IF(SUMPRODUCT($J$71:BG$71,$J33:BG33)&lt;0.5,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IF(SUMPRODUCT($J$71:BJ$71,$J33:BJ33)&lt;0.5,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IF(SUMPRODUCT($J$71:BM$71,$J33:BM33)&lt;0.5,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IF(SUMPRODUCT($J$71:BP$71,$J33:BP33)&lt;0.5,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IF(SUMPRODUCT($J$71:BS$71,$J33:BS33)&lt;0.5,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IF(SUMPRODUCT($J$71:BV$71,$J33:BV33)&lt;0.5,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IF(SUMPRODUCT($J$71:BY$71,$J33:BY33)&lt;0.5,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IF(SUMPRODUCT($J$71:CB$71,$J33:CB33)&lt;0.5, "Pending", IF(CB33&lt;0.5, "Complete", "In Progress"))</f>
        <v>#REF!</v>
      </c>
      <c r="CD33" s="24"/>
      <c r="CE33" s="25">
        <f>SUMPRODUCT($H$71:AY$71,$H33:AY33)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117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IF(SUMPRODUCT($J$71:K$71,$J34:K34)&lt;0.5,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IF(SUMPRODUCT($J$71:N$71,$J34:N34)&lt;0.5,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IF(SUMPRODUCT($J$71:Q$71,$J34:Q34)&lt;0.5,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IF(SUMPRODUCT($J$71:T$71,$J34:T34)&lt;0.5,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IF(SUMPRODUCT($J$71:W$71,$J34:W34)&lt;0.5,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IF(SUMPRODUCT($J$71:Z$71,$J34:Z34)&lt;0.5,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IF(SUMPRODUCT($J$71:AC$71,$J34:AC34)&lt;0.5,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IF(SUMPRODUCT($J$71:AF$71,$J34:AF34)&lt;0.5,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IF(SUMPRODUCT($J$71:AI$71,$J34:AI34)&lt;0.5,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IF(SUMPRODUCT($J$71:AL$71,$J34:AL34)&lt;0.5,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IF(SUMPRODUCT($J$71:AO$71,$J34:AO34)&lt;0.5,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IF(SUMPRODUCT($J$71:AR$71,$J34:AR34)&lt;0.5,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IF(SUMPRODUCT($J$71:AU$71,$J34:AU34)&lt;0.5,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IF(SUMPRODUCT($J$71:AX$71,$J34:AX34)&lt;0.5,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IF(SUMPRODUCT($J$71:BA$71,$J34:BA34)&lt;0.5,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IF(SUMPRODUCT($J$71:BD$71,$J34:BD34)&lt;0.5,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IF(SUMPRODUCT($J$71:BG$71,$J34:BG34)&lt;0.5,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IF(SUMPRODUCT($J$71:BJ$71,$J34:BJ34)&lt;0.5,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IF(SUMPRODUCT($J$71:BM$71,$J34:BM34)&lt;0.5,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IF(SUMPRODUCT($J$71:BP$71,$J34:BP34)&lt;0.5,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IF(SUMPRODUCT($J$71:BS$71,$J34:BS34)&lt;0.5,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IF(SUMPRODUCT($J$71:BV$71,$J34:BV34)&lt;0.5,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IF(SUMPRODUCT($J$71:BY$71,$J34:BY34)&lt;0.5,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IF(SUMPRODUCT($J$71:CB$71,$J34:CB34)&lt;0.5, "Pending", IF(CB34&lt;0.5, "Complete", "In Progress"))</f>
        <v>#REF!</v>
      </c>
      <c r="CD34" s="24"/>
      <c r="CE34" s="25">
        <f>SUMPRODUCT($H$71:AY$71,$H34:AY34)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117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IF(SUMPRODUCT($J$71:K$71,$J35:K35)&lt;0.5,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IF(SUMPRODUCT($J$71:N$71,$J35:N35)&lt;0.5,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IF(SUMPRODUCT($J$71:Q$71,$J35:Q35)&lt;0.5,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IF(SUMPRODUCT($J$71:T$71,$J35:T35)&lt;0.5,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IF(SUMPRODUCT($J$71:W$71,$J35:W35)&lt;0.5,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IF(SUMPRODUCT($J$71:Z$71,$J35:Z35)&lt;0.5,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IF(SUMPRODUCT($J$71:AC$71,$J35:AC35)&lt;0.5,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IF(SUMPRODUCT($J$71:AF$71,$J35:AF35)&lt;0.5,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IF(SUMPRODUCT($J$71:AI$71,$J35:AI35)&lt;0.5,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IF(SUMPRODUCT($J$71:AL$71,$J35:AL35)&lt;0.5,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IF(SUMPRODUCT($J$71:AO$71,$J35:AO35)&lt;0.5,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IF(SUMPRODUCT($J$71:AR$71,$J35:AR35)&lt;0.5,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IF(SUMPRODUCT($J$71:AU$71,$J35:AU35)&lt;0.5,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IF(SUMPRODUCT($J$71:AX$71,$J35:AX35)&lt;0.5,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IF(SUMPRODUCT($J$71:BA$71,$J35:BA35)&lt;0.5,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IF(SUMPRODUCT($J$71:BD$71,$J35:BD35)&lt;0.5,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IF(SUMPRODUCT($J$71:BG$71,$J35:BG35)&lt;0.5,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IF(SUMPRODUCT($J$71:BJ$71,$J35:BJ35)&lt;0.5,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IF(SUMPRODUCT($J$71:BM$71,$J35:BM35)&lt;0.5,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IF(SUMPRODUCT($J$71:BP$71,$J35:BP35)&lt;0.5,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IF(SUMPRODUCT($J$71:BS$71,$J35:BS35)&lt;0.5,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IF(SUMPRODUCT($J$71:BV$71,$J35:BV35)&lt;0.5,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IF(SUMPRODUCT($J$71:BY$71,$J35:BY35)&lt;0.5,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IF(SUMPRODUCT($J$71:CB$71,$J35:CB35)&lt;0.5, "Pending", IF(CB35&lt;0.5, "Complete", "In Progress"))</f>
        <v>#REF!</v>
      </c>
      <c r="CD35" s="24"/>
      <c r="CE35" s="25">
        <f>SUMPRODUCT($H$71:AY$71,$H35:AY35)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117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IF(SUMPRODUCT($J$71:K$71,$J36:K36)&lt;0.5,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IF(SUMPRODUCT($J$71:N$71,$J36:N36)&lt;0.5,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IF(SUMPRODUCT($J$71:Q$71,$J36:Q36)&lt;0.5,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IF(SUMPRODUCT($J$71:T$71,$J36:T36)&lt;0.5,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IF(SUMPRODUCT($J$71:W$71,$J36:W36)&lt;0.5,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IF(SUMPRODUCT($J$71:Z$71,$J36:Z36)&lt;0.5,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IF(SUMPRODUCT($J$71:AC$71,$J36:AC36)&lt;0.5,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IF(SUMPRODUCT($J$71:AF$71,$J36:AF36)&lt;0.5,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IF(SUMPRODUCT($J$71:AI$71,$J36:AI36)&lt;0.5,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IF(SUMPRODUCT($J$71:AL$71,$J36:AL36)&lt;0.5,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IF(SUMPRODUCT($J$71:AO$71,$J36:AO36)&lt;0.5,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IF(SUMPRODUCT($J$71:AR$71,$J36:AR36)&lt;0.5,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IF(SUMPRODUCT($J$71:AU$71,$J36:AU36)&lt;0.5,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IF(SUMPRODUCT($J$71:AX$71,$J36:AX36)&lt;0.5,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IF(SUMPRODUCT($J$71:BA$71,$J36:BA36)&lt;0.5,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IF(SUMPRODUCT($J$71:BD$71,$J36:BD36)&lt;0.5,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IF(SUMPRODUCT($J$71:BG$71,$J36:BG36)&lt;0.5,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IF(SUMPRODUCT($J$71:BJ$71,$J36:BJ36)&lt;0.5,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IF(SUMPRODUCT($J$71:BM$71,$J36:BM36)&lt;0.5,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IF(SUMPRODUCT($J$71:BP$71,$J36:BP36)&lt;0.5,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IF(SUMPRODUCT($J$71:BS$71,$J36:BS36)&lt;0.5,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IF(SUMPRODUCT($J$71:BV$71,$J36:BV36)&lt;0.5,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IF(SUMPRODUCT($J$71:BY$71,$J36:BY36)&lt;0.5,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IF(SUMPRODUCT($J$71:CB$71,$J36:CB36)&lt;0.5, "Pending", IF(CB36&lt;0.5, "Complete", "In Progress"))</f>
        <v>#REF!</v>
      </c>
      <c r="CD36" s="24"/>
      <c r="CE36" s="25">
        <f>SUMPRODUCT($H$71:AY$71,$H36:AY36)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117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IF(SUMPRODUCT($J$71:K$71,$J37:K37)&lt;0.5,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IF(SUMPRODUCT($J$71:N$71,$J37:N37)&lt;0.5,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IF(SUMPRODUCT($J$71:Q$71,$J37:Q37)&lt;0.5,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IF(SUMPRODUCT($J$71:T$71,$J37:T37)&lt;0.5,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IF(SUMPRODUCT($J$71:W$71,$J37:W37)&lt;0.5,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IF(SUMPRODUCT($J$71:Z$71,$J37:Z37)&lt;0.5,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IF(SUMPRODUCT($J$71:AC$71,$J37:AC37)&lt;0.5,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IF(SUMPRODUCT($J$71:AF$71,$J37:AF37)&lt;0.5,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IF(SUMPRODUCT($J$71:AI$71,$J37:AI37)&lt;0.5,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IF(SUMPRODUCT($J$71:AL$71,$J37:AL37)&lt;0.5,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IF(SUMPRODUCT($J$71:AO$71,$J37:AO37)&lt;0.5,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IF(SUMPRODUCT($J$71:AR$71,$J37:AR37)&lt;0.5,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IF(SUMPRODUCT($J$71:AU$71,$J37:AU37)&lt;0.5,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IF(SUMPRODUCT($J$71:AX$71,$J37:AX37)&lt;0.5,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IF(SUMPRODUCT($J$71:BA$71,$J37:BA37)&lt;0.5,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IF(SUMPRODUCT($J$71:BD$71,$J37:BD37)&lt;0.5,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IF(SUMPRODUCT($J$71:BG$71,$J37:BG37)&lt;0.5,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IF(SUMPRODUCT($J$71:BJ$71,$J37:BJ37)&lt;0.5,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IF(SUMPRODUCT($J$71:BM$71,$J37:BM37)&lt;0.5,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IF(SUMPRODUCT($J$71:BP$71,$J37:BP37)&lt;0.5,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IF(SUMPRODUCT($J$71:BS$71,$J37:BS37)&lt;0.5,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IF(SUMPRODUCT($J$71:BV$71,$J37:BV37)&lt;0.5,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IF(SUMPRODUCT($J$71:BY$71,$J37:BY37)&lt;0.5,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IF(SUMPRODUCT($J$71:CB$71,$J37:CB37)&lt;0.5, "Pending", IF(CB37&lt;0.5, "Complete", "In Progress"))</f>
        <v>#REF!</v>
      </c>
      <c r="CD37" s="24"/>
      <c r="CE37" s="25">
        <f>SUMPRODUCT($H$71:AY$71,$H37:AY37)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117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IF(SUMPRODUCT($J$71:K$71,$J38:K38)&lt;0.5,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IF(SUMPRODUCT($J$71:N$71,$J38:N38)&lt;0.5,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IF(SUMPRODUCT($J$71:Q$71,$J38:Q38)&lt;0.5,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IF(SUMPRODUCT($J$71:T$71,$J38:T38)&lt;0.5,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IF(SUMPRODUCT($J$71:W$71,$J38:W38)&lt;0.5,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IF(SUMPRODUCT($J$71:Z$71,$J38:Z38)&lt;0.5,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IF(SUMPRODUCT($J$71:AC$71,$J38:AC38)&lt;0.5,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IF(SUMPRODUCT($J$71:AF$71,$J38:AF38)&lt;0.5,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IF(SUMPRODUCT($J$71:AI$71,$J38:AI38)&lt;0.5,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IF(SUMPRODUCT($J$71:AL$71,$J38:AL38)&lt;0.5,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IF(SUMPRODUCT($J$71:AO$71,$J38:AO38)&lt;0.5,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IF(SUMPRODUCT($J$71:AR$71,$J38:AR38)&lt;0.5,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IF(SUMPRODUCT($J$71:AU$71,$J38:AU38)&lt;0.5,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IF(SUMPRODUCT($J$71:AX$71,$J38:AX38)&lt;0.5,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IF(SUMPRODUCT($J$71:BA$71,$J38:BA38)&lt;0.5,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IF(SUMPRODUCT($J$71:BD$71,$J38:BD38)&lt;0.5,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IF(SUMPRODUCT($J$71:BG$71,$J38:BG38)&lt;0.5,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IF(SUMPRODUCT($J$71:BJ$71,$J38:BJ38)&lt;0.5,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IF(SUMPRODUCT($J$71:BM$71,$J38:BM38)&lt;0.5,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IF(SUMPRODUCT($J$71:BP$71,$J38:BP38)&lt;0.5,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IF(SUMPRODUCT($J$71:BS$71,$J38:BS38)&lt;0.5,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IF(SUMPRODUCT($J$71:BV$71,$J38:BV38)&lt;0.5,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IF(SUMPRODUCT($J$71:BY$71,$J38:BY38)&lt;0.5,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IF(SUMPRODUCT($J$71:CB$71,$J38:CB38)&lt;0.5, "Pending", IF(CB38&lt;0.5, "Complete", "In Progress"))</f>
        <v>#REF!</v>
      </c>
      <c r="CD38" s="24"/>
      <c r="CE38" s="25">
        <f>SUMPRODUCT($H$71:AY$71,$H38:AY38)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117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IF(SUMPRODUCT($J$71:K$71,$J39:K39)&lt;0.5,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IF(SUMPRODUCT($J$71:N$71,$J39:N39)&lt;0.5,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IF(SUMPRODUCT($J$71:Q$71,$J39:Q39)&lt;0.5,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IF(SUMPRODUCT($J$71:T$71,$J39:T39)&lt;0.5,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IF(SUMPRODUCT($J$71:W$71,$J39:W39)&lt;0.5,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IF(SUMPRODUCT($J$71:Z$71,$J39:Z39)&lt;0.5,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IF(SUMPRODUCT($J$71:AC$71,$J39:AC39)&lt;0.5,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IF(SUMPRODUCT($J$71:AF$71,$J39:AF39)&lt;0.5,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IF(SUMPRODUCT($J$71:AI$71,$J39:AI39)&lt;0.5,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IF(SUMPRODUCT($J$71:AL$71,$J39:AL39)&lt;0.5,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IF(SUMPRODUCT($J$71:AO$71,$J39:AO39)&lt;0.5,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IF(SUMPRODUCT($J$71:AR$71,$J39:AR39)&lt;0.5,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IF(SUMPRODUCT($J$71:AU$71,$J39:AU39)&lt;0.5,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IF(SUMPRODUCT($J$71:AX$71,$J39:AX39)&lt;0.5,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IF(SUMPRODUCT($J$71:BA$71,$J39:BA39)&lt;0.5,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IF(SUMPRODUCT($J$71:BD$71,$J39:BD39)&lt;0.5,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IF(SUMPRODUCT($J$71:BG$71,$J39:BG39)&lt;0.5,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IF(SUMPRODUCT($J$71:BJ$71,$J39:BJ39)&lt;0.5,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IF(SUMPRODUCT($J$71:BM$71,$J39:BM39)&lt;0.5,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IF(SUMPRODUCT($J$71:BP$71,$J39:BP39)&lt;0.5,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IF(SUMPRODUCT($J$71:BS$71,$J39:BS39)&lt;0.5,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IF(SUMPRODUCT($J$71:BV$71,$J39:BV39)&lt;0.5,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IF(SUMPRODUCT($J$71:BY$71,$J39:BY39)&lt;0.5,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IF(SUMPRODUCT($J$71:CB$71,$J39:CB39)&lt;0.5, "Pending", IF(CB39&lt;0.5, "Complete", "In Progress"))</f>
        <v>#REF!</v>
      </c>
      <c r="CD39" s="24"/>
      <c r="CE39" s="25">
        <f>SUMPRODUCT($H$71:AY$71,$H39:AY39)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117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IF(SUMPRODUCT($J$71:K$71,$J40:K40)&lt;0.5,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IF(SUMPRODUCT($J$71:N$71,$J40:N40)&lt;0.5,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IF(SUMPRODUCT($J$71:Q$71,$J40:Q40)&lt;0.5,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IF(SUMPRODUCT($J$71:T$71,$J40:T40)&lt;0.5,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IF(SUMPRODUCT($J$71:W$71,$J40:W40)&lt;0.5,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IF(SUMPRODUCT($J$71:Z$71,$J40:Z40)&lt;0.5,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IF(SUMPRODUCT($J$71:AC$71,$J40:AC40)&lt;0.5,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IF(SUMPRODUCT($J$71:AF$71,$J40:AF40)&lt;0.5,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IF(SUMPRODUCT($J$71:AI$71,$J40:AI40)&lt;0.5,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IF(SUMPRODUCT($J$71:AL$71,$J40:AL40)&lt;0.5,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IF(SUMPRODUCT($J$71:AO$71,$J40:AO40)&lt;0.5,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IF(SUMPRODUCT($J$71:AR$71,$J40:AR40)&lt;0.5,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IF(SUMPRODUCT($J$71:AU$71,$J40:AU40)&lt;0.5,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IF(SUMPRODUCT($J$71:AX$71,$J40:AX40)&lt;0.5,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IF(SUMPRODUCT($J$71:BA$71,$J40:BA40)&lt;0.5,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IF(SUMPRODUCT($J$71:BD$71,$J40:BD40)&lt;0.5,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IF(SUMPRODUCT($J$71:BG$71,$J40:BG40)&lt;0.5,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IF(SUMPRODUCT($J$71:BJ$71,$J40:BJ40)&lt;0.5,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IF(SUMPRODUCT($J$71:BM$71,$J40:BM40)&lt;0.5,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IF(SUMPRODUCT($J$71:BP$71,$J40:BP40)&lt;0.5,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IF(SUMPRODUCT($J$71:BS$71,$J40:BS40)&lt;0.5,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IF(SUMPRODUCT($J$71:BV$71,$J40:BV40)&lt;0.5,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IF(SUMPRODUCT($J$71:BY$71,$J40:BY40)&lt;0.5,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IF(SUMPRODUCT($J$71:CB$71,$J40:CB40)&lt;0.5, "Pending", IF(CB40&lt;0.5, "Complete", "In Progress"))</f>
        <v>#REF!</v>
      </c>
      <c r="CD40" s="24"/>
      <c r="CE40" s="25">
        <f>SUMPRODUCT($H$71:AY$71,$H40:AY40)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117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IF(SUMPRODUCT($J$71:K$71,$J41:K41)&lt;0.5,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IF(SUMPRODUCT($J$71:N$71,$J41:N41)&lt;0.5,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IF(SUMPRODUCT($J$71:Q$71,$J41:Q41)&lt;0.5,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IF(SUMPRODUCT($J$71:T$71,$J41:T41)&lt;0.5,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IF(SUMPRODUCT($J$71:W$71,$J41:W41)&lt;0.5,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IF(SUMPRODUCT($J$71:Z$71,$J41:Z41)&lt;0.5,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IF(SUMPRODUCT($J$71:AC$71,$J41:AC41)&lt;0.5,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IF(SUMPRODUCT($J$71:AF$71,$J41:AF41)&lt;0.5,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IF(SUMPRODUCT($J$71:AI$71,$J41:AI41)&lt;0.5,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IF(SUMPRODUCT($J$71:AL$71,$J41:AL41)&lt;0.5,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IF(SUMPRODUCT($J$71:AO$71,$J41:AO41)&lt;0.5,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IF(SUMPRODUCT($J$71:AR$71,$J41:AR41)&lt;0.5,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IF(SUMPRODUCT($J$71:AU$71,$J41:AU41)&lt;0.5,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IF(SUMPRODUCT($J$71:AX$71,$J41:AX41)&lt;0.5,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IF(SUMPRODUCT($J$71:BA$71,$J41:BA41)&lt;0.5,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IF(SUMPRODUCT($J$71:BD$71,$J41:BD41)&lt;0.5,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IF(SUMPRODUCT($J$71:BG$71,$J41:BG41)&lt;0.5,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IF(SUMPRODUCT($J$71:BJ$71,$J41:BJ41)&lt;0.5,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IF(SUMPRODUCT($J$71:BM$71,$J41:BM41)&lt;0.5,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IF(SUMPRODUCT($J$71:BP$71,$J41:BP41)&lt;0.5,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IF(SUMPRODUCT($J$71:BS$71,$J41:BS41)&lt;0.5,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IF(SUMPRODUCT($J$71:BV$71,$J41:BV41)&lt;0.5,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IF(SUMPRODUCT($J$71:BY$71,$J41:BY41)&lt;0.5,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IF(SUMPRODUCT($J$71:CB$71,$J41:CB41)&lt;0.5, "Pending", IF(CB41&lt;0.5, "Complete", "In Progress"))</f>
        <v>#REF!</v>
      </c>
      <c r="CD41" s="24"/>
      <c r="CE41" s="25">
        <f>SUMPRODUCT($H$71:AY$71,$H41:AY41)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117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IF(SUMPRODUCT($J$71:K$71,$J42:K42)&lt;0.5,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IF(SUMPRODUCT($J$71:N$71,$J42:N42)&lt;0.5,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IF(SUMPRODUCT($J$71:Q$71,$J42:Q42)&lt;0.5,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IF(SUMPRODUCT($J$71:T$71,$J42:T42)&lt;0.5,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IF(SUMPRODUCT($J$71:W$71,$J42:W42)&lt;0.5,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IF(SUMPRODUCT($J$71:Z$71,$J42:Z42)&lt;0.5,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IF(SUMPRODUCT($J$71:AC$71,$J42:AC42)&lt;0.5,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IF(SUMPRODUCT($J$71:AF$71,$J42:AF42)&lt;0.5,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IF(SUMPRODUCT($J$71:AI$71,$J42:AI42)&lt;0.5,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IF(SUMPRODUCT($J$71:AL$71,$J42:AL42)&lt;0.5,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IF(SUMPRODUCT($J$71:AO$71,$J42:AO42)&lt;0.5,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IF(SUMPRODUCT($J$71:AR$71,$J42:AR42)&lt;0.5,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IF(SUMPRODUCT($J$71:AU$71,$J42:AU42)&lt;0.5,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IF(SUMPRODUCT($J$71:AX$71,$J42:AX42)&lt;0.5,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IF(SUMPRODUCT($J$71:BA$71,$J42:BA42)&lt;0.5,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IF(SUMPRODUCT($J$71:BD$71,$J42:BD42)&lt;0.5,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IF(SUMPRODUCT($J$71:BG$71,$J42:BG42)&lt;0.5,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IF(SUMPRODUCT($J$71:BJ$71,$J42:BJ42)&lt;0.5,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IF(SUMPRODUCT($J$71:BM$71,$J42:BM42)&lt;0.5,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IF(SUMPRODUCT($J$71:BP$71,$J42:BP42)&lt;0.5,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IF(SUMPRODUCT($J$71:BS$71,$J42:BS42)&lt;0.5,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IF(SUMPRODUCT($J$71:BV$71,$J42:BV42)&lt;0.5,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IF(SUMPRODUCT($J$71:BY$71,$J42:BY42)&lt;0.5,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IF(SUMPRODUCT($J$71:CB$71,$J42:CB42)&lt;0.5, "Pending", IF(CB42&lt;0.5, "Complete", "In Progress"))</f>
        <v>#REF!</v>
      </c>
      <c r="CD42" s="24"/>
      <c r="CE42" s="25">
        <f>SUMPRODUCT($H$71:AY$71,$H42:AY42)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117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IF(SUMPRODUCT($J$71:K$71,$J43:K43)&lt;0.5,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IF(SUMPRODUCT($J$71:N$71,$J43:N43)&lt;0.5,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IF(SUMPRODUCT($J$71:Q$71,$J43:Q43)&lt;0.5,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IF(SUMPRODUCT($J$71:T$71,$J43:T43)&lt;0.5,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IF(SUMPRODUCT($J$71:W$71,$J43:W43)&lt;0.5,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IF(SUMPRODUCT($J$71:Z$71,$J43:Z43)&lt;0.5,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IF(SUMPRODUCT($J$71:AC$71,$J43:AC43)&lt;0.5,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IF(SUMPRODUCT($J$71:AF$71,$J43:AF43)&lt;0.5,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IF(SUMPRODUCT($J$71:AI$71,$J43:AI43)&lt;0.5,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IF(SUMPRODUCT($J$71:AL$71,$J43:AL43)&lt;0.5,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IF(SUMPRODUCT($J$71:AO$71,$J43:AO43)&lt;0.5,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IF(SUMPRODUCT($J$71:AR$71,$J43:AR43)&lt;0.5,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IF(SUMPRODUCT($J$71:AU$71,$J43:AU43)&lt;0.5,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IF(SUMPRODUCT($J$71:AX$71,$J43:AX43)&lt;0.5,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IF(SUMPRODUCT($J$71:BA$71,$J43:BA43)&lt;0.5,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IF(SUMPRODUCT($J$71:BD$71,$J43:BD43)&lt;0.5,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IF(SUMPRODUCT($J$71:BG$71,$J43:BG43)&lt;0.5,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IF(SUMPRODUCT($J$71:BJ$71,$J43:BJ43)&lt;0.5,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IF(SUMPRODUCT($J$71:BM$71,$J43:BM43)&lt;0.5,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IF(SUMPRODUCT($J$71:BP$71,$J43:BP43)&lt;0.5,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IF(SUMPRODUCT($J$71:BS$71,$J43:BS43)&lt;0.5,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IF(SUMPRODUCT($J$71:BV$71,$J43:BV43)&lt;0.5,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IF(SUMPRODUCT($J$71:BY$71,$J43:BY43)&lt;0.5,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IF(SUMPRODUCT($J$71:CB$71,$J43:CB43)&lt;0.5, "Pending", IF(CB43&lt;0.5, "Complete", "In Progress"))</f>
        <v>#REF!</v>
      </c>
      <c r="CD43" s="24"/>
      <c r="CE43" s="25">
        <f>SUMPRODUCT($H$71:AY$71,$H43:AY43)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117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IF(SUMPRODUCT($J$71:K$71,$J44:K44)&lt;0.5,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IF(SUMPRODUCT($J$71:N$71,$J44:N44)&lt;0.5,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IF(SUMPRODUCT($J$71:Q$71,$J44:Q44)&lt;0.5,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IF(SUMPRODUCT($J$71:T$71,$J44:T44)&lt;0.5,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IF(SUMPRODUCT($J$71:W$71,$J44:W44)&lt;0.5,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IF(SUMPRODUCT($J$71:Z$71,$J44:Z44)&lt;0.5,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IF(SUMPRODUCT($J$71:AC$71,$J44:AC44)&lt;0.5,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IF(SUMPRODUCT($J$71:AF$71,$J44:AF44)&lt;0.5,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IF(SUMPRODUCT($J$71:AI$71,$J44:AI44)&lt;0.5,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IF(SUMPRODUCT($J$71:AL$71,$J44:AL44)&lt;0.5,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IF(SUMPRODUCT($J$71:AO$71,$J44:AO44)&lt;0.5,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IF(SUMPRODUCT($J$71:AR$71,$J44:AR44)&lt;0.5,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IF(SUMPRODUCT($J$71:AU$71,$J44:AU44)&lt;0.5,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IF(SUMPRODUCT($J$71:AX$71,$J44:AX44)&lt;0.5,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IF(SUMPRODUCT($J$71:BA$71,$J44:BA44)&lt;0.5,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IF(SUMPRODUCT($J$71:BD$71,$J44:BD44)&lt;0.5,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IF(SUMPRODUCT($J$71:BG$71,$J44:BG44)&lt;0.5,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IF(SUMPRODUCT($J$71:BJ$71,$J44:BJ44)&lt;0.5,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IF(SUMPRODUCT($J$71:BM$71,$J44:BM44)&lt;0.5,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IF(SUMPRODUCT($J$71:BP$71,$J44:BP44)&lt;0.5,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IF(SUMPRODUCT($J$71:BS$71,$J44:BS44)&lt;0.5,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IF(SUMPRODUCT($J$71:BV$71,$J44:BV44)&lt;0.5,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IF(SUMPRODUCT($J$71:BY$71,$J44:BY44)&lt;0.5,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IF(SUMPRODUCT($J$71:CB$71,$J44:CB44)&lt;0.5, "Pending", IF(CB44&lt;0.5, "Complete", "In Progress"))</f>
        <v>#REF!</v>
      </c>
      <c r="CD44" s="24"/>
      <c r="CE44" s="25">
        <f>SUMPRODUCT($H$71:AY$71,$H44:AY44)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117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IF(SUMPRODUCT($J$71:K$71,$J45:K45)&lt;0.5,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IF(SUMPRODUCT($J$71:N$71,$J45:N45)&lt;0.5,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IF(SUMPRODUCT($J$71:Q$71,$J45:Q45)&lt;0.5,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IF(SUMPRODUCT($J$71:T$71,$J45:T45)&lt;0.5,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IF(SUMPRODUCT($J$71:W$71,$J45:W45)&lt;0.5,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IF(SUMPRODUCT($J$71:Z$71,$J45:Z45)&lt;0.5,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IF(SUMPRODUCT($J$71:AC$71,$J45:AC45)&lt;0.5,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IF(SUMPRODUCT($J$71:AF$71,$J45:AF45)&lt;0.5,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IF(SUMPRODUCT($J$71:AI$71,$J45:AI45)&lt;0.5,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IF(SUMPRODUCT($J$71:AL$71,$J45:AL45)&lt;0.5,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IF(SUMPRODUCT($J$71:AO$71,$J45:AO45)&lt;0.5,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IF(SUMPRODUCT($J$71:AR$71,$J45:AR45)&lt;0.5,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IF(SUMPRODUCT($J$71:AU$71,$J45:AU45)&lt;0.5,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IF(SUMPRODUCT($J$71:AX$71,$J45:AX45)&lt;0.5,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IF(SUMPRODUCT($J$71:BA$71,$J45:BA45)&lt;0.5,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IF(SUMPRODUCT($J$71:BD$71,$J45:BD45)&lt;0.5,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IF(SUMPRODUCT($J$71:BG$71,$J45:BG45)&lt;0.5,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IF(SUMPRODUCT($J$71:BJ$71,$J45:BJ45)&lt;0.5,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IF(SUMPRODUCT($J$71:BM$71,$J45:BM45)&lt;0.5,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IF(SUMPRODUCT($J$71:BP$71,$J45:BP45)&lt;0.5,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IF(SUMPRODUCT($J$71:BS$71,$J45:BS45)&lt;0.5,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IF(SUMPRODUCT($J$71:BV$71,$J45:BV45)&lt;0.5,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IF(SUMPRODUCT($J$71:BY$71,$J45:BY45)&lt;0.5,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IF(SUMPRODUCT($J$71:CB$71,$J45:CB45)&lt;0.5, "Pending", IF(CB45&lt;0.5, "Complete", "In Progress"))</f>
        <v>#REF!</v>
      </c>
      <c r="CD45" s="24"/>
      <c r="CE45" s="25">
        <f>SUMPRODUCT($H$71:AY$71,$H45:AY45)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117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IF(SUMPRODUCT($J$71:K$71,$J46:K46)&lt;0.5,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IF(SUMPRODUCT($J$71:N$71,$J46:N46)&lt;0.5,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IF(SUMPRODUCT($J$71:Q$71,$J46:Q46)&lt;0.5,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IF(SUMPRODUCT($J$71:T$71,$J46:T46)&lt;0.5,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IF(SUMPRODUCT($J$71:W$71,$J46:W46)&lt;0.5,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IF(SUMPRODUCT($J$71:Z$71,$J46:Z46)&lt;0.5,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IF(SUMPRODUCT($J$71:AC$71,$J46:AC46)&lt;0.5,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IF(SUMPRODUCT($J$71:AF$71,$J46:AF46)&lt;0.5,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IF(SUMPRODUCT($J$71:AI$71,$J46:AI46)&lt;0.5,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IF(SUMPRODUCT($J$71:AL$71,$J46:AL46)&lt;0.5,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IF(SUMPRODUCT($J$71:AO$71,$J46:AO46)&lt;0.5,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IF(SUMPRODUCT($J$71:AR$71,$J46:AR46)&lt;0.5,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IF(SUMPRODUCT($J$71:AU$71,$J46:AU46)&lt;0.5,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IF(SUMPRODUCT($J$71:AX$71,$J46:AX46)&lt;0.5,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IF(SUMPRODUCT($J$71:BA$71,$J46:BA46)&lt;0.5,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IF(SUMPRODUCT($J$71:BD$71,$J46:BD46)&lt;0.5,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IF(SUMPRODUCT($J$71:BG$71,$J46:BG46)&lt;0.5,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IF(SUMPRODUCT($J$71:BJ$71,$J46:BJ46)&lt;0.5,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IF(SUMPRODUCT($J$71:BM$71,$J46:BM46)&lt;0.5,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IF(SUMPRODUCT($J$71:BP$71,$J46:BP46)&lt;0.5,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IF(SUMPRODUCT($J$71:BS$71,$J46:BS46)&lt;0.5,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IF(SUMPRODUCT($J$71:BV$71,$J46:BV46)&lt;0.5,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IF(SUMPRODUCT($J$71:BY$71,$J46:BY46)&lt;0.5,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IF(SUMPRODUCT($J$71:CB$71,$J46:CB46)&lt;0.5, "Pending", IF(CB46&lt;0.5, "Complete", "In Progress"))</f>
        <v>#REF!</v>
      </c>
      <c r="CD46" s="24"/>
      <c r="CE46" s="25">
        <f>SUMPRODUCT($H$71:AY$71,$H46:AY46)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117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IF(SUMPRODUCT($J$71:K$71,$J47:K47)&lt;0.5,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IF(SUMPRODUCT($J$71:N$71,$J47:N47)&lt;0.5,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IF(SUMPRODUCT($J$71:Q$71,$J47:Q47)&lt;0.5,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IF(SUMPRODUCT($J$71:T$71,$J47:T47)&lt;0.5,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IF(SUMPRODUCT($J$71:W$71,$J47:W47)&lt;0.5,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IF(SUMPRODUCT($J$71:Z$71,$J47:Z47)&lt;0.5,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IF(SUMPRODUCT($J$71:AC$71,$J47:AC47)&lt;0.5,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IF(SUMPRODUCT($J$71:AF$71,$J47:AF47)&lt;0.5,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IF(SUMPRODUCT($J$71:AI$71,$J47:AI47)&lt;0.5,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IF(SUMPRODUCT($J$71:AL$71,$J47:AL47)&lt;0.5,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IF(SUMPRODUCT($J$71:AO$71,$J47:AO47)&lt;0.5,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IF(SUMPRODUCT($J$71:AR$71,$J47:AR47)&lt;0.5,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IF(SUMPRODUCT($J$71:AU$71,$J47:AU47)&lt;0.5,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IF(SUMPRODUCT($J$71:AX$71,$J47:AX47)&lt;0.5,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IF(SUMPRODUCT($J$71:BA$71,$J47:BA47)&lt;0.5,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IF(SUMPRODUCT($J$71:BD$71,$J47:BD47)&lt;0.5,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IF(SUMPRODUCT($J$71:BG$71,$J47:BG47)&lt;0.5,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IF(SUMPRODUCT($J$71:BJ$71,$J47:BJ47)&lt;0.5,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IF(SUMPRODUCT($J$71:BM$71,$J47:BM47)&lt;0.5,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IF(SUMPRODUCT($J$71:BP$71,$J47:BP47)&lt;0.5,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IF(SUMPRODUCT($J$71:BS$71,$J47:BS47)&lt;0.5,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IF(SUMPRODUCT($J$71:BV$71,$J47:BV47)&lt;0.5,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IF(SUMPRODUCT($J$71:BY$71,$J47:BY47)&lt;0.5,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IF(SUMPRODUCT($J$71:CB$71,$J47:CB47)&lt;0.5, "Pending", IF(CB47&lt;0.5, "Complete", "In Progress"))</f>
        <v>#REF!</v>
      </c>
      <c r="CD47" s="24"/>
      <c r="CE47" s="25">
        <f>SUMPRODUCT($H$71:AY$71,$H47:AY47)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117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IF(SUMPRODUCT($J$71:K$71,$J48:K48)&lt;0.5,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IF(SUMPRODUCT($J$71:N$71,$J48:N48)&lt;0.5,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IF(SUMPRODUCT($J$71:Q$71,$J48:Q48)&lt;0.5,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IF(SUMPRODUCT($J$71:T$71,$J48:T48)&lt;0.5,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IF(SUMPRODUCT($J$71:W$71,$J48:W48)&lt;0.5,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IF(SUMPRODUCT($J$71:Z$71,$J48:Z48)&lt;0.5,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IF(SUMPRODUCT($J$71:AC$71,$J48:AC48)&lt;0.5,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IF(SUMPRODUCT($J$71:AF$71,$J48:AF48)&lt;0.5,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IF(SUMPRODUCT($J$71:AI$71,$J48:AI48)&lt;0.5,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IF(SUMPRODUCT($J$71:AL$71,$J48:AL48)&lt;0.5,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IF(SUMPRODUCT($J$71:AO$71,$J48:AO48)&lt;0.5,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IF(SUMPRODUCT($J$71:AR$71,$J48:AR48)&lt;0.5,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IF(SUMPRODUCT($J$71:AU$71,$J48:AU48)&lt;0.5,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IF(SUMPRODUCT($J$71:AX$71,$J48:AX48)&lt;0.5,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IF(SUMPRODUCT($J$71:BA$71,$J48:BA48)&lt;0.5,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IF(SUMPRODUCT($J$71:BD$71,$J48:BD48)&lt;0.5,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IF(SUMPRODUCT($J$71:BG$71,$J48:BG48)&lt;0.5,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IF(SUMPRODUCT($J$71:BJ$71,$J48:BJ48)&lt;0.5,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IF(SUMPRODUCT($J$71:BM$71,$J48:BM48)&lt;0.5,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IF(SUMPRODUCT($J$71:BP$71,$J48:BP48)&lt;0.5,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IF(SUMPRODUCT($J$71:BS$71,$J48:BS48)&lt;0.5,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IF(SUMPRODUCT($J$71:BV$71,$J48:BV48)&lt;0.5,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IF(SUMPRODUCT($J$71:BY$71,$J48:BY48)&lt;0.5,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IF(SUMPRODUCT($J$71:CB$71,$J48:CB48)&lt;0.5, "Pending", IF(CB48&lt;0.5, "Complete", "In Progress"))</f>
        <v>#REF!</v>
      </c>
      <c r="CD48" s="24"/>
      <c r="CE48" s="25">
        <f>SUMPRODUCT($H$71:AY$71,$H48:AY48)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117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IF(SUMPRODUCT($J$71:K$71,$J49:K49)&lt;0.5,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IF(SUMPRODUCT($J$71:N$71,$J49:N49)&lt;0.5,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IF(SUMPRODUCT($J$71:Q$71,$J49:Q49)&lt;0.5,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IF(SUMPRODUCT($J$71:T$71,$J49:T49)&lt;0.5,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IF(SUMPRODUCT($J$71:W$71,$J49:W49)&lt;0.5,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IF(SUMPRODUCT($J$71:Z$71,$J49:Z49)&lt;0.5,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IF(SUMPRODUCT($J$71:AC$71,$J49:AC49)&lt;0.5,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IF(SUMPRODUCT($J$71:AF$71,$J49:AF49)&lt;0.5,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IF(SUMPRODUCT($J$71:AI$71,$J49:AI49)&lt;0.5,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IF(SUMPRODUCT($J$71:AL$71,$J49:AL49)&lt;0.5,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IF(SUMPRODUCT($J$71:AO$71,$J49:AO49)&lt;0.5,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IF(SUMPRODUCT($J$71:AR$71,$J49:AR49)&lt;0.5,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IF(SUMPRODUCT($J$71:AU$71,$J49:AU49)&lt;0.5,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IF(SUMPRODUCT($J$71:AX$71,$J49:AX49)&lt;0.5,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IF(SUMPRODUCT($J$71:BA$71,$J49:BA49)&lt;0.5,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IF(SUMPRODUCT($J$71:BD$71,$J49:BD49)&lt;0.5,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IF(SUMPRODUCT($J$71:BG$71,$J49:BG49)&lt;0.5,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IF(SUMPRODUCT($J$71:BJ$71,$J49:BJ49)&lt;0.5,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IF(SUMPRODUCT($J$71:BM$71,$J49:BM49)&lt;0.5,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IF(SUMPRODUCT($J$71:BP$71,$J49:BP49)&lt;0.5,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IF(SUMPRODUCT($J$71:BS$71,$J49:BS49)&lt;0.5,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IF(SUMPRODUCT($J$71:BV$71,$J49:BV49)&lt;0.5,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IF(SUMPRODUCT($J$71:BY$71,$J49:BY49)&lt;0.5,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IF(SUMPRODUCT($J$71:CB$71,$J49:CB49)&lt;0.5, "Pending", IF(CB49&lt;0.5, "Complete", "In Progress"))</f>
        <v>#REF!</v>
      </c>
      <c r="CD49" s="24"/>
      <c r="CE49" s="25">
        <f>SUMPRODUCT($H$71:AY$71,$H49:AY49)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117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IF(SUMPRODUCT($J$71:K$71,$J50:K50)&lt;0.5,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IF(SUMPRODUCT($J$71:N$71,$J50:N50)&lt;0.5,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IF(SUMPRODUCT($J$71:Q$71,$J50:Q50)&lt;0.5,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IF(SUMPRODUCT($J$71:T$71,$J50:T50)&lt;0.5,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IF(SUMPRODUCT($J$71:W$71,$J50:W50)&lt;0.5,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IF(SUMPRODUCT($J$71:Z$71,$J50:Z50)&lt;0.5,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IF(SUMPRODUCT($J$71:AC$71,$J50:AC50)&lt;0.5,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IF(SUMPRODUCT($J$71:AF$71,$J50:AF50)&lt;0.5,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IF(SUMPRODUCT($J$71:AI$71,$J50:AI50)&lt;0.5,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IF(SUMPRODUCT($J$71:AL$71,$J50:AL50)&lt;0.5,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IF(SUMPRODUCT($J$71:AO$71,$J50:AO50)&lt;0.5,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IF(SUMPRODUCT($J$71:AR$71,$J50:AR50)&lt;0.5,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IF(SUMPRODUCT($J$71:AU$71,$J50:AU50)&lt;0.5,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IF(SUMPRODUCT($J$71:AX$71,$J50:AX50)&lt;0.5,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IF(SUMPRODUCT($J$71:BA$71,$J50:BA50)&lt;0.5,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IF(SUMPRODUCT($J$71:BD$71,$J50:BD50)&lt;0.5,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IF(SUMPRODUCT($J$71:BG$71,$J50:BG50)&lt;0.5,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IF(SUMPRODUCT($J$71:BJ$71,$J50:BJ50)&lt;0.5,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IF(SUMPRODUCT($J$71:BM$71,$J50:BM50)&lt;0.5,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IF(SUMPRODUCT($J$71:BP$71,$J50:BP50)&lt;0.5,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IF(SUMPRODUCT($J$71:BS$71,$J50:BS50)&lt;0.5,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IF(SUMPRODUCT($J$71:BV$71,$J50:BV50)&lt;0.5,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IF(SUMPRODUCT($J$71:BY$71,$J50:BY50)&lt;0.5,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IF(SUMPRODUCT($J$71:CB$71,$J50:CB50)&lt;0.5, "Pending", IF(CB50&lt;0.5, "Complete", "In Progress"))</f>
        <v>#REF!</v>
      </c>
      <c r="CD50" s="24"/>
      <c r="CE50" s="25">
        <f>SUMPRODUCT($H$71:AY$71,$H50:AY50)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117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IF(SUMPRODUCT($J$71:K$71,$J51:K51)&lt;0.5,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IF(SUMPRODUCT($J$71:N$71,$J51:N51)&lt;0.5,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IF(SUMPRODUCT($J$71:Q$71,$J51:Q51)&lt;0.5,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IF(SUMPRODUCT($J$71:T$71,$J51:T51)&lt;0.5,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IF(SUMPRODUCT($J$71:W$71,$J51:W51)&lt;0.5,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IF(SUMPRODUCT($J$71:Z$71,$J51:Z51)&lt;0.5,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IF(SUMPRODUCT($J$71:AC$71,$J51:AC51)&lt;0.5,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IF(SUMPRODUCT($J$71:AF$71,$J51:AF51)&lt;0.5,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IF(SUMPRODUCT($J$71:AI$71,$J51:AI51)&lt;0.5,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IF(SUMPRODUCT($J$71:AL$71,$J51:AL51)&lt;0.5,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IF(SUMPRODUCT($J$71:AO$71,$J51:AO51)&lt;0.5,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IF(SUMPRODUCT($J$71:AR$71,$J51:AR51)&lt;0.5,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IF(SUMPRODUCT($J$71:AU$71,$J51:AU51)&lt;0.5,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IF(SUMPRODUCT($J$71:AX$71,$J51:AX51)&lt;0.5,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IF(SUMPRODUCT($J$71:BA$71,$J51:BA51)&lt;0.5,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IF(SUMPRODUCT($J$71:BD$71,$J51:BD51)&lt;0.5,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IF(SUMPRODUCT($J$71:BG$71,$J51:BG51)&lt;0.5,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IF(SUMPRODUCT($J$71:BJ$71,$J51:BJ51)&lt;0.5,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IF(SUMPRODUCT($J$71:BM$71,$J51:BM51)&lt;0.5,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IF(SUMPRODUCT($J$71:BP$71,$J51:BP51)&lt;0.5,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IF(SUMPRODUCT($J$71:BS$71,$J51:BS51)&lt;0.5,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IF(SUMPRODUCT($J$71:BV$71,$J51:BV51)&lt;0.5,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IF(SUMPRODUCT($J$71:BY$71,$J51:BY51)&lt;0.5,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IF(SUMPRODUCT($J$71:CB$71,$J51:CB51)&lt;0.5, "Pending", IF(CB51&lt;0.5, "Complete", "In Progress"))</f>
        <v>#REF!</v>
      </c>
      <c r="CD51" s="24"/>
      <c r="CE51" s="25">
        <f>SUMPRODUCT($H$71:AY$71,$H51:AY51)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117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IF(SUMPRODUCT($J$71:K$71,$J52:K52)&lt;0.5,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IF(SUMPRODUCT($J$71:N$71,$J52:N52)&lt;0.5,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IF(SUMPRODUCT($J$71:Q$71,$J52:Q52)&lt;0.5,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IF(SUMPRODUCT($J$71:T$71,$J52:T52)&lt;0.5,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IF(SUMPRODUCT($J$71:W$71,$J52:W52)&lt;0.5,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IF(SUMPRODUCT($J$71:Z$71,$J52:Z52)&lt;0.5,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IF(SUMPRODUCT($J$71:AC$71,$J52:AC52)&lt;0.5,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IF(SUMPRODUCT($J$71:AF$71,$J52:AF52)&lt;0.5,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IF(SUMPRODUCT($J$71:AI$71,$J52:AI52)&lt;0.5,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IF(SUMPRODUCT($J$71:AL$71,$J52:AL52)&lt;0.5,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IF(SUMPRODUCT($J$71:AO$71,$J52:AO52)&lt;0.5,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IF(SUMPRODUCT($J$71:AR$71,$J52:AR52)&lt;0.5,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IF(SUMPRODUCT($J$71:AU$71,$J52:AU52)&lt;0.5,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IF(SUMPRODUCT($J$71:AX$71,$J52:AX52)&lt;0.5,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IF(SUMPRODUCT($J$71:BA$71,$J52:BA52)&lt;0.5,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IF(SUMPRODUCT($J$71:BD$71,$J52:BD52)&lt;0.5,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IF(SUMPRODUCT($J$71:BG$71,$J52:BG52)&lt;0.5,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IF(SUMPRODUCT($J$71:BJ$71,$J52:BJ52)&lt;0.5,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IF(SUMPRODUCT($J$71:BM$71,$J52:BM52)&lt;0.5,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IF(SUMPRODUCT($J$71:BP$71,$J52:BP52)&lt;0.5,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IF(SUMPRODUCT($J$71:BS$71,$J52:BS52)&lt;0.5,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IF(SUMPRODUCT($J$71:BV$71,$J52:BV52)&lt;0.5,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IF(SUMPRODUCT($J$71:BY$71,$J52:BY52)&lt;0.5,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IF(SUMPRODUCT($J$71:CB$71,$J52:CB52)&lt;0.5, "Pending", IF(CB52&lt;0.5, "Complete", "In Progress"))</f>
        <v>#REF!</v>
      </c>
      <c r="CD52" s="24"/>
      <c r="CE52" s="25">
        <f>SUMPRODUCT($H$71:AY$71,$H52:AY52)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117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IF(SUMPRODUCT($J$71:K$71,$J53:K53)&lt;0.5,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IF(SUMPRODUCT($J$71:N$71,$J53:N53)&lt;0.5,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IF(SUMPRODUCT($J$71:Q$71,$J53:Q53)&lt;0.5,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IF(SUMPRODUCT($J$71:T$71,$J53:T53)&lt;0.5,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IF(SUMPRODUCT($J$71:W$71,$J53:W53)&lt;0.5,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IF(SUMPRODUCT($J$71:Z$71,$J53:Z53)&lt;0.5,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IF(SUMPRODUCT($J$71:AC$71,$J53:AC53)&lt;0.5,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IF(SUMPRODUCT($J$71:AF$71,$J53:AF53)&lt;0.5,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IF(SUMPRODUCT($J$71:AI$71,$J53:AI53)&lt;0.5,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IF(SUMPRODUCT($J$71:AL$71,$J53:AL53)&lt;0.5,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IF(SUMPRODUCT($J$71:AO$71,$J53:AO53)&lt;0.5,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IF(SUMPRODUCT($J$71:AR$71,$J53:AR53)&lt;0.5,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IF(SUMPRODUCT($J$71:AU$71,$J53:AU53)&lt;0.5,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IF(SUMPRODUCT($J$71:AX$71,$J53:AX53)&lt;0.5,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IF(SUMPRODUCT($J$71:BA$71,$J53:BA53)&lt;0.5,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IF(SUMPRODUCT($J$71:BD$71,$J53:BD53)&lt;0.5,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IF(SUMPRODUCT($J$71:BG$71,$J53:BG53)&lt;0.5,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IF(SUMPRODUCT($J$71:BJ$71,$J53:BJ53)&lt;0.5,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IF(SUMPRODUCT($J$71:BM$71,$J53:BM53)&lt;0.5,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IF(SUMPRODUCT($J$71:BP$71,$J53:BP53)&lt;0.5,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IF(SUMPRODUCT($J$71:BS$71,$J53:BS53)&lt;0.5,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IF(SUMPRODUCT($J$71:BV$71,$J53:BV53)&lt;0.5,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IF(SUMPRODUCT($J$71:BY$71,$J53:BY53)&lt;0.5,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IF(SUMPRODUCT($J$71:CB$71,$J53:CB53)&lt;0.5, "Pending", IF(CB53&lt;0.5, "Complete", "In Progress"))</f>
        <v>#REF!</v>
      </c>
      <c r="CD53" s="24"/>
      <c r="CE53" s="25">
        <f>SUMPRODUCT($H$71:AY$71,$H53:AY53)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117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IF(SUMPRODUCT($J$71:K$71,$J54:K54)&lt;0.5,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IF(SUMPRODUCT($J$71:N$71,$J54:N54)&lt;0.5,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IF(SUMPRODUCT($J$71:Q$71,$J54:Q54)&lt;0.5,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IF(SUMPRODUCT($J$71:T$71,$J54:T54)&lt;0.5,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IF(SUMPRODUCT($J$71:W$71,$J54:W54)&lt;0.5,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IF(SUMPRODUCT($J$71:Z$71,$J54:Z54)&lt;0.5,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IF(SUMPRODUCT($J$71:AC$71,$J54:AC54)&lt;0.5,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IF(SUMPRODUCT($J$71:AF$71,$J54:AF54)&lt;0.5,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IF(SUMPRODUCT($J$71:AI$71,$J54:AI54)&lt;0.5,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IF(SUMPRODUCT($J$71:AL$71,$J54:AL54)&lt;0.5,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IF(SUMPRODUCT($J$71:AO$71,$J54:AO54)&lt;0.5,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IF(SUMPRODUCT($J$71:AR$71,$J54:AR54)&lt;0.5,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IF(SUMPRODUCT($J$71:AU$71,$J54:AU54)&lt;0.5,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IF(SUMPRODUCT($J$71:AX$71,$J54:AX54)&lt;0.5,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IF(SUMPRODUCT($J$71:BA$71,$J54:BA54)&lt;0.5,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IF(SUMPRODUCT($J$71:BD$71,$J54:BD54)&lt;0.5,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IF(SUMPRODUCT($J$71:BG$71,$J54:BG54)&lt;0.5,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IF(SUMPRODUCT($J$71:BJ$71,$J54:BJ54)&lt;0.5,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IF(SUMPRODUCT($J$71:BM$71,$J54:BM54)&lt;0.5,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IF(SUMPRODUCT($J$71:BP$71,$J54:BP54)&lt;0.5,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IF(SUMPRODUCT($J$71:BS$71,$J54:BS54)&lt;0.5,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IF(SUMPRODUCT($J$71:BV$71,$J54:BV54)&lt;0.5,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IF(SUMPRODUCT($J$71:BY$71,$J54:BY54)&lt;0.5,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IF(SUMPRODUCT($J$71:CB$71,$J54:CB54)&lt;0.5, "Pending", IF(CB54&lt;0.5, "Complete", "In Progress"))</f>
        <v>#REF!</v>
      </c>
      <c r="CD54" s="24"/>
      <c r="CE54" s="25">
        <f>SUMPRODUCT($H$71:AY$71,$H54:AY54)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117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IF(SUMPRODUCT($J$71:K$71,$J55:K55)&lt;0.5,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IF(SUMPRODUCT($J$71:N$71,$J55:N55)&lt;0.5,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IF(SUMPRODUCT($J$71:Q$71,$J55:Q55)&lt;0.5,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IF(SUMPRODUCT($J$71:T$71,$J55:T55)&lt;0.5,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IF(SUMPRODUCT($J$71:W$71,$J55:W55)&lt;0.5,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IF(SUMPRODUCT($J$71:Z$71,$J55:Z55)&lt;0.5,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IF(SUMPRODUCT($J$71:AC$71,$J55:AC55)&lt;0.5,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IF(SUMPRODUCT($J$71:AF$71,$J55:AF55)&lt;0.5,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IF(SUMPRODUCT($J$71:AI$71,$J55:AI55)&lt;0.5,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IF(SUMPRODUCT($J$71:AL$71,$J55:AL55)&lt;0.5,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IF(SUMPRODUCT($J$71:AO$71,$J55:AO55)&lt;0.5,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IF(SUMPRODUCT($J$71:AR$71,$J55:AR55)&lt;0.5,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IF(SUMPRODUCT($J$71:AU$71,$J55:AU55)&lt;0.5,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IF(SUMPRODUCT($J$71:AX$71,$J55:AX55)&lt;0.5,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IF(SUMPRODUCT($J$71:BA$71,$J55:BA55)&lt;0.5,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IF(SUMPRODUCT($J$71:BD$71,$J55:BD55)&lt;0.5,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IF(SUMPRODUCT($J$71:BG$71,$J55:BG55)&lt;0.5,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IF(SUMPRODUCT($J$71:BJ$71,$J55:BJ55)&lt;0.5,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IF(SUMPRODUCT($J$71:BM$71,$J55:BM55)&lt;0.5,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IF(SUMPRODUCT($J$71:BP$71,$J55:BP55)&lt;0.5,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IF(SUMPRODUCT($J$71:BS$71,$J55:BS55)&lt;0.5,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IF(SUMPRODUCT($J$71:BV$71,$J55:BV55)&lt;0.5,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IF(SUMPRODUCT($J$71:BY$71,$J55:BY55)&lt;0.5,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IF(SUMPRODUCT($J$71:CB$71,$J55:CB55)&lt;0.5, "Pending", IF(CB55&lt;0.5, "Complete", "In Progress"))</f>
        <v>#REF!</v>
      </c>
      <c r="CD55" s="24"/>
      <c r="CE55" s="25">
        <f>SUMPRODUCT($H$71:AY$71,$H55:AY55)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117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IF(SUMPRODUCT($J$71:K$71,$J56:K56)&lt;0.5,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IF(SUMPRODUCT($J$71:N$71,$J56:N56)&lt;0.5,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IF(SUMPRODUCT($J$71:Q$71,$J56:Q56)&lt;0.5,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IF(SUMPRODUCT($J$71:T$71,$J56:T56)&lt;0.5,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IF(SUMPRODUCT($J$71:W$71,$J56:W56)&lt;0.5,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IF(SUMPRODUCT($J$71:Z$71,$J56:Z56)&lt;0.5,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IF(SUMPRODUCT($J$71:AC$71,$J56:AC56)&lt;0.5,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IF(SUMPRODUCT($J$71:AF$71,$J56:AF56)&lt;0.5,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IF(SUMPRODUCT($J$71:AI$71,$J56:AI56)&lt;0.5,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IF(SUMPRODUCT($J$71:AL$71,$J56:AL56)&lt;0.5,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IF(SUMPRODUCT($J$71:AO$71,$J56:AO56)&lt;0.5,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IF(SUMPRODUCT($J$71:AR$71,$J56:AR56)&lt;0.5,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IF(SUMPRODUCT($J$71:AU$71,$J56:AU56)&lt;0.5,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IF(SUMPRODUCT($J$71:AX$71,$J56:AX56)&lt;0.5,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IF(SUMPRODUCT($J$71:BA$71,$J56:BA56)&lt;0.5,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IF(SUMPRODUCT($J$71:BD$71,$J56:BD56)&lt;0.5,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IF(SUMPRODUCT($J$71:BG$71,$J56:BG56)&lt;0.5,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IF(SUMPRODUCT($J$71:BJ$71,$J56:BJ56)&lt;0.5,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IF(SUMPRODUCT($J$71:BM$71,$J56:BM56)&lt;0.5,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IF(SUMPRODUCT($J$71:BP$71,$J56:BP56)&lt;0.5,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IF(SUMPRODUCT($J$71:BS$71,$J56:BS56)&lt;0.5,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IF(SUMPRODUCT($J$71:BV$71,$J56:BV56)&lt;0.5,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IF(SUMPRODUCT($J$71:BY$71,$J56:BY56)&lt;0.5,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IF(SUMPRODUCT($J$71:CB$71,$J56:CB56)&lt;0.5, "Pending", IF(CB56&lt;0.5, "Complete", "In Progress"))</f>
        <v>#REF!</v>
      </c>
      <c r="CD56" s="24"/>
      <c r="CE56" s="25">
        <f>SUMPRODUCT($H$71:AY$71,$H56:AY56)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117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IF(SUMPRODUCT($J$71:K$71,$J57:K57)&lt;0.5,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IF(SUMPRODUCT($J$71:N$71,$J57:N57)&lt;0.5,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IF(SUMPRODUCT($J$71:Q$71,$J57:Q57)&lt;0.5,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IF(SUMPRODUCT($J$71:T$71,$J57:T57)&lt;0.5,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IF(SUMPRODUCT($J$71:W$71,$J57:W57)&lt;0.5,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IF(SUMPRODUCT($J$71:Z$71,$J57:Z57)&lt;0.5,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IF(SUMPRODUCT($J$71:AC$71,$J57:AC57)&lt;0.5,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IF(SUMPRODUCT($J$71:AF$71,$J57:AF57)&lt;0.5,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IF(SUMPRODUCT($J$71:AI$71,$J57:AI57)&lt;0.5,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IF(SUMPRODUCT($J$71:AL$71,$J57:AL57)&lt;0.5,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IF(SUMPRODUCT($J$71:AO$71,$J57:AO57)&lt;0.5,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IF(SUMPRODUCT($J$71:AR$71,$J57:AR57)&lt;0.5,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IF(SUMPRODUCT($J$71:AU$71,$J57:AU57)&lt;0.5,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IF(SUMPRODUCT($J$71:AX$71,$J57:AX57)&lt;0.5,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IF(SUMPRODUCT($J$71:BA$71,$J57:BA57)&lt;0.5,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IF(SUMPRODUCT($J$71:BD$71,$J57:BD57)&lt;0.5,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IF(SUMPRODUCT($J$71:BG$71,$J57:BG57)&lt;0.5,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IF(SUMPRODUCT($J$71:BJ$71,$J57:BJ57)&lt;0.5,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IF(SUMPRODUCT($J$71:BM$71,$J57:BM57)&lt;0.5,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IF(SUMPRODUCT($J$71:BP$71,$J57:BP57)&lt;0.5,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IF(SUMPRODUCT($J$71:BS$71,$J57:BS57)&lt;0.5,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IF(SUMPRODUCT($J$71:BV$71,$J57:BV57)&lt;0.5,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IF(SUMPRODUCT($J$71:BY$71,$J57:BY57)&lt;0.5,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IF(SUMPRODUCT($J$71:CB$71,$J57:CB57)&lt;0.5, "Pending", IF(CB57&lt;0.5, "Complete", "In Progress"))</f>
        <v>#REF!</v>
      </c>
      <c r="CD57" s="24"/>
      <c r="CE57" s="25">
        <f>SUMPRODUCT($H$71:AY$71,$H57:AY57)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117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IF(SUMPRODUCT($J$71:K$71,$J58:K58)&lt;0.5,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IF(SUMPRODUCT($J$71:N$71,$J58:N58)&lt;0.5,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IF(SUMPRODUCT($J$71:Q$71,$J58:Q58)&lt;0.5,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IF(SUMPRODUCT($J$71:T$71,$J58:T58)&lt;0.5,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IF(SUMPRODUCT($J$71:W$71,$J58:W58)&lt;0.5,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IF(SUMPRODUCT($J$71:Z$71,$J58:Z58)&lt;0.5,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IF(SUMPRODUCT($J$71:AC$71,$J58:AC58)&lt;0.5,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IF(SUMPRODUCT($J$71:AF$71,$J58:AF58)&lt;0.5,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IF(SUMPRODUCT($J$71:AI$71,$J58:AI58)&lt;0.5,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IF(SUMPRODUCT($J$71:AL$71,$J58:AL58)&lt;0.5,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IF(SUMPRODUCT($J$71:AO$71,$J58:AO58)&lt;0.5,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IF(SUMPRODUCT($J$71:AR$71,$J58:AR58)&lt;0.5,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IF(SUMPRODUCT($J$71:AU$71,$J58:AU58)&lt;0.5,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IF(SUMPRODUCT($J$71:AX$71,$J58:AX58)&lt;0.5,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IF(SUMPRODUCT($J$71:BA$71,$J58:BA58)&lt;0.5,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IF(SUMPRODUCT($J$71:BD$71,$J58:BD58)&lt;0.5,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IF(SUMPRODUCT($J$71:BG$71,$J58:BG58)&lt;0.5,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IF(SUMPRODUCT($J$71:BJ$71,$J58:BJ58)&lt;0.5,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IF(SUMPRODUCT($J$71:BM$71,$J58:BM58)&lt;0.5,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IF(SUMPRODUCT($J$71:BP$71,$J58:BP58)&lt;0.5,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IF(SUMPRODUCT($J$71:BS$71,$J58:BS58)&lt;0.5,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IF(SUMPRODUCT($J$71:BV$71,$J58:BV58)&lt;0.5,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IF(SUMPRODUCT($J$71:BY$71,$J58:BY58)&lt;0.5,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IF(SUMPRODUCT($J$71:CB$71,$J58:CB58)&lt;0.5, "Pending", IF(CB58&lt;0.5, "Complete", "In Progress"))</f>
        <v>#REF!</v>
      </c>
      <c r="CD58" s="24"/>
      <c r="CE58" s="25">
        <f>SUMPRODUCT($H$71:AY$71,$H58:AY58)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117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IF(SUMPRODUCT($J$71:K$71,$J59:K59)&lt;0.5,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IF(SUMPRODUCT($J$71:N$71,$J59:N59)&lt;0.5,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IF(SUMPRODUCT($J$71:Q$71,$J59:Q59)&lt;0.5,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IF(SUMPRODUCT($J$71:T$71,$J59:T59)&lt;0.5,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IF(SUMPRODUCT($J$71:W$71,$J59:W59)&lt;0.5,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IF(SUMPRODUCT($J$71:Z$71,$J59:Z59)&lt;0.5,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IF(SUMPRODUCT($J$71:AC$71,$J59:AC59)&lt;0.5,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IF(SUMPRODUCT($J$71:AF$71,$J59:AF59)&lt;0.5,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IF(SUMPRODUCT($J$71:AI$71,$J59:AI59)&lt;0.5,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IF(SUMPRODUCT($J$71:AL$71,$J59:AL59)&lt;0.5,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IF(SUMPRODUCT($J$71:AO$71,$J59:AO59)&lt;0.5,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IF(SUMPRODUCT($J$71:AR$71,$J59:AR59)&lt;0.5,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IF(SUMPRODUCT($J$71:AU$71,$J59:AU59)&lt;0.5,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IF(SUMPRODUCT($J$71:AX$71,$J59:AX59)&lt;0.5,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IF(SUMPRODUCT($J$71:BA$71,$J59:BA59)&lt;0.5,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IF(SUMPRODUCT($J$71:BD$71,$J59:BD59)&lt;0.5,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IF(SUMPRODUCT($J$71:BG$71,$J59:BG59)&lt;0.5,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IF(SUMPRODUCT($J$71:BJ$71,$J59:BJ59)&lt;0.5,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IF(SUMPRODUCT($J$71:BM$71,$J59:BM59)&lt;0.5,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IF(SUMPRODUCT($J$71:BP$71,$J59:BP59)&lt;0.5,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IF(SUMPRODUCT($J$71:BS$71,$J59:BS59)&lt;0.5,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IF(SUMPRODUCT($J$71:BV$71,$J59:BV59)&lt;0.5,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IF(SUMPRODUCT($J$71:BY$71,$J59:BY59)&lt;0.5,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IF(SUMPRODUCT($J$71:CB$71,$J59:CB59)&lt;0.5, "Pending", IF(CB59&lt;0.5, "Complete", "In Progress"))</f>
        <v>#REF!</v>
      </c>
      <c r="CD59" s="24"/>
      <c r="CE59" s="25">
        <f>SUMPRODUCT($H$71:AY$71,$H59:AY59)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117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IF(SUMPRODUCT($J$71:K$71,$J60:K60)&lt;0.5,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IF(SUMPRODUCT($J$71:N$71,$J60:N60)&lt;0.5,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IF(SUMPRODUCT($J$71:Q$71,$J60:Q60)&lt;0.5,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IF(SUMPRODUCT($J$71:T$71,$J60:T60)&lt;0.5,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IF(SUMPRODUCT($J$71:W$71,$J60:W60)&lt;0.5,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IF(SUMPRODUCT($J$71:Z$71,$J60:Z60)&lt;0.5,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IF(SUMPRODUCT($J$71:AC$71,$J60:AC60)&lt;0.5,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IF(SUMPRODUCT($J$71:AF$71,$J60:AF60)&lt;0.5,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IF(SUMPRODUCT($J$71:AI$71,$J60:AI60)&lt;0.5,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IF(SUMPRODUCT($J$71:AL$71,$J60:AL60)&lt;0.5,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IF(SUMPRODUCT($J$71:AO$71,$J60:AO60)&lt;0.5,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IF(SUMPRODUCT($J$71:AR$71,$J60:AR60)&lt;0.5,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IF(SUMPRODUCT($J$71:AU$71,$J60:AU60)&lt;0.5,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IF(SUMPRODUCT($J$71:AX$71,$J60:AX60)&lt;0.5,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IF(SUMPRODUCT($J$71:BA$71,$J60:BA60)&lt;0.5,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IF(SUMPRODUCT($J$71:BD$71,$J60:BD60)&lt;0.5,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IF(SUMPRODUCT($J$71:BG$71,$J60:BG60)&lt;0.5,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IF(SUMPRODUCT($J$71:BJ$71,$J60:BJ60)&lt;0.5,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IF(SUMPRODUCT($J$71:BM$71,$J60:BM60)&lt;0.5,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IF(SUMPRODUCT($J$71:BP$71,$J60:BP60)&lt;0.5,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IF(SUMPRODUCT($J$71:BS$71,$J60:BS60)&lt;0.5,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IF(SUMPRODUCT($J$71:BV$71,$J60:BV60)&lt;0.5,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IF(SUMPRODUCT($J$71:BY$71,$J60:BY60)&lt;0.5,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IF(SUMPRODUCT($J$71:CB$71,$J60:CB60)&lt;0.5, "Pending", IF(CB60&lt;0.5, "Complete", "In Progress"))</f>
        <v>#REF!</v>
      </c>
      <c r="CD60" s="24"/>
      <c r="CE60" s="25">
        <f>SUMPRODUCT($H$71:AY$71,$H60:AY60)</f>
        <v>0</v>
      </c>
    </row>
    <row r="61" spans="1:83" x14ac:dyDescent="0.2">
      <c r="A61" s="16"/>
      <c r="B61" s="16"/>
      <c r="C61" s="16"/>
      <c r="D61" s="17"/>
      <c r="E61" s="178"/>
      <c r="F61" s="18" t="s">
        <v>117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24"/>
        <v>0</v>
      </c>
      <c r="L61" s="23" t="str">
        <f>IF(SUMPRODUCT($J$71:K$71,$J61:K61)&lt;0.5, "Pending", IF(K61&lt;0.5, "Complete", "In Progress"))</f>
        <v>Pending</v>
      </c>
      <c r="M61" s="22">
        <v>0</v>
      </c>
      <c r="N61" s="22">
        <f t="shared" si="25"/>
        <v>0</v>
      </c>
      <c r="O61" s="23" t="str">
        <f>IF(SUMPRODUCT($J$71:N$71,$J61:N61)&lt;0.5, "Pending", IF(N61&lt;0.5, "Complete", "In Progress"))</f>
        <v>Pending</v>
      </c>
      <c r="P61" s="22">
        <v>0</v>
      </c>
      <c r="Q61" s="22">
        <f t="shared" si="26"/>
        <v>0</v>
      </c>
      <c r="R61" s="23" t="str">
        <f>IF(SUMPRODUCT($J$71:Q$71,$J61:Q61)&lt;0.5, "Pending", IF(Q61&lt;0.5, "Complete", "In Progress"))</f>
        <v>Pending</v>
      </c>
      <c r="S61" s="22">
        <v>0</v>
      </c>
      <c r="T61" s="22">
        <f t="shared" si="27"/>
        <v>0</v>
      </c>
      <c r="U61" s="23" t="str">
        <f>IF(SUMPRODUCT($J$71:T$71,$J61:T61)&lt;0.5, "Pending", IF(T61&lt;0.5, "Complete", "In Progress"))</f>
        <v>Pending</v>
      </c>
      <c r="V61" s="22">
        <v>0</v>
      </c>
      <c r="W61" s="22">
        <f t="shared" si="28"/>
        <v>0</v>
      </c>
      <c r="X61" s="23" t="str">
        <f>IF(SUMPRODUCT($J$71:W$71,$J61:W61)&lt;0.5, "Pending", IF(W61&lt;0.5, "Complete", "In Progress"))</f>
        <v>Pending</v>
      </c>
      <c r="Y61" s="22">
        <v>0</v>
      </c>
      <c r="Z61" s="22">
        <f t="shared" si="29"/>
        <v>0</v>
      </c>
      <c r="AA61" s="23" t="str">
        <f>IF(SUMPRODUCT($J$71:Z$71,$J61:Z61)&lt;0.5, "Pending", IF(Z61&lt;0.5, "Complete", "In Progress"))</f>
        <v>Pending</v>
      </c>
      <c r="AB61" s="22">
        <v>0</v>
      </c>
      <c r="AC61" s="22">
        <f t="shared" si="30"/>
        <v>0</v>
      </c>
      <c r="AD61" s="23" t="str">
        <f>IF(SUMPRODUCT($J$71:AC$71,$J61:AC61)&lt;0.5, "Pending", IF(AC61&lt;0.5, "Complete", "In Progress"))</f>
        <v>Pending</v>
      </c>
      <c r="AE61" s="22">
        <v>0</v>
      </c>
      <c r="AF61" s="22">
        <f t="shared" si="31"/>
        <v>0</v>
      </c>
      <c r="AG61" s="23" t="str">
        <f>IF(SUMPRODUCT($J$71:AF$71,$J61:AF61)&lt;0.5, "Pending", IF(AF61&lt;0.5, "Complete", "In Progress"))</f>
        <v>Pending</v>
      </c>
      <c r="AH61" s="22">
        <v>0</v>
      </c>
      <c r="AI61" s="22">
        <f t="shared" si="32"/>
        <v>0</v>
      </c>
      <c r="AJ61" s="23" t="str">
        <f>IF(SUMPRODUCT($J$71:AI$71,$J61:AI61)&lt;0.5, "Pending", IF(AI61&lt;0.5, "Complete", "In Progress"))</f>
        <v>Pending</v>
      </c>
      <c r="AK61" s="22">
        <v>0</v>
      </c>
      <c r="AL61" s="22">
        <f t="shared" si="33"/>
        <v>0</v>
      </c>
      <c r="AM61" s="23" t="str">
        <f>IF(SUMPRODUCT($J$71:AL$71,$J61:AL61)&lt;0.5, "Pending", IF(AL61&lt;0.5, "Complete", "In Progress"))</f>
        <v>Pending</v>
      </c>
      <c r="AN61" s="22">
        <v>0</v>
      </c>
      <c r="AO61" s="22">
        <f t="shared" si="34"/>
        <v>0</v>
      </c>
      <c r="AP61" s="23" t="str">
        <f>IF(SUMPRODUCT($J$71:AO$71,$J61:AO61)&lt;0.5, "Pending", IF(AO61&lt;0.5, "Complete", "In Progress"))</f>
        <v>Pending</v>
      </c>
      <c r="AQ61" s="22">
        <v>0</v>
      </c>
      <c r="AR61" s="22">
        <f t="shared" si="35"/>
        <v>0</v>
      </c>
      <c r="AS61" s="23" t="str">
        <f>IF(SUMPRODUCT($J$71:AR$71,$J61:AR61)&lt;0.5, "Pending", IF(AR61&lt;0.5, "Complete", "In Progress"))</f>
        <v>Pending</v>
      </c>
      <c r="AT61" s="22">
        <v>0</v>
      </c>
      <c r="AU61" s="22">
        <f t="shared" si="36"/>
        <v>0</v>
      </c>
      <c r="AV61" s="23" t="str">
        <f>IF(SUMPRODUCT($J$71:AU$71,$J61:AU61)&lt;0.5, "Pending", IF(AU61&lt;0.5, "Complete", "In Progress"))</f>
        <v>Pending</v>
      </c>
      <c r="AW61" s="22">
        <v>0</v>
      </c>
      <c r="AX61" s="22">
        <f t="shared" si="37"/>
        <v>0</v>
      </c>
      <c r="AY61" s="23" t="str">
        <f>IF(SUMPRODUCT($J$71:AX$71,$J61:AX61)&lt;0.5,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IF(SUMPRODUCT($J$71:BA$71,$J61:BA61)&lt;0.5, "Pending", IF(BA61&lt;0.5, "Complete", "In Progress"))</f>
        <v>#REF!</v>
      </c>
      <c r="BC61" s="22">
        <v>0</v>
      </c>
      <c r="BD61" s="22" t="e">
        <f t="shared" si="38"/>
        <v>#REF!</v>
      </c>
      <c r="BE61" s="23" t="e">
        <f>IF(SUMPRODUCT($J$71:BD$71,$J61:BD61)&lt;0.5, "Pending", IF(BD61&lt;0.5, "Complete", "In Progress"))</f>
        <v>#REF!</v>
      </c>
      <c r="BF61" s="22">
        <v>0</v>
      </c>
      <c r="BG61" s="22" t="e">
        <f t="shared" si="39"/>
        <v>#REF!</v>
      </c>
      <c r="BH61" s="23" t="e">
        <f>IF(SUMPRODUCT($J$71:BG$71,$J61:BG61)&lt;0.5, "Pending", IF(BG61&lt;0.5, "Complete", "In Progress"))</f>
        <v>#REF!</v>
      </c>
      <c r="BI61" s="22">
        <v>0</v>
      </c>
      <c r="BJ61" s="22" t="e">
        <f t="shared" si="40"/>
        <v>#REF!</v>
      </c>
      <c r="BK61" s="23" t="e">
        <f>IF(SUMPRODUCT($J$71:BJ$71,$J61:BJ61)&lt;0.5, "Pending", IF(BJ61&lt;0.5, "Complete", "In Progress"))</f>
        <v>#REF!</v>
      </c>
      <c r="BL61" s="22">
        <v>0</v>
      </c>
      <c r="BM61" s="22" t="e">
        <f t="shared" si="41"/>
        <v>#REF!</v>
      </c>
      <c r="BN61" s="23" t="e">
        <f>IF(SUMPRODUCT($J$71:BM$71,$J61:BM61)&lt;0.5, "Pending", IF(BM61&lt;0.5, "Complete", "In Progress"))</f>
        <v>#REF!</v>
      </c>
      <c r="BO61" s="22">
        <v>0</v>
      </c>
      <c r="BP61" s="22" t="e">
        <f t="shared" si="42"/>
        <v>#REF!</v>
      </c>
      <c r="BQ61" s="23" t="e">
        <f>IF(SUMPRODUCT($J$71:BP$71,$J61:BP61)&lt;0.5, "Pending", IF(BP61&lt;0.5, "Complete", "In Progress"))</f>
        <v>#REF!</v>
      </c>
      <c r="BR61" s="22">
        <v>0</v>
      </c>
      <c r="BS61" s="22" t="e">
        <f t="shared" si="43"/>
        <v>#REF!</v>
      </c>
      <c r="BT61" s="23" t="e">
        <f>IF(SUMPRODUCT($J$71:BS$71,$J61:BS61)&lt;0.5, "Pending", IF(BS61&lt;0.5, "Complete", "In Progress"))</f>
        <v>#REF!</v>
      </c>
      <c r="BU61" s="22">
        <v>0</v>
      </c>
      <c r="BV61" s="22" t="e">
        <f t="shared" si="44"/>
        <v>#REF!</v>
      </c>
      <c r="BW61" s="23" t="e">
        <f>IF(SUMPRODUCT($J$71:BV$71,$J61:BV61)&lt;0.5, "Pending", IF(BV61&lt;0.5, "Complete", "In Progress"))</f>
        <v>#REF!</v>
      </c>
      <c r="BX61" s="22">
        <v>0</v>
      </c>
      <c r="BY61" s="22" t="e">
        <f t="shared" si="45"/>
        <v>#REF!</v>
      </c>
      <c r="BZ61" s="23" t="e">
        <f>IF(SUMPRODUCT($J$71:BY$71,$J61:BY61)&lt;0.5, "Pending", IF(BY61&lt;0.5, "Complete", "In Progress"))</f>
        <v>#REF!</v>
      </c>
      <c r="CA61" s="22">
        <v>0</v>
      </c>
      <c r="CB61" s="22" t="e">
        <f t="shared" si="46"/>
        <v>#REF!</v>
      </c>
      <c r="CC61" s="23" t="e">
        <f>IF(SUMPRODUCT($J$71:CB$71,$J61:CB61)&lt;0.5, "Pending", IF(CB61&lt;0.5, "Complete", "In Progress"))</f>
        <v>#REF!</v>
      </c>
      <c r="CD61" s="24"/>
      <c r="CE61" s="25">
        <f>SUMPRODUCT($H$71:AY$71,$H61:AY61)</f>
        <v>0</v>
      </c>
    </row>
    <row r="62" spans="1:83" x14ac:dyDescent="0.2">
      <c r="A62" s="16"/>
      <c r="B62" s="16"/>
      <c r="C62" s="16"/>
      <c r="D62" s="17"/>
      <c r="E62" s="178"/>
      <c r="F62" s="18" t="s">
        <v>117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24"/>
        <v>0</v>
      </c>
      <c r="L62" s="23" t="str">
        <f>IF(SUMPRODUCT($J$71:K$71,$J62:K62)&lt;0.5, "Pending", IF(K62&lt;0.5, "Complete", "In Progress"))</f>
        <v>Pending</v>
      </c>
      <c r="M62" s="22">
        <v>0</v>
      </c>
      <c r="N62" s="22">
        <f t="shared" si="25"/>
        <v>0</v>
      </c>
      <c r="O62" s="23" t="str">
        <f>IF(SUMPRODUCT($J$71:N$71,$J62:N62)&lt;0.5, "Pending", IF(N62&lt;0.5, "Complete", "In Progress"))</f>
        <v>Pending</v>
      </c>
      <c r="P62" s="22">
        <v>0</v>
      </c>
      <c r="Q62" s="22">
        <f t="shared" si="26"/>
        <v>0</v>
      </c>
      <c r="R62" s="23" t="str">
        <f>IF(SUMPRODUCT($J$71:Q$71,$J62:Q62)&lt;0.5, "Pending", IF(Q62&lt;0.5, "Complete", "In Progress"))</f>
        <v>Pending</v>
      </c>
      <c r="S62" s="22">
        <v>0</v>
      </c>
      <c r="T62" s="22">
        <f t="shared" si="27"/>
        <v>0</v>
      </c>
      <c r="U62" s="23" t="str">
        <f>IF(SUMPRODUCT($J$71:T$71,$J62:T62)&lt;0.5, "Pending", IF(T62&lt;0.5, "Complete", "In Progress"))</f>
        <v>Pending</v>
      </c>
      <c r="V62" s="22">
        <v>0</v>
      </c>
      <c r="W62" s="22">
        <f t="shared" si="28"/>
        <v>0</v>
      </c>
      <c r="X62" s="23" t="str">
        <f>IF(SUMPRODUCT($J$71:W$71,$J62:W62)&lt;0.5, "Pending", IF(W62&lt;0.5, "Complete", "In Progress"))</f>
        <v>Pending</v>
      </c>
      <c r="Y62" s="22">
        <v>0</v>
      </c>
      <c r="Z62" s="22">
        <f t="shared" si="29"/>
        <v>0</v>
      </c>
      <c r="AA62" s="23" t="str">
        <f>IF(SUMPRODUCT($J$71:Z$71,$J62:Z62)&lt;0.5, "Pending", IF(Z62&lt;0.5, "Complete", "In Progress"))</f>
        <v>Pending</v>
      </c>
      <c r="AB62" s="22">
        <v>0</v>
      </c>
      <c r="AC62" s="22">
        <f t="shared" si="30"/>
        <v>0</v>
      </c>
      <c r="AD62" s="23" t="str">
        <f>IF(SUMPRODUCT($J$71:AC$71,$J62:AC62)&lt;0.5, "Pending", IF(AC62&lt;0.5, "Complete", "In Progress"))</f>
        <v>Pending</v>
      </c>
      <c r="AE62" s="22">
        <v>0</v>
      </c>
      <c r="AF62" s="22">
        <f t="shared" si="31"/>
        <v>0</v>
      </c>
      <c r="AG62" s="23" t="str">
        <f>IF(SUMPRODUCT($J$71:AF$71,$J62:AF62)&lt;0.5, "Pending", IF(AF62&lt;0.5, "Complete", "In Progress"))</f>
        <v>Pending</v>
      </c>
      <c r="AH62" s="22">
        <v>0</v>
      </c>
      <c r="AI62" s="22">
        <f t="shared" si="32"/>
        <v>0</v>
      </c>
      <c r="AJ62" s="23" t="str">
        <f>IF(SUMPRODUCT($J$71:AI$71,$J62:AI62)&lt;0.5, "Pending", IF(AI62&lt;0.5, "Complete", "In Progress"))</f>
        <v>Pending</v>
      </c>
      <c r="AK62" s="22">
        <v>0</v>
      </c>
      <c r="AL62" s="22">
        <f t="shared" si="33"/>
        <v>0</v>
      </c>
      <c r="AM62" s="23" t="str">
        <f>IF(SUMPRODUCT($J$71:AL$71,$J62:AL62)&lt;0.5, "Pending", IF(AL62&lt;0.5, "Complete", "In Progress"))</f>
        <v>Pending</v>
      </c>
      <c r="AN62" s="22">
        <v>0</v>
      </c>
      <c r="AO62" s="22">
        <f t="shared" si="34"/>
        <v>0</v>
      </c>
      <c r="AP62" s="23" t="str">
        <f>IF(SUMPRODUCT($J$71:AO$71,$J62:AO62)&lt;0.5, "Pending", IF(AO62&lt;0.5, "Complete", "In Progress"))</f>
        <v>Pending</v>
      </c>
      <c r="AQ62" s="22">
        <v>0</v>
      </c>
      <c r="AR62" s="22">
        <f t="shared" si="35"/>
        <v>0</v>
      </c>
      <c r="AS62" s="23" t="str">
        <f>IF(SUMPRODUCT($J$71:AR$71,$J62:AR62)&lt;0.5, "Pending", IF(AR62&lt;0.5, "Complete", "In Progress"))</f>
        <v>Pending</v>
      </c>
      <c r="AT62" s="22">
        <v>0</v>
      </c>
      <c r="AU62" s="22">
        <f t="shared" si="36"/>
        <v>0</v>
      </c>
      <c r="AV62" s="23" t="str">
        <f>IF(SUMPRODUCT($J$71:AU$71,$J62:AU62)&lt;0.5, "Pending", IF(AU62&lt;0.5, "Complete", "In Progress"))</f>
        <v>Pending</v>
      </c>
      <c r="AW62" s="22">
        <v>0</v>
      </c>
      <c r="AX62" s="22">
        <f t="shared" si="37"/>
        <v>0</v>
      </c>
      <c r="AY62" s="23" t="str">
        <f>IF(SUMPRODUCT($J$71:AX$71,$J62:AX62)&lt;0.5,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IF(SUMPRODUCT($J$71:BA$71,$J62:BA62)&lt;0.5, "Pending", IF(BA62&lt;0.5, "Complete", "In Progress"))</f>
        <v>#REF!</v>
      </c>
      <c r="BC62" s="22">
        <v>0</v>
      </c>
      <c r="BD62" s="22" t="e">
        <f t="shared" si="38"/>
        <v>#REF!</v>
      </c>
      <c r="BE62" s="23" t="e">
        <f>IF(SUMPRODUCT($J$71:BD$71,$J62:BD62)&lt;0.5, "Pending", IF(BD62&lt;0.5, "Complete", "In Progress"))</f>
        <v>#REF!</v>
      </c>
      <c r="BF62" s="22">
        <v>0</v>
      </c>
      <c r="BG62" s="22" t="e">
        <f t="shared" si="39"/>
        <v>#REF!</v>
      </c>
      <c r="BH62" s="23" t="e">
        <f>IF(SUMPRODUCT($J$71:BG$71,$J62:BG62)&lt;0.5, "Pending", IF(BG62&lt;0.5, "Complete", "In Progress"))</f>
        <v>#REF!</v>
      </c>
      <c r="BI62" s="22">
        <v>0</v>
      </c>
      <c r="BJ62" s="22" t="e">
        <f t="shared" si="40"/>
        <v>#REF!</v>
      </c>
      <c r="BK62" s="23" t="e">
        <f>IF(SUMPRODUCT($J$71:BJ$71,$J62:BJ62)&lt;0.5, "Pending", IF(BJ62&lt;0.5, "Complete", "In Progress"))</f>
        <v>#REF!</v>
      </c>
      <c r="BL62" s="22">
        <v>0</v>
      </c>
      <c r="BM62" s="22" t="e">
        <f t="shared" si="41"/>
        <v>#REF!</v>
      </c>
      <c r="BN62" s="23" t="e">
        <f>IF(SUMPRODUCT($J$71:BM$71,$J62:BM62)&lt;0.5, "Pending", IF(BM62&lt;0.5, "Complete", "In Progress"))</f>
        <v>#REF!</v>
      </c>
      <c r="BO62" s="22">
        <v>0</v>
      </c>
      <c r="BP62" s="22" t="e">
        <f t="shared" si="42"/>
        <v>#REF!</v>
      </c>
      <c r="BQ62" s="23" t="e">
        <f>IF(SUMPRODUCT($J$71:BP$71,$J62:BP62)&lt;0.5, "Pending", IF(BP62&lt;0.5, "Complete", "In Progress"))</f>
        <v>#REF!</v>
      </c>
      <c r="BR62" s="22">
        <v>0</v>
      </c>
      <c r="BS62" s="22" t="e">
        <f t="shared" si="43"/>
        <v>#REF!</v>
      </c>
      <c r="BT62" s="23" t="e">
        <f>IF(SUMPRODUCT($J$71:BS$71,$J62:BS62)&lt;0.5, "Pending", IF(BS62&lt;0.5, "Complete", "In Progress"))</f>
        <v>#REF!</v>
      </c>
      <c r="BU62" s="22">
        <v>0</v>
      </c>
      <c r="BV62" s="22" t="e">
        <f t="shared" si="44"/>
        <v>#REF!</v>
      </c>
      <c r="BW62" s="23" t="e">
        <f>IF(SUMPRODUCT($J$71:BV$71,$J62:BV62)&lt;0.5, "Pending", IF(BV62&lt;0.5, "Complete", "In Progress"))</f>
        <v>#REF!</v>
      </c>
      <c r="BX62" s="22">
        <v>0</v>
      </c>
      <c r="BY62" s="22" t="e">
        <f t="shared" si="45"/>
        <v>#REF!</v>
      </c>
      <c r="BZ62" s="23" t="e">
        <f>IF(SUMPRODUCT($J$71:BY$71,$J62:BY62)&lt;0.5, "Pending", IF(BY62&lt;0.5, "Complete", "In Progress"))</f>
        <v>#REF!</v>
      </c>
      <c r="CA62" s="22">
        <v>0</v>
      </c>
      <c r="CB62" s="22" t="e">
        <f t="shared" si="46"/>
        <v>#REF!</v>
      </c>
      <c r="CC62" s="23" t="e">
        <f>IF(SUMPRODUCT($J$71:CB$71,$J62:CB62)&lt;0.5, "Pending", IF(CB62&lt;0.5, "Complete", "In Progress"))</f>
        <v>#REF!</v>
      </c>
      <c r="CD62" s="24"/>
      <c r="CE62" s="25">
        <f>SUMPRODUCT($H$71:AY$71,$H62:AY62)</f>
        <v>0</v>
      </c>
    </row>
    <row r="63" spans="1:83" x14ac:dyDescent="0.2">
      <c r="A63" s="16"/>
      <c r="B63" s="16"/>
      <c r="C63" s="16"/>
      <c r="D63" s="17"/>
      <c r="E63" s="178"/>
      <c r="F63" s="18" t="s">
        <v>117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24"/>
        <v>0</v>
      </c>
      <c r="L63" s="23" t="str">
        <f>IF(SUMPRODUCT($J$71:K$71,$J63:K63)&lt;0.5, "Pending", IF(K63&lt;0.5, "Complete", "In Progress"))</f>
        <v>Pending</v>
      </c>
      <c r="M63" s="22">
        <v>0</v>
      </c>
      <c r="N63" s="22">
        <f t="shared" si="25"/>
        <v>0</v>
      </c>
      <c r="O63" s="23" t="str">
        <f>IF(SUMPRODUCT($J$71:N$71,$J63:N63)&lt;0.5, "Pending", IF(N63&lt;0.5, "Complete", "In Progress"))</f>
        <v>Pending</v>
      </c>
      <c r="P63" s="22">
        <v>0</v>
      </c>
      <c r="Q63" s="22">
        <f t="shared" si="26"/>
        <v>0</v>
      </c>
      <c r="R63" s="23" t="str">
        <f>IF(SUMPRODUCT($J$71:Q$71,$J63:Q63)&lt;0.5, "Pending", IF(Q63&lt;0.5, "Complete", "In Progress"))</f>
        <v>Pending</v>
      </c>
      <c r="S63" s="22">
        <v>0</v>
      </c>
      <c r="T63" s="22">
        <f t="shared" si="27"/>
        <v>0</v>
      </c>
      <c r="U63" s="23" t="str">
        <f>IF(SUMPRODUCT($J$71:T$71,$J63:T63)&lt;0.5, "Pending", IF(T63&lt;0.5, "Complete", "In Progress"))</f>
        <v>Pending</v>
      </c>
      <c r="V63" s="22">
        <v>0</v>
      </c>
      <c r="W63" s="22">
        <f t="shared" si="28"/>
        <v>0</v>
      </c>
      <c r="X63" s="23" t="str">
        <f>IF(SUMPRODUCT($J$71:W$71,$J63:W63)&lt;0.5, "Pending", IF(W63&lt;0.5, "Complete", "In Progress"))</f>
        <v>Pending</v>
      </c>
      <c r="Y63" s="22">
        <v>0</v>
      </c>
      <c r="Z63" s="22">
        <f t="shared" si="29"/>
        <v>0</v>
      </c>
      <c r="AA63" s="23" t="str">
        <f>IF(SUMPRODUCT($J$71:Z$71,$J63:Z63)&lt;0.5, "Pending", IF(Z63&lt;0.5, "Complete", "In Progress"))</f>
        <v>Pending</v>
      </c>
      <c r="AB63" s="22">
        <v>0</v>
      </c>
      <c r="AC63" s="22">
        <f t="shared" si="30"/>
        <v>0</v>
      </c>
      <c r="AD63" s="23" t="str">
        <f>IF(SUMPRODUCT($J$71:AC$71,$J63:AC63)&lt;0.5, "Pending", IF(AC63&lt;0.5, "Complete", "In Progress"))</f>
        <v>Pending</v>
      </c>
      <c r="AE63" s="22">
        <v>0</v>
      </c>
      <c r="AF63" s="22">
        <f t="shared" si="31"/>
        <v>0</v>
      </c>
      <c r="AG63" s="23" t="str">
        <f>IF(SUMPRODUCT($J$71:AF$71,$J63:AF63)&lt;0.5, "Pending", IF(AF63&lt;0.5, "Complete", "In Progress"))</f>
        <v>Pending</v>
      </c>
      <c r="AH63" s="22">
        <v>0</v>
      </c>
      <c r="AI63" s="22">
        <f t="shared" si="32"/>
        <v>0</v>
      </c>
      <c r="AJ63" s="23" t="str">
        <f>IF(SUMPRODUCT($J$71:AI$71,$J63:AI63)&lt;0.5, "Pending", IF(AI63&lt;0.5, "Complete", "In Progress"))</f>
        <v>Pending</v>
      </c>
      <c r="AK63" s="22">
        <v>0</v>
      </c>
      <c r="AL63" s="22">
        <f t="shared" si="33"/>
        <v>0</v>
      </c>
      <c r="AM63" s="23" t="str">
        <f>IF(SUMPRODUCT($J$71:AL$71,$J63:AL63)&lt;0.5, "Pending", IF(AL63&lt;0.5, "Complete", "In Progress"))</f>
        <v>Pending</v>
      </c>
      <c r="AN63" s="22">
        <v>0</v>
      </c>
      <c r="AO63" s="22">
        <f t="shared" si="34"/>
        <v>0</v>
      </c>
      <c r="AP63" s="23" t="str">
        <f>IF(SUMPRODUCT($J$71:AO$71,$J63:AO63)&lt;0.5, "Pending", IF(AO63&lt;0.5, "Complete", "In Progress"))</f>
        <v>Pending</v>
      </c>
      <c r="AQ63" s="22">
        <v>0</v>
      </c>
      <c r="AR63" s="22">
        <f t="shared" si="35"/>
        <v>0</v>
      </c>
      <c r="AS63" s="23" t="str">
        <f>IF(SUMPRODUCT($J$71:AR$71,$J63:AR63)&lt;0.5, "Pending", IF(AR63&lt;0.5, "Complete", "In Progress"))</f>
        <v>Pending</v>
      </c>
      <c r="AT63" s="22">
        <v>0</v>
      </c>
      <c r="AU63" s="22">
        <f t="shared" si="36"/>
        <v>0</v>
      </c>
      <c r="AV63" s="23" t="str">
        <f>IF(SUMPRODUCT($J$71:AU$71,$J63:AU63)&lt;0.5, "Pending", IF(AU63&lt;0.5, "Complete", "In Progress"))</f>
        <v>Pending</v>
      </c>
      <c r="AW63" s="22">
        <v>0</v>
      </c>
      <c r="AX63" s="22">
        <f t="shared" si="37"/>
        <v>0</v>
      </c>
      <c r="AY63" s="23" t="str">
        <f>IF(SUMPRODUCT($J$71:AX$71,$J63:AX63)&lt;0.5,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IF(SUMPRODUCT($J$71:BA$71,$J63:BA63)&lt;0.5, "Pending", IF(BA63&lt;0.5, "Complete", "In Progress"))</f>
        <v>#REF!</v>
      </c>
      <c r="BC63" s="22">
        <v>0</v>
      </c>
      <c r="BD63" s="22" t="e">
        <f t="shared" si="38"/>
        <v>#REF!</v>
      </c>
      <c r="BE63" s="23" t="e">
        <f>IF(SUMPRODUCT($J$71:BD$71,$J63:BD63)&lt;0.5, "Pending", IF(BD63&lt;0.5, "Complete", "In Progress"))</f>
        <v>#REF!</v>
      </c>
      <c r="BF63" s="22">
        <v>0</v>
      </c>
      <c r="BG63" s="22" t="e">
        <f t="shared" si="39"/>
        <v>#REF!</v>
      </c>
      <c r="BH63" s="23" t="e">
        <f>IF(SUMPRODUCT($J$71:BG$71,$J63:BG63)&lt;0.5, "Pending", IF(BG63&lt;0.5, "Complete", "In Progress"))</f>
        <v>#REF!</v>
      </c>
      <c r="BI63" s="22">
        <v>0</v>
      </c>
      <c r="BJ63" s="22" t="e">
        <f t="shared" si="40"/>
        <v>#REF!</v>
      </c>
      <c r="BK63" s="23" t="e">
        <f>IF(SUMPRODUCT($J$71:BJ$71,$J63:BJ63)&lt;0.5, "Pending", IF(BJ63&lt;0.5, "Complete", "In Progress"))</f>
        <v>#REF!</v>
      </c>
      <c r="BL63" s="22">
        <v>0</v>
      </c>
      <c r="BM63" s="22" t="e">
        <f t="shared" si="41"/>
        <v>#REF!</v>
      </c>
      <c r="BN63" s="23" t="e">
        <f>IF(SUMPRODUCT($J$71:BM$71,$J63:BM63)&lt;0.5, "Pending", IF(BM63&lt;0.5, "Complete", "In Progress"))</f>
        <v>#REF!</v>
      </c>
      <c r="BO63" s="22">
        <v>0</v>
      </c>
      <c r="BP63" s="22" t="e">
        <f t="shared" si="42"/>
        <v>#REF!</v>
      </c>
      <c r="BQ63" s="23" t="e">
        <f>IF(SUMPRODUCT($J$71:BP$71,$J63:BP63)&lt;0.5, "Pending", IF(BP63&lt;0.5, "Complete", "In Progress"))</f>
        <v>#REF!</v>
      </c>
      <c r="BR63" s="22">
        <v>0</v>
      </c>
      <c r="BS63" s="22" t="e">
        <f t="shared" si="43"/>
        <v>#REF!</v>
      </c>
      <c r="BT63" s="23" t="e">
        <f>IF(SUMPRODUCT($J$71:BS$71,$J63:BS63)&lt;0.5, "Pending", IF(BS63&lt;0.5, "Complete", "In Progress"))</f>
        <v>#REF!</v>
      </c>
      <c r="BU63" s="22">
        <v>0</v>
      </c>
      <c r="BV63" s="22" t="e">
        <f t="shared" si="44"/>
        <v>#REF!</v>
      </c>
      <c r="BW63" s="23" t="e">
        <f>IF(SUMPRODUCT($J$71:BV$71,$J63:BV63)&lt;0.5, "Pending", IF(BV63&lt;0.5, "Complete", "In Progress"))</f>
        <v>#REF!</v>
      </c>
      <c r="BX63" s="22">
        <v>0</v>
      </c>
      <c r="BY63" s="22" t="e">
        <f t="shared" si="45"/>
        <v>#REF!</v>
      </c>
      <c r="BZ63" s="23" t="e">
        <f>IF(SUMPRODUCT($J$71:BY$71,$J63:BY63)&lt;0.5, "Pending", IF(BY63&lt;0.5, "Complete", "In Progress"))</f>
        <v>#REF!</v>
      </c>
      <c r="CA63" s="22">
        <v>0</v>
      </c>
      <c r="CB63" s="22" t="e">
        <f t="shared" si="46"/>
        <v>#REF!</v>
      </c>
      <c r="CC63" s="23" t="e">
        <f>IF(SUMPRODUCT($J$71:CB$71,$J63:CB63)&lt;0.5, "Pending", IF(CB63&lt;0.5, "Complete", "In Progress"))</f>
        <v>#REF!</v>
      </c>
      <c r="CD63" s="24"/>
      <c r="CE63" s="25">
        <f>SUMPRODUCT($H$71:AY$71,$H63:AY63)</f>
        <v>0</v>
      </c>
    </row>
    <row r="64" spans="1:83" x14ac:dyDescent="0.2">
      <c r="A64" s="16"/>
      <c r="B64" s="16"/>
      <c r="C64" s="16"/>
      <c r="D64" s="17"/>
      <c r="E64" s="178"/>
      <c r="F64" s="18" t="s">
        <v>117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24"/>
        <v>0</v>
      </c>
      <c r="L64" s="23" t="str">
        <f>IF(SUMPRODUCT($J$71:K$71,$J64:K64)&lt;0.5, "Pending", IF(K64&lt;0.5, "Complete", "In Progress"))</f>
        <v>Pending</v>
      </c>
      <c r="M64" s="22">
        <v>0</v>
      </c>
      <c r="N64" s="22">
        <f t="shared" si="25"/>
        <v>0</v>
      </c>
      <c r="O64" s="23" t="str">
        <f>IF(SUMPRODUCT($J$71:N$71,$J64:N64)&lt;0.5, "Pending", IF(N64&lt;0.5, "Complete", "In Progress"))</f>
        <v>Pending</v>
      </c>
      <c r="P64" s="22">
        <v>0</v>
      </c>
      <c r="Q64" s="22">
        <f t="shared" si="26"/>
        <v>0</v>
      </c>
      <c r="R64" s="23" t="str">
        <f>IF(SUMPRODUCT($J$71:Q$71,$J64:Q64)&lt;0.5, "Pending", IF(Q64&lt;0.5, "Complete", "In Progress"))</f>
        <v>Pending</v>
      </c>
      <c r="S64" s="22">
        <v>0</v>
      </c>
      <c r="T64" s="22">
        <f t="shared" si="27"/>
        <v>0</v>
      </c>
      <c r="U64" s="23" t="str">
        <f>IF(SUMPRODUCT($J$71:T$71,$J64:T64)&lt;0.5, "Pending", IF(T64&lt;0.5, "Complete", "In Progress"))</f>
        <v>Pending</v>
      </c>
      <c r="V64" s="22">
        <v>0</v>
      </c>
      <c r="W64" s="22">
        <f t="shared" si="28"/>
        <v>0</v>
      </c>
      <c r="X64" s="23" t="str">
        <f>IF(SUMPRODUCT($J$71:W$71,$J64:W64)&lt;0.5, "Pending", IF(W64&lt;0.5, "Complete", "In Progress"))</f>
        <v>Pending</v>
      </c>
      <c r="Y64" s="22">
        <v>0</v>
      </c>
      <c r="Z64" s="22">
        <f t="shared" si="29"/>
        <v>0</v>
      </c>
      <c r="AA64" s="23" t="str">
        <f>IF(SUMPRODUCT($J$71:Z$71,$J64:Z64)&lt;0.5, "Pending", IF(Z64&lt;0.5, "Complete", "In Progress"))</f>
        <v>Pending</v>
      </c>
      <c r="AB64" s="22">
        <v>0</v>
      </c>
      <c r="AC64" s="22">
        <f t="shared" si="30"/>
        <v>0</v>
      </c>
      <c r="AD64" s="23" t="str">
        <f>IF(SUMPRODUCT($J$71:AC$71,$J64:AC64)&lt;0.5, "Pending", IF(AC64&lt;0.5, "Complete", "In Progress"))</f>
        <v>Pending</v>
      </c>
      <c r="AE64" s="22">
        <v>0</v>
      </c>
      <c r="AF64" s="22">
        <f t="shared" si="31"/>
        <v>0</v>
      </c>
      <c r="AG64" s="23" t="str">
        <f>IF(SUMPRODUCT($J$71:AF$71,$J64:AF64)&lt;0.5, "Pending", IF(AF64&lt;0.5, "Complete", "In Progress"))</f>
        <v>Pending</v>
      </c>
      <c r="AH64" s="22">
        <v>0</v>
      </c>
      <c r="AI64" s="22">
        <f t="shared" si="32"/>
        <v>0</v>
      </c>
      <c r="AJ64" s="23" t="str">
        <f>IF(SUMPRODUCT($J$71:AI$71,$J64:AI64)&lt;0.5, "Pending", IF(AI64&lt;0.5, "Complete", "In Progress"))</f>
        <v>Pending</v>
      </c>
      <c r="AK64" s="22">
        <v>0</v>
      </c>
      <c r="AL64" s="22">
        <f t="shared" si="33"/>
        <v>0</v>
      </c>
      <c r="AM64" s="23" t="str">
        <f>IF(SUMPRODUCT($J$71:AL$71,$J64:AL64)&lt;0.5, "Pending", IF(AL64&lt;0.5, "Complete", "In Progress"))</f>
        <v>Pending</v>
      </c>
      <c r="AN64" s="22">
        <v>0</v>
      </c>
      <c r="AO64" s="22">
        <f t="shared" si="34"/>
        <v>0</v>
      </c>
      <c r="AP64" s="23" t="str">
        <f>IF(SUMPRODUCT($J$71:AO$71,$J64:AO64)&lt;0.5, "Pending", IF(AO64&lt;0.5, "Complete", "In Progress"))</f>
        <v>Pending</v>
      </c>
      <c r="AQ64" s="22">
        <v>0</v>
      </c>
      <c r="AR64" s="22">
        <f t="shared" si="35"/>
        <v>0</v>
      </c>
      <c r="AS64" s="23" t="str">
        <f>IF(SUMPRODUCT($J$71:AR$71,$J64:AR64)&lt;0.5, "Pending", IF(AR64&lt;0.5, "Complete", "In Progress"))</f>
        <v>Pending</v>
      </c>
      <c r="AT64" s="22">
        <v>0</v>
      </c>
      <c r="AU64" s="22">
        <f t="shared" si="36"/>
        <v>0</v>
      </c>
      <c r="AV64" s="23" t="str">
        <f>IF(SUMPRODUCT($J$71:AU$71,$J64:AU64)&lt;0.5, "Pending", IF(AU64&lt;0.5, "Complete", "In Progress"))</f>
        <v>Pending</v>
      </c>
      <c r="AW64" s="22">
        <v>0</v>
      </c>
      <c r="AX64" s="22">
        <f t="shared" si="37"/>
        <v>0</v>
      </c>
      <c r="AY64" s="23" t="str">
        <f>IF(SUMPRODUCT($J$71:AX$71,$J64:AX64)&lt;0.5,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IF(SUMPRODUCT($J$71:BA$71,$J64:BA64)&lt;0.5, "Pending", IF(BA64&lt;0.5, "Complete", "In Progress"))</f>
        <v>#REF!</v>
      </c>
      <c r="BC64" s="22">
        <v>0</v>
      </c>
      <c r="BD64" s="22" t="e">
        <f t="shared" si="38"/>
        <v>#REF!</v>
      </c>
      <c r="BE64" s="23" t="e">
        <f>IF(SUMPRODUCT($J$71:BD$71,$J64:BD64)&lt;0.5, "Pending", IF(BD64&lt;0.5, "Complete", "In Progress"))</f>
        <v>#REF!</v>
      </c>
      <c r="BF64" s="22">
        <v>0</v>
      </c>
      <c r="BG64" s="22" t="e">
        <f t="shared" si="39"/>
        <v>#REF!</v>
      </c>
      <c r="BH64" s="23" t="e">
        <f>IF(SUMPRODUCT($J$71:BG$71,$J64:BG64)&lt;0.5, "Pending", IF(BG64&lt;0.5, "Complete", "In Progress"))</f>
        <v>#REF!</v>
      </c>
      <c r="BI64" s="22">
        <v>0</v>
      </c>
      <c r="BJ64" s="22" t="e">
        <f t="shared" si="40"/>
        <v>#REF!</v>
      </c>
      <c r="BK64" s="23" t="e">
        <f>IF(SUMPRODUCT($J$71:BJ$71,$J64:BJ64)&lt;0.5, "Pending", IF(BJ64&lt;0.5, "Complete", "In Progress"))</f>
        <v>#REF!</v>
      </c>
      <c r="BL64" s="22">
        <v>0</v>
      </c>
      <c r="BM64" s="22" t="e">
        <f t="shared" si="41"/>
        <v>#REF!</v>
      </c>
      <c r="BN64" s="23" t="e">
        <f>IF(SUMPRODUCT($J$71:BM$71,$J64:BM64)&lt;0.5, "Pending", IF(BM64&lt;0.5, "Complete", "In Progress"))</f>
        <v>#REF!</v>
      </c>
      <c r="BO64" s="22">
        <v>0</v>
      </c>
      <c r="BP64" s="22" t="e">
        <f t="shared" si="42"/>
        <v>#REF!</v>
      </c>
      <c r="BQ64" s="23" t="e">
        <f>IF(SUMPRODUCT($J$71:BP$71,$J64:BP64)&lt;0.5, "Pending", IF(BP64&lt;0.5, "Complete", "In Progress"))</f>
        <v>#REF!</v>
      </c>
      <c r="BR64" s="22">
        <v>0</v>
      </c>
      <c r="BS64" s="22" t="e">
        <f t="shared" si="43"/>
        <v>#REF!</v>
      </c>
      <c r="BT64" s="23" t="e">
        <f>IF(SUMPRODUCT($J$71:BS$71,$J64:BS64)&lt;0.5, "Pending", IF(BS64&lt;0.5, "Complete", "In Progress"))</f>
        <v>#REF!</v>
      </c>
      <c r="BU64" s="22">
        <v>0</v>
      </c>
      <c r="BV64" s="22" t="e">
        <f t="shared" si="44"/>
        <v>#REF!</v>
      </c>
      <c r="BW64" s="23" t="e">
        <f>IF(SUMPRODUCT($J$71:BV$71,$J64:BV64)&lt;0.5, "Pending", IF(BV64&lt;0.5, "Complete", "In Progress"))</f>
        <v>#REF!</v>
      </c>
      <c r="BX64" s="22">
        <v>0</v>
      </c>
      <c r="BY64" s="22" t="e">
        <f t="shared" si="45"/>
        <v>#REF!</v>
      </c>
      <c r="BZ64" s="23" t="e">
        <f>IF(SUMPRODUCT($J$71:BY$71,$J64:BY64)&lt;0.5, "Pending", IF(BY64&lt;0.5, "Complete", "In Progress"))</f>
        <v>#REF!</v>
      </c>
      <c r="CA64" s="22">
        <v>0</v>
      </c>
      <c r="CB64" s="22" t="e">
        <f t="shared" si="46"/>
        <v>#REF!</v>
      </c>
      <c r="CC64" s="23" t="e">
        <f>IF(SUMPRODUCT($J$71:CB$71,$J64:CB64)&lt;0.5, "Pending", IF(CB64&lt;0.5, "Complete", "In Progress"))</f>
        <v>#REF!</v>
      </c>
      <c r="CD64" s="24"/>
      <c r="CE64" s="25">
        <f>SUMPRODUCT($H$71:AY$71,$H64:AY64)</f>
        <v>0</v>
      </c>
    </row>
    <row r="65" spans="1:83" x14ac:dyDescent="0.2">
      <c r="A65" s="16"/>
      <c r="B65" s="16"/>
      <c r="C65" s="16"/>
      <c r="D65" s="17"/>
      <c r="E65" s="178"/>
      <c r="F65" s="18" t="s">
        <v>117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24"/>
        <v>0</v>
      </c>
      <c r="L65" s="23" t="str">
        <f>IF(SUMPRODUCT($J$71:K$71,$J65:K65)&lt;0.5, "Pending", IF(K65&lt;0.5, "Complete", "In Progress"))</f>
        <v>Pending</v>
      </c>
      <c r="M65" s="22">
        <v>0</v>
      </c>
      <c r="N65" s="22">
        <f t="shared" si="25"/>
        <v>0</v>
      </c>
      <c r="O65" s="23" t="str">
        <f>IF(SUMPRODUCT($J$71:N$71,$J65:N65)&lt;0.5, "Pending", IF(N65&lt;0.5, "Complete", "In Progress"))</f>
        <v>Pending</v>
      </c>
      <c r="P65" s="22">
        <v>0</v>
      </c>
      <c r="Q65" s="22">
        <f t="shared" si="26"/>
        <v>0</v>
      </c>
      <c r="R65" s="23" t="str">
        <f>IF(SUMPRODUCT($J$71:Q$71,$J65:Q65)&lt;0.5, "Pending", IF(Q65&lt;0.5, "Complete", "In Progress"))</f>
        <v>Pending</v>
      </c>
      <c r="S65" s="22">
        <v>0</v>
      </c>
      <c r="T65" s="22">
        <f t="shared" si="27"/>
        <v>0</v>
      </c>
      <c r="U65" s="23" t="str">
        <f>IF(SUMPRODUCT($J$71:T$71,$J65:T65)&lt;0.5, "Pending", IF(T65&lt;0.5, "Complete", "In Progress"))</f>
        <v>Pending</v>
      </c>
      <c r="V65" s="22">
        <v>0</v>
      </c>
      <c r="W65" s="22">
        <f t="shared" si="28"/>
        <v>0</v>
      </c>
      <c r="X65" s="23" t="str">
        <f>IF(SUMPRODUCT($J$71:W$71,$J65:W65)&lt;0.5, "Pending", IF(W65&lt;0.5, "Complete", "In Progress"))</f>
        <v>Pending</v>
      </c>
      <c r="Y65" s="22">
        <v>0</v>
      </c>
      <c r="Z65" s="22">
        <f t="shared" si="29"/>
        <v>0</v>
      </c>
      <c r="AA65" s="23" t="str">
        <f>IF(SUMPRODUCT($J$71:Z$71,$J65:Z65)&lt;0.5, "Pending", IF(Z65&lt;0.5, "Complete", "In Progress"))</f>
        <v>Pending</v>
      </c>
      <c r="AB65" s="22">
        <v>0</v>
      </c>
      <c r="AC65" s="22">
        <f t="shared" si="30"/>
        <v>0</v>
      </c>
      <c r="AD65" s="23" t="str">
        <f>IF(SUMPRODUCT($J$71:AC$71,$J65:AC65)&lt;0.5, "Pending", IF(AC65&lt;0.5, "Complete", "In Progress"))</f>
        <v>Pending</v>
      </c>
      <c r="AE65" s="22">
        <v>0</v>
      </c>
      <c r="AF65" s="22">
        <f t="shared" si="31"/>
        <v>0</v>
      </c>
      <c r="AG65" s="23" t="str">
        <f>IF(SUMPRODUCT($J$71:AF$71,$J65:AF65)&lt;0.5, "Pending", IF(AF65&lt;0.5, "Complete", "In Progress"))</f>
        <v>Pending</v>
      </c>
      <c r="AH65" s="22">
        <v>0</v>
      </c>
      <c r="AI65" s="22">
        <f t="shared" si="32"/>
        <v>0</v>
      </c>
      <c r="AJ65" s="23" t="str">
        <f>IF(SUMPRODUCT($J$71:AI$71,$J65:AI65)&lt;0.5, "Pending", IF(AI65&lt;0.5, "Complete", "In Progress"))</f>
        <v>Pending</v>
      </c>
      <c r="AK65" s="22">
        <v>0</v>
      </c>
      <c r="AL65" s="22">
        <f t="shared" si="33"/>
        <v>0</v>
      </c>
      <c r="AM65" s="23" t="str">
        <f>IF(SUMPRODUCT($J$71:AL$71,$J65:AL65)&lt;0.5, "Pending", IF(AL65&lt;0.5, "Complete", "In Progress"))</f>
        <v>Pending</v>
      </c>
      <c r="AN65" s="22">
        <v>0</v>
      </c>
      <c r="AO65" s="22">
        <f t="shared" si="34"/>
        <v>0</v>
      </c>
      <c r="AP65" s="23" t="str">
        <f>IF(SUMPRODUCT($J$71:AO$71,$J65:AO65)&lt;0.5, "Pending", IF(AO65&lt;0.5, "Complete", "In Progress"))</f>
        <v>Pending</v>
      </c>
      <c r="AQ65" s="22">
        <v>0</v>
      </c>
      <c r="AR65" s="22">
        <f t="shared" si="35"/>
        <v>0</v>
      </c>
      <c r="AS65" s="23" t="str">
        <f>IF(SUMPRODUCT($J$71:AR$71,$J65:AR65)&lt;0.5, "Pending", IF(AR65&lt;0.5, "Complete", "In Progress"))</f>
        <v>Pending</v>
      </c>
      <c r="AT65" s="22">
        <v>0</v>
      </c>
      <c r="AU65" s="22">
        <f t="shared" si="36"/>
        <v>0</v>
      </c>
      <c r="AV65" s="23" t="str">
        <f>IF(SUMPRODUCT($J$71:AU$71,$J65:AU65)&lt;0.5, "Pending", IF(AU65&lt;0.5, "Complete", "In Progress"))</f>
        <v>Pending</v>
      </c>
      <c r="AW65" s="22">
        <v>0</v>
      </c>
      <c r="AX65" s="22">
        <f t="shared" si="37"/>
        <v>0</v>
      </c>
      <c r="AY65" s="23" t="str">
        <f>IF(SUMPRODUCT($J$71:AX$71,$J65:AX65)&lt;0.5,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IF(SUMPRODUCT($J$71:BA$71,$J65:BA65)&lt;0.5, "Pending", IF(BA65&lt;0.5, "Complete", "In Progress"))</f>
        <v>#REF!</v>
      </c>
      <c r="BC65" s="22">
        <v>0</v>
      </c>
      <c r="BD65" s="22" t="e">
        <f t="shared" si="38"/>
        <v>#REF!</v>
      </c>
      <c r="BE65" s="23" t="e">
        <f>IF(SUMPRODUCT($J$71:BD$71,$J65:BD65)&lt;0.5, "Pending", IF(BD65&lt;0.5, "Complete", "In Progress"))</f>
        <v>#REF!</v>
      </c>
      <c r="BF65" s="22">
        <v>0</v>
      </c>
      <c r="BG65" s="22" t="e">
        <f t="shared" si="39"/>
        <v>#REF!</v>
      </c>
      <c r="BH65" s="23" t="e">
        <f>IF(SUMPRODUCT($J$71:BG$71,$J65:BG65)&lt;0.5, "Pending", IF(BG65&lt;0.5, "Complete", "In Progress"))</f>
        <v>#REF!</v>
      </c>
      <c r="BI65" s="22">
        <v>0</v>
      </c>
      <c r="BJ65" s="22" t="e">
        <f t="shared" si="40"/>
        <v>#REF!</v>
      </c>
      <c r="BK65" s="23" t="e">
        <f>IF(SUMPRODUCT($J$71:BJ$71,$J65:BJ65)&lt;0.5, "Pending", IF(BJ65&lt;0.5, "Complete", "In Progress"))</f>
        <v>#REF!</v>
      </c>
      <c r="BL65" s="22">
        <v>0</v>
      </c>
      <c r="BM65" s="22" t="e">
        <f t="shared" si="41"/>
        <v>#REF!</v>
      </c>
      <c r="BN65" s="23" t="e">
        <f>IF(SUMPRODUCT($J$71:BM$71,$J65:BM65)&lt;0.5, "Pending", IF(BM65&lt;0.5, "Complete", "In Progress"))</f>
        <v>#REF!</v>
      </c>
      <c r="BO65" s="22">
        <v>0</v>
      </c>
      <c r="BP65" s="22" t="e">
        <f t="shared" si="42"/>
        <v>#REF!</v>
      </c>
      <c r="BQ65" s="23" t="e">
        <f>IF(SUMPRODUCT($J$71:BP$71,$J65:BP65)&lt;0.5, "Pending", IF(BP65&lt;0.5, "Complete", "In Progress"))</f>
        <v>#REF!</v>
      </c>
      <c r="BR65" s="22">
        <v>0</v>
      </c>
      <c r="BS65" s="22" t="e">
        <f t="shared" si="43"/>
        <v>#REF!</v>
      </c>
      <c r="BT65" s="23" t="e">
        <f>IF(SUMPRODUCT($J$71:BS$71,$J65:BS65)&lt;0.5, "Pending", IF(BS65&lt;0.5, "Complete", "In Progress"))</f>
        <v>#REF!</v>
      </c>
      <c r="BU65" s="22">
        <v>0</v>
      </c>
      <c r="BV65" s="22" t="e">
        <f t="shared" si="44"/>
        <v>#REF!</v>
      </c>
      <c r="BW65" s="23" t="e">
        <f>IF(SUMPRODUCT($J$71:BV$71,$J65:BV65)&lt;0.5, "Pending", IF(BV65&lt;0.5, "Complete", "In Progress"))</f>
        <v>#REF!</v>
      </c>
      <c r="BX65" s="22">
        <v>0</v>
      </c>
      <c r="BY65" s="22" t="e">
        <f t="shared" si="45"/>
        <v>#REF!</v>
      </c>
      <c r="BZ65" s="23" t="e">
        <f>IF(SUMPRODUCT($J$71:BY$71,$J65:BY65)&lt;0.5, "Pending", IF(BY65&lt;0.5, "Complete", "In Progress"))</f>
        <v>#REF!</v>
      </c>
      <c r="CA65" s="22">
        <v>0</v>
      </c>
      <c r="CB65" s="22" t="e">
        <f t="shared" si="46"/>
        <v>#REF!</v>
      </c>
      <c r="CC65" s="23" t="e">
        <f>IF(SUMPRODUCT($J$71:CB$71,$J65:CB65)&lt;0.5, "Pending", IF(CB65&lt;0.5, "Complete", "In Progress"))</f>
        <v>#REF!</v>
      </c>
      <c r="CD65" s="24"/>
      <c r="CE65" s="25">
        <f>SUMPRODUCT($H$71:AY$71,$H65:AY65)</f>
        <v>0</v>
      </c>
    </row>
    <row r="66" spans="1:83" x14ac:dyDescent="0.2">
      <c r="A66" s="16"/>
      <c r="B66" s="16"/>
      <c r="C66" s="16"/>
      <c r="D66" s="17"/>
      <c r="E66" s="178"/>
      <c r="F66" s="18" t="s">
        <v>117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24"/>
        <v>0</v>
      </c>
      <c r="L66" s="23" t="str">
        <f>IF(SUMPRODUCT($J$71:K$71,$J66:K66)&lt;0.5, "Pending", IF(K66&lt;0.5, "Complete", "In Progress"))</f>
        <v>Pending</v>
      </c>
      <c r="M66" s="22">
        <v>0</v>
      </c>
      <c r="N66" s="22">
        <f t="shared" si="25"/>
        <v>0</v>
      </c>
      <c r="O66" s="23" t="str">
        <f>IF(SUMPRODUCT($J$71:N$71,$J66:N66)&lt;0.5, "Pending", IF(N66&lt;0.5, "Complete", "In Progress"))</f>
        <v>Pending</v>
      </c>
      <c r="P66" s="22">
        <v>0</v>
      </c>
      <c r="Q66" s="22">
        <f t="shared" si="26"/>
        <v>0</v>
      </c>
      <c r="R66" s="23" t="str">
        <f>IF(SUMPRODUCT($J$71:Q$71,$J66:Q66)&lt;0.5, "Pending", IF(Q66&lt;0.5, "Complete", "In Progress"))</f>
        <v>Pending</v>
      </c>
      <c r="S66" s="22">
        <v>0</v>
      </c>
      <c r="T66" s="22">
        <f t="shared" si="27"/>
        <v>0</v>
      </c>
      <c r="U66" s="23" t="str">
        <f>IF(SUMPRODUCT($J$71:T$71,$J66:T66)&lt;0.5, "Pending", IF(T66&lt;0.5, "Complete", "In Progress"))</f>
        <v>Pending</v>
      </c>
      <c r="V66" s="22">
        <v>0</v>
      </c>
      <c r="W66" s="22">
        <f t="shared" si="28"/>
        <v>0</v>
      </c>
      <c r="X66" s="23" t="str">
        <f>IF(SUMPRODUCT($J$71:W$71,$J66:W66)&lt;0.5, "Pending", IF(W66&lt;0.5, "Complete", "In Progress"))</f>
        <v>Pending</v>
      </c>
      <c r="Y66" s="22">
        <v>0</v>
      </c>
      <c r="Z66" s="22">
        <f t="shared" si="29"/>
        <v>0</v>
      </c>
      <c r="AA66" s="23" t="str">
        <f>IF(SUMPRODUCT($J$71:Z$71,$J66:Z66)&lt;0.5, "Pending", IF(Z66&lt;0.5, "Complete", "In Progress"))</f>
        <v>Pending</v>
      </c>
      <c r="AB66" s="22">
        <v>0</v>
      </c>
      <c r="AC66" s="22">
        <f t="shared" si="30"/>
        <v>0</v>
      </c>
      <c r="AD66" s="23" t="str">
        <f>IF(SUMPRODUCT($J$71:AC$71,$J66:AC66)&lt;0.5, "Pending", IF(AC66&lt;0.5, "Complete", "In Progress"))</f>
        <v>Pending</v>
      </c>
      <c r="AE66" s="22">
        <v>0</v>
      </c>
      <c r="AF66" s="22">
        <f t="shared" si="31"/>
        <v>0</v>
      </c>
      <c r="AG66" s="23" t="str">
        <f>IF(SUMPRODUCT($J$71:AF$71,$J66:AF66)&lt;0.5, "Pending", IF(AF66&lt;0.5, "Complete", "In Progress"))</f>
        <v>Pending</v>
      </c>
      <c r="AH66" s="22">
        <v>0</v>
      </c>
      <c r="AI66" s="22">
        <f t="shared" si="32"/>
        <v>0</v>
      </c>
      <c r="AJ66" s="23" t="str">
        <f>IF(SUMPRODUCT($J$71:AI$71,$J66:AI66)&lt;0.5, "Pending", IF(AI66&lt;0.5, "Complete", "In Progress"))</f>
        <v>Pending</v>
      </c>
      <c r="AK66" s="22">
        <v>0</v>
      </c>
      <c r="AL66" s="22">
        <f t="shared" si="33"/>
        <v>0</v>
      </c>
      <c r="AM66" s="23" t="str">
        <f>IF(SUMPRODUCT($J$71:AL$71,$J66:AL66)&lt;0.5, "Pending", IF(AL66&lt;0.5, "Complete", "In Progress"))</f>
        <v>Pending</v>
      </c>
      <c r="AN66" s="22">
        <v>0</v>
      </c>
      <c r="AO66" s="22">
        <f t="shared" si="34"/>
        <v>0</v>
      </c>
      <c r="AP66" s="23" t="str">
        <f>IF(SUMPRODUCT($J$71:AO$71,$J66:AO66)&lt;0.5, "Pending", IF(AO66&lt;0.5, "Complete", "In Progress"))</f>
        <v>Pending</v>
      </c>
      <c r="AQ66" s="22">
        <v>0</v>
      </c>
      <c r="AR66" s="22">
        <f t="shared" si="35"/>
        <v>0</v>
      </c>
      <c r="AS66" s="23" t="str">
        <f>IF(SUMPRODUCT($J$71:AR$71,$J66:AR66)&lt;0.5, "Pending", IF(AR66&lt;0.5, "Complete", "In Progress"))</f>
        <v>Pending</v>
      </c>
      <c r="AT66" s="22">
        <v>0</v>
      </c>
      <c r="AU66" s="22">
        <f t="shared" si="36"/>
        <v>0</v>
      </c>
      <c r="AV66" s="23" t="str">
        <f>IF(SUMPRODUCT($J$71:AU$71,$J66:AU66)&lt;0.5, "Pending", IF(AU66&lt;0.5, "Complete", "In Progress"))</f>
        <v>Pending</v>
      </c>
      <c r="AW66" s="22">
        <v>0</v>
      </c>
      <c r="AX66" s="22">
        <f t="shared" si="37"/>
        <v>0</v>
      </c>
      <c r="AY66" s="23" t="str">
        <f>IF(SUMPRODUCT($J$71:AX$71,$J66:AX66)&lt;0.5,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IF(SUMPRODUCT($J$71:BA$71,$J66:BA66)&lt;0.5, "Pending", IF(BA66&lt;0.5, "Complete", "In Progress"))</f>
        <v>#REF!</v>
      </c>
      <c r="BC66" s="22">
        <v>0</v>
      </c>
      <c r="BD66" s="22" t="e">
        <f t="shared" si="38"/>
        <v>#REF!</v>
      </c>
      <c r="BE66" s="23" t="e">
        <f>IF(SUMPRODUCT($J$71:BD$71,$J66:BD66)&lt;0.5, "Pending", IF(BD66&lt;0.5, "Complete", "In Progress"))</f>
        <v>#REF!</v>
      </c>
      <c r="BF66" s="22">
        <v>0</v>
      </c>
      <c r="BG66" s="22" t="e">
        <f t="shared" si="39"/>
        <v>#REF!</v>
      </c>
      <c r="BH66" s="23" t="e">
        <f>IF(SUMPRODUCT($J$71:BG$71,$J66:BG66)&lt;0.5, "Pending", IF(BG66&lt;0.5, "Complete", "In Progress"))</f>
        <v>#REF!</v>
      </c>
      <c r="BI66" s="22">
        <v>0</v>
      </c>
      <c r="BJ66" s="22" t="e">
        <f t="shared" si="40"/>
        <v>#REF!</v>
      </c>
      <c r="BK66" s="23" t="e">
        <f>IF(SUMPRODUCT($J$71:BJ$71,$J66:BJ66)&lt;0.5, "Pending", IF(BJ66&lt;0.5, "Complete", "In Progress"))</f>
        <v>#REF!</v>
      </c>
      <c r="BL66" s="22">
        <v>0</v>
      </c>
      <c r="BM66" s="22" t="e">
        <f t="shared" si="41"/>
        <v>#REF!</v>
      </c>
      <c r="BN66" s="23" t="e">
        <f>IF(SUMPRODUCT($J$71:BM$71,$J66:BM66)&lt;0.5, "Pending", IF(BM66&lt;0.5, "Complete", "In Progress"))</f>
        <v>#REF!</v>
      </c>
      <c r="BO66" s="22">
        <v>0</v>
      </c>
      <c r="BP66" s="22" t="e">
        <f t="shared" si="42"/>
        <v>#REF!</v>
      </c>
      <c r="BQ66" s="23" t="e">
        <f>IF(SUMPRODUCT($J$71:BP$71,$J66:BP66)&lt;0.5, "Pending", IF(BP66&lt;0.5, "Complete", "In Progress"))</f>
        <v>#REF!</v>
      </c>
      <c r="BR66" s="22">
        <v>0</v>
      </c>
      <c r="BS66" s="22" t="e">
        <f t="shared" si="43"/>
        <v>#REF!</v>
      </c>
      <c r="BT66" s="23" t="e">
        <f>IF(SUMPRODUCT($J$71:BS$71,$J66:BS66)&lt;0.5, "Pending", IF(BS66&lt;0.5, "Complete", "In Progress"))</f>
        <v>#REF!</v>
      </c>
      <c r="BU66" s="22">
        <v>0</v>
      </c>
      <c r="BV66" s="22" t="e">
        <f t="shared" si="44"/>
        <v>#REF!</v>
      </c>
      <c r="BW66" s="23" t="e">
        <f>IF(SUMPRODUCT($J$71:BV$71,$J66:BV66)&lt;0.5, "Pending", IF(BV66&lt;0.5, "Complete", "In Progress"))</f>
        <v>#REF!</v>
      </c>
      <c r="BX66" s="22">
        <v>0</v>
      </c>
      <c r="BY66" s="22" t="e">
        <f t="shared" si="45"/>
        <v>#REF!</v>
      </c>
      <c r="BZ66" s="23" t="e">
        <f>IF(SUMPRODUCT($J$71:BY$71,$J66:BY66)&lt;0.5, "Pending", IF(BY66&lt;0.5, "Complete", "In Progress"))</f>
        <v>#REF!</v>
      </c>
      <c r="CA66" s="22">
        <v>0</v>
      </c>
      <c r="CB66" s="22" t="e">
        <f t="shared" si="46"/>
        <v>#REF!</v>
      </c>
      <c r="CC66" s="23" t="e">
        <f>IF(SUMPRODUCT($J$71:CB$71,$J66:CB66)&lt;0.5, "Pending", IF(CB66&lt;0.5, "Complete", "In Progress"))</f>
        <v>#REF!</v>
      </c>
      <c r="CD66" s="24"/>
      <c r="CE66" s="25">
        <f>SUMPRODUCT($H$71:AY$71,$H66:AY66)</f>
        <v>0</v>
      </c>
    </row>
    <row r="67" spans="1:83" x14ac:dyDescent="0.2">
      <c r="A67" s="16"/>
      <c r="B67" s="16"/>
      <c r="C67" s="16"/>
      <c r="D67" s="17"/>
      <c r="E67" s="178"/>
      <c r="F67" s="18" t="s">
        <v>117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24"/>
        <v>0</v>
      </c>
      <c r="L67" s="23" t="str">
        <f>IF(SUMPRODUCT($J$71:K$71,$J67:K67)&lt;0.5, "Pending", IF(K67&lt;0.5, "Complete", "In Progress"))</f>
        <v>Pending</v>
      </c>
      <c r="M67" s="22">
        <v>0</v>
      </c>
      <c r="N67" s="22">
        <f t="shared" si="25"/>
        <v>0</v>
      </c>
      <c r="O67" s="23" t="str">
        <f>IF(SUMPRODUCT($J$71:N$71,$J67:N67)&lt;0.5, "Pending", IF(N67&lt;0.5, "Complete", "In Progress"))</f>
        <v>Pending</v>
      </c>
      <c r="P67" s="22">
        <v>0</v>
      </c>
      <c r="Q67" s="22">
        <f t="shared" si="26"/>
        <v>0</v>
      </c>
      <c r="R67" s="23" t="str">
        <f>IF(SUMPRODUCT($J$71:Q$71,$J67:Q67)&lt;0.5, "Pending", IF(Q67&lt;0.5, "Complete", "In Progress"))</f>
        <v>Pending</v>
      </c>
      <c r="S67" s="22">
        <v>0</v>
      </c>
      <c r="T67" s="22">
        <f t="shared" si="27"/>
        <v>0</v>
      </c>
      <c r="U67" s="23" t="str">
        <f>IF(SUMPRODUCT($J$71:T$71,$J67:T67)&lt;0.5, "Pending", IF(T67&lt;0.5, "Complete", "In Progress"))</f>
        <v>Pending</v>
      </c>
      <c r="V67" s="22">
        <v>0</v>
      </c>
      <c r="W67" s="22">
        <f t="shared" si="28"/>
        <v>0</v>
      </c>
      <c r="X67" s="23" t="str">
        <f>IF(SUMPRODUCT($J$71:W$71,$J67:W67)&lt;0.5, "Pending", IF(W67&lt;0.5, "Complete", "In Progress"))</f>
        <v>Pending</v>
      </c>
      <c r="Y67" s="22">
        <v>0</v>
      </c>
      <c r="Z67" s="22">
        <f t="shared" si="29"/>
        <v>0</v>
      </c>
      <c r="AA67" s="23" t="str">
        <f>IF(SUMPRODUCT($J$71:Z$71,$J67:Z67)&lt;0.5, "Pending", IF(Z67&lt;0.5, "Complete", "In Progress"))</f>
        <v>Pending</v>
      </c>
      <c r="AB67" s="22">
        <v>0</v>
      </c>
      <c r="AC67" s="22">
        <f t="shared" si="30"/>
        <v>0</v>
      </c>
      <c r="AD67" s="23" t="str">
        <f>IF(SUMPRODUCT($J$71:AC$71,$J67:AC67)&lt;0.5, "Pending", IF(AC67&lt;0.5, "Complete", "In Progress"))</f>
        <v>Pending</v>
      </c>
      <c r="AE67" s="22">
        <v>0</v>
      </c>
      <c r="AF67" s="22">
        <f t="shared" si="31"/>
        <v>0</v>
      </c>
      <c r="AG67" s="23" t="str">
        <f>IF(SUMPRODUCT($J$71:AF$71,$J67:AF67)&lt;0.5, "Pending", IF(AF67&lt;0.5, "Complete", "In Progress"))</f>
        <v>Pending</v>
      </c>
      <c r="AH67" s="22">
        <v>0</v>
      </c>
      <c r="AI67" s="22">
        <f t="shared" si="32"/>
        <v>0</v>
      </c>
      <c r="AJ67" s="23" t="str">
        <f>IF(SUMPRODUCT($J$71:AI$71,$J67:AI67)&lt;0.5, "Pending", IF(AI67&lt;0.5, "Complete", "In Progress"))</f>
        <v>Pending</v>
      </c>
      <c r="AK67" s="22">
        <v>0</v>
      </c>
      <c r="AL67" s="22">
        <f t="shared" si="33"/>
        <v>0</v>
      </c>
      <c r="AM67" s="23" t="str">
        <f>IF(SUMPRODUCT($J$71:AL$71,$J67:AL67)&lt;0.5, "Pending", IF(AL67&lt;0.5, "Complete", "In Progress"))</f>
        <v>Pending</v>
      </c>
      <c r="AN67" s="22">
        <v>0</v>
      </c>
      <c r="AO67" s="22">
        <f t="shared" si="34"/>
        <v>0</v>
      </c>
      <c r="AP67" s="23" t="str">
        <f>IF(SUMPRODUCT($J$71:AO$71,$J67:AO67)&lt;0.5, "Pending", IF(AO67&lt;0.5, "Complete", "In Progress"))</f>
        <v>Pending</v>
      </c>
      <c r="AQ67" s="22">
        <v>0</v>
      </c>
      <c r="AR67" s="22">
        <f t="shared" si="35"/>
        <v>0</v>
      </c>
      <c r="AS67" s="23" t="str">
        <f>IF(SUMPRODUCT($J$71:AR$71,$J67:AR67)&lt;0.5, "Pending", IF(AR67&lt;0.5, "Complete", "In Progress"))</f>
        <v>Pending</v>
      </c>
      <c r="AT67" s="22">
        <v>0</v>
      </c>
      <c r="AU67" s="22">
        <f t="shared" si="36"/>
        <v>0</v>
      </c>
      <c r="AV67" s="23" t="str">
        <f>IF(SUMPRODUCT($J$71:AU$71,$J67:AU67)&lt;0.5, "Pending", IF(AU67&lt;0.5, "Complete", "In Progress"))</f>
        <v>Pending</v>
      </c>
      <c r="AW67" s="22">
        <v>0</v>
      </c>
      <c r="AX67" s="22">
        <f t="shared" si="37"/>
        <v>0</v>
      </c>
      <c r="AY67" s="23" t="str">
        <f>IF(SUMPRODUCT($J$71:AX$71,$J67:AX67)&lt;0.5,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IF(SUMPRODUCT($J$71:BA$71,$J67:BA67)&lt;0.5, "Pending", IF(BA67&lt;0.5, "Complete", "In Progress"))</f>
        <v>#REF!</v>
      </c>
      <c r="BC67" s="22">
        <v>0</v>
      </c>
      <c r="BD67" s="22" t="e">
        <f t="shared" si="38"/>
        <v>#REF!</v>
      </c>
      <c r="BE67" s="23" t="e">
        <f>IF(SUMPRODUCT($J$71:BD$71,$J67:BD67)&lt;0.5, "Pending", IF(BD67&lt;0.5, "Complete", "In Progress"))</f>
        <v>#REF!</v>
      </c>
      <c r="BF67" s="22">
        <v>0</v>
      </c>
      <c r="BG67" s="22" t="e">
        <f t="shared" si="39"/>
        <v>#REF!</v>
      </c>
      <c r="BH67" s="23" t="e">
        <f>IF(SUMPRODUCT($J$71:BG$71,$J67:BG67)&lt;0.5, "Pending", IF(BG67&lt;0.5, "Complete", "In Progress"))</f>
        <v>#REF!</v>
      </c>
      <c r="BI67" s="22">
        <v>0</v>
      </c>
      <c r="BJ67" s="22" t="e">
        <f t="shared" si="40"/>
        <v>#REF!</v>
      </c>
      <c r="BK67" s="23" t="e">
        <f>IF(SUMPRODUCT($J$71:BJ$71,$J67:BJ67)&lt;0.5, "Pending", IF(BJ67&lt;0.5, "Complete", "In Progress"))</f>
        <v>#REF!</v>
      </c>
      <c r="BL67" s="22">
        <v>0</v>
      </c>
      <c r="BM67" s="22" t="e">
        <f t="shared" si="41"/>
        <v>#REF!</v>
      </c>
      <c r="BN67" s="23" t="e">
        <f>IF(SUMPRODUCT($J$71:BM$71,$J67:BM67)&lt;0.5, "Pending", IF(BM67&lt;0.5, "Complete", "In Progress"))</f>
        <v>#REF!</v>
      </c>
      <c r="BO67" s="22">
        <v>0</v>
      </c>
      <c r="BP67" s="22" t="e">
        <f t="shared" si="42"/>
        <v>#REF!</v>
      </c>
      <c r="BQ67" s="23" t="e">
        <f>IF(SUMPRODUCT($J$71:BP$71,$J67:BP67)&lt;0.5, "Pending", IF(BP67&lt;0.5, "Complete", "In Progress"))</f>
        <v>#REF!</v>
      </c>
      <c r="BR67" s="22">
        <v>0</v>
      </c>
      <c r="BS67" s="22" t="e">
        <f t="shared" si="43"/>
        <v>#REF!</v>
      </c>
      <c r="BT67" s="23" t="e">
        <f>IF(SUMPRODUCT($J$71:BS$71,$J67:BS67)&lt;0.5, "Pending", IF(BS67&lt;0.5, "Complete", "In Progress"))</f>
        <v>#REF!</v>
      </c>
      <c r="BU67" s="22">
        <v>0</v>
      </c>
      <c r="BV67" s="22" t="e">
        <f t="shared" si="44"/>
        <v>#REF!</v>
      </c>
      <c r="BW67" s="23" t="e">
        <f>IF(SUMPRODUCT($J$71:BV$71,$J67:BV67)&lt;0.5, "Pending", IF(BV67&lt;0.5, "Complete", "In Progress"))</f>
        <v>#REF!</v>
      </c>
      <c r="BX67" s="22">
        <v>0</v>
      </c>
      <c r="BY67" s="22" t="e">
        <f t="shared" si="45"/>
        <v>#REF!</v>
      </c>
      <c r="BZ67" s="23" t="e">
        <f>IF(SUMPRODUCT($J$71:BY$71,$J67:BY67)&lt;0.5, "Pending", IF(BY67&lt;0.5, "Complete", "In Progress"))</f>
        <v>#REF!</v>
      </c>
      <c r="CA67" s="22">
        <v>0</v>
      </c>
      <c r="CB67" s="22" t="e">
        <f t="shared" si="46"/>
        <v>#REF!</v>
      </c>
      <c r="CC67" s="23" t="e">
        <f>IF(SUMPRODUCT($J$71:CB$71,$J67:CB67)&lt;0.5, "Pending", IF(CB67&lt;0.5, "Complete", "In Progress"))</f>
        <v>#REF!</v>
      </c>
      <c r="CD67" s="24"/>
      <c r="CE67" s="25">
        <f>SUMPRODUCT($H$71:AY$71,$H67:AY67)</f>
        <v>0</v>
      </c>
    </row>
    <row r="68" spans="1:83" x14ac:dyDescent="0.2">
      <c r="A68" s="16"/>
      <c r="B68" s="16"/>
      <c r="C68" s="16"/>
      <c r="D68" s="17"/>
      <c r="E68" s="177"/>
      <c r="F68" s="18" t="s">
        <v>48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ref="K68" si="162">MAX(I68-J68, 0)</f>
        <v>0</v>
      </c>
      <c r="L68" s="23" t="str">
        <f>IF(SUMPRODUCT($J$71:K$71,$J68:K68)&lt;0.5, "Pending", IF(K68&lt;0.5, "Complete", "In Progress"))</f>
        <v>Pending</v>
      </c>
      <c r="M68" s="22">
        <v>0</v>
      </c>
      <c r="N68" s="22">
        <f t="shared" ref="N68" si="163">MAX(K68-M68,0)</f>
        <v>0</v>
      </c>
      <c r="O68" s="23" t="str">
        <f>IF(SUMPRODUCT($J$71:N$71,$J68:N68)&lt;0.5, "Pending", IF(N68&lt;0.5, "Complete", "In Progress"))</f>
        <v>Pending</v>
      </c>
      <c r="P68" s="22">
        <v>0</v>
      </c>
      <c r="Q68" s="22">
        <f t="shared" ref="Q68" si="164">MAX(N68-P68,0)</f>
        <v>0</v>
      </c>
      <c r="R68" s="23" t="str">
        <f>IF(SUMPRODUCT($J$71:Q$71,$J68:Q68)&lt;0.5, "Pending", IF(Q68&lt;0.5, "Complete", "In Progress"))</f>
        <v>Pending</v>
      </c>
      <c r="S68" s="22">
        <v>0</v>
      </c>
      <c r="T68" s="22">
        <f t="shared" ref="T68" si="165">MAX(Q68-S68,0)</f>
        <v>0</v>
      </c>
      <c r="U68" s="23" t="str">
        <f>IF(SUMPRODUCT($J$71:T$71,$J68:T68)&lt;0.5, "Pending", IF(T68&lt;0.5, "Complete", "In Progress"))</f>
        <v>Pending</v>
      </c>
      <c r="V68" s="22">
        <v>0</v>
      </c>
      <c r="W68" s="22">
        <f t="shared" ref="W68" si="166">MAX(T68-V68,0)</f>
        <v>0</v>
      </c>
      <c r="X68" s="23" t="str">
        <f>IF(SUMPRODUCT($J$71:W$71,$J68:W68)&lt;0.5, "Pending", IF(W68&lt;0.5, "Complete", "In Progress"))</f>
        <v>Pending</v>
      </c>
      <c r="Y68" s="22">
        <v>0</v>
      </c>
      <c r="Z68" s="22">
        <f t="shared" ref="Z68" si="167">MAX(W68-Y68,0)</f>
        <v>0</v>
      </c>
      <c r="AA68" s="23" t="str">
        <f>IF(SUMPRODUCT($J$71:Z$71,$J68:Z68)&lt;0.5, "Pending", IF(Z68&lt;0.5, "Complete", "In Progress"))</f>
        <v>Pending</v>
      </c>
      <c r="AB68" s="22">
        <v>0</v>
      </c>
      <c r="AC68" s="22">
        <f t="shared" ref="AC68" si="168">MAX(Z68-AB68,0)</f>
        <v>0</v>
      </c>
      <c r="AD68" s="23" t="str">
        <f>IF(SUMPRODUCT($J$71:AC$71,$J68:AC68)&lt;0.5, "Pending", IF(AC68&lt;0.5, "Complete", "In Progress"))</f>
        <v>Pending</v>
      </c>
      <c r="AE68" s="22">
        <v>0</v>
      </c>
      <c r="AF68" s="22">
        <f t="shared" ref="AF68" si="169">MAX(AC68-AE68,0)</f>
        <v>0</v>
      </c>
      <c r="AG68" s="23" t="str">
        <f>IF(SUMPRODUCT($J$71:AF$71,$J68:AF68)&lt;0.5, "Pending", IF(AF68&lt;0.5, "Complete", "In Progress"))</f>
        <v>Pending</v>
      </c>
      <c r="AH68" s="22">
        <v>0</v>
      </c>
      <c r="AI68" s="22">
        <f t="shared" ref="AI68" si="170">MAX(AF68-AH68,0)</f>
        <v>0</v>
      </c>
      <c r="AJ68" s="23" t="str">
        <f>IF(SUMPRODUCT($J$71:AI$71,$J68:AI68)&lt;0.5, "Pending", IF(AI68&lt;0.5, "Complete", "In Progress"))</f>
        <v>Pending</v>
      </c>
      <c r="AK68" s="22">
        <v>0</v>
      </c>
      <c r="AL68" s="22">
        <f t="shared" ref="AL68" si="171">MAX(AI68-AK68,0)</f>
        <v>0</v>
      </c>
      <c r="AM68" s="23" t="str">
        <f>IF(SUMPRODUCT($J$71:AL$71,$J68:AL68)&lt;0.5, "Pending", IF(AL68&lt;0.5, "Complete", "In Progress"))</f>
        <v>Pending</v>
      </c>
      <c r="AN68" s="22">
        <v>0</v>
      </c>
      <c r="AO68" s="22">
        <f t="shared" ref="AO68" si="172">MAX(AL68-AN68,0)</f>
        <v>0</v>
      </c>
      <c r="AP68" s="23" t="str">
        <f>IF(SUMPRODUCT($J$71:AO$71,$J68:AO68)&lt;0.5, "Pending", IF(AO68&lt;0.5, "Complete", "In Progress"))</f>
        <v>Pending</v>
      </c>
      <c r="AQ68" s="22">
        <v>0</v>
      </c>
      <c r="AR68" s="22">
        <f t="shared" ref="AR68" si="173">MAX(AO68-AQ68,0)</f>
        <v>0</v>
      </c>
      <c r="AS68" s="23" t="str">
        <f>IF(SUMPRODUCT($J$71:AR$71,$J68:AR68)&lt;0.5, "Pending", IF(AR68&lt;0.5, "Complete", "In Progress"))</f>
        <v>Pending</v>
      </c>
      <c r="AT68" s="22">
        <v>0</v>
      </c>
      <c r="AU68" s="22">
        <f t="shared" ref="AU68" si="174">MAX(AR68-AT68,0)</f>
        <v>0</v>
      </c>
      <c r="AV68" s="23" t="str">
        <f>IF(SUMPRODUCT($J$71:AU$71,$J68:AU68)&lt;0.5, "Pending", IF(AU68&lt;0.5, "Complete", "In Progress"))</f>
        <v>Pending</v>
      </c>
      <c r="AW68" s="22">
        <v>0</v>
      </c>
      <c r="AX68" s="22">
        <f t="shared" ref="AX68" si="175">MAX(AU68-AW68,0)</f>
        <v>0</v>
      </c>
      <c r="AY68" s="23" t="str">
        <f>IF(SUMPRODUCT($J$71:AX$71,$J68:AX68)&lt;0.5,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IF(SUMPRODUCT($J$71:BA$71,$J68:BA68)&lt;0.5, "Pending", IF(BA68&lt;0.5, "Complete", "In Progress"))</f>
        <v>#REF!</v>
      </c>
      <c r="BC68" s="22">
        <v>0</v>
      </c>
      <c r="BD68" s="22" t="e">
        <f t="shared" ref="BD68" si="176">MAX(BA68-BC68,0)</f>
        <v>#REF!</v>
      </c>
      <c r="BE68" s="23" t="e">
        <f>IF(SUMPRODUCT($J$71:BD$71,$J68:BD68)&lt;0.5, "Pending", IF(BD68&lt;0.5, "Complete", "In Progress"))</f>
        <v>#REF!</v>
      </c>
      <c r="BF68" s="22">
        <v>0</v>
      </c>
      <c r="BG68" s="22" t="e">
        <f t="shared" ref="BG68" si="177">MAX(BD68-BF68,0)</f>
        <v>#REF!</v>
      </c>
      <c r="BH68" s="23" t="e">
        <f>IF(SUMPRODUCT($J$71:BG$71,$J68:BG68)&lt;0.5, "Pending", IF(BG68&lt;0.5, "Complete", "In Progress"))</f>
        <v>#REF!</v>
      </c>
      <c r="BI68" s="22">
        <v>0</v>
      </c>
      <c r="BJ68" s="22" t="e">
        <f t="shared" ref="BJ68" si="178">MAX(BG68-BI68,0)</f>
        <v>#REF!</v>
      </c>
      <c r="BK68" s="23" t="e">
        <f>IF(SUMPRODUCT($J$71:BJ$71,$J68:BJ68)&lt;0.5, "Pending", IF(BJ68&lt;0.5, "Complete", "In Progress"))</f>
        <v>#REF!</v>
      </c>
      <c r="BL68" s="22">
        <v>0</v>
      </c>
      <c r="BM68" s="22" t="e">
        <f t="shared" ref="BM68" si="179">MAX(BJ68-BL68,0)</f>
        <v>#REF!</v>
      </c>
      <c r="BN68" s="23" t="e">
        <f>IF(SUMPRODUCT($J$71:BM$71,$J68:BM68)&lt;0.5, "Pending", IF(BM68&lt;0.5, "Complete", "In Progress"))</f>
        <v>#REF!</v>
      </c>
      <c r="BO68" s="22">
        <v>0</v>
      </c>
      <c r="BP68" s="22" t="e">
        <f t="shared" ref="BP68" si="180">MAX(BM68-BO68,0)</f>
        <v>#REF!</v>
      </c>
      <c r="BQ68" s="23" t="e">
        <f>IF(SUMPRODUCT($J$71:BP$71,$J68:BP68)&lt;0.5, "Pending", IF(BP68&lt;0.5, "Complete", "In Progress"))</f>
        <v>#REF!</v>
      </c>
      <c r="BR68" s="22">
        <v>0</v>
      </c>
      <c r="BS68" s="22" t="e">
        <f t="shared" ref="BS68" si="181">MAX(BP68-BR68,0)</f>
        <v>#REF!</v>
      </c>
      <c r="BT68" s="23" t="e">
        <f>IF(SUMPRODUCT($J$71:BS$71,$J68:BS68)&lt;0.5, "Pending", IF(BS68&lt;0.5, "Complete", "In Progress"))</f>
        <v>#REF!</v>
      </c>
      <c r="BU68" s="22">
        <v>0</v>
      </c>
      <c r="BV68" s="22" t="e">
        <f t="shared" ref="BV68" si="182">MAX(BS68-BU68,0)</f>
        <v>#REF!</v>
      </c>
      <c r="BW68" s="23" t="e">
        <f>IF(SUMPRODUCT($J$71:BV$71,$J68:BV68)&lt;0.5, "Pending", IF(BV68&lt;0.5, "Complete", "In Progress"))</f>
        <v>#REF!</v>
      </c>
      <c r="BX68" s="22">
        <v>0</v>
      </c>
      <c r="BY68" s="22" t="e">
        <f t="shared" ref="BY68" si="183">MAX(BV68-BX68,0)</f>
        <v>#REF!</v>
      </c>
      <c r="BZ68" s="23" t="e">
        <f>IF(SUMPRODUCT($J$71:BY$71,$J68:BY68)&lt;0.5, "Pending", IF(BY68&lt;0.5, "Complete", "In Progress"))</f>
        <v>#REF!</v>
      </c>
      <c r="CA68" s="22">
        <v>0</v>
      </c>
      <c r="CB68" s="22" t="e">
        <f t="shared" ref="CB68" si="184">MAX(BY68-CA68,0)</f>
        <v>#REF!</v>
      </c>
      <c r="CC68" s="23" t="e">
        <f>IF(SUMPRODUCT($J$71:CB$71,$J68:CB68)&lt;0.5, "Pending", IF(CB68&lt;0.5, "Complete", "In Progress"))</f>
        <v>#REF!</v>
      </c>
      <c r="CD68" s="24"/>
      <c r="CE68" s="25">
        <f>SUMPRODUCT($H$71:AY$71,$H68:AY68)</f>
        <v>0</v>
      </c>
    </row>
    <row r="69" spans="1:83" hidden="1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4"/>
      <c r="K69" s="24"/>
      <c r="L69" s="24"/>
      <c r="M69" s="27"/>
      <c r="N69" s="27"/>
      <c r="O69" s="24"/>
      <c r="P69" s="27"/>
      <c r="Q69" s="27"/>
      <c r="R69" s="24"/>
      <c r="S69" s="27"/>
      <c r="T69" s="27"/>
      <c r="U69" s="27"/>
      <c r="V69" s="27"/>
      <c r="W69" s="27"/>
      <c r="X69" s="24"/>
      <c r="Y69" s="27"/>
      <c r="Z69" s="27"/>
      <c r="AA69" s="24"/>
      <c r="AB69" s="27"/>
      <c r="AC69" s="27"/>
      <c r="AD69" s="24"/>
      <c r="AE69" s="27"/>
      <c r="AF69" s="27"/>
      <c r="AG69" s="24"/>
      <c r="AH69" s="27"/>
      <c r="AI69" s="27"/>
      <c r="AJ69" s="24"/>
      <c r="AK69" s="27"/>
      <c r="AL69" s="27"/>
      <c r="AM69" s="24"/>
      <c r="AN69" s="27"/>
      <c r="AO69" s="27"/>
      <c r="AP69" s="24"/>
      <c r="AQ69" s="27"/>
      <c r="AR69" s="27"/>
      <c r="AS69" s="24"/>
      <c r="AT69" s="27"/>
      <c r="AU69" s="27"/>
      <c r="AV69" s="24"/>
      <c r="AW69" s="27"/>
      <c r="AX69" s="27"/>
      <c r="AY69" s="24"/>
      <c r="AZ69" s="27"/>
      <c r="BA69" s="27"/>
      <c r="BB69" s="24"/>
      <c r="BC69" s="27"/>
      <c r="BD69" s="27"/>
      <c r="BE69" s="24"/>
      <c r="BF69" s="27"/>
      <c r="BG69" s="27"/>
      <c r="BH69" s="24"/>
      <c r="BI69" s="27"/>
      <c r="BJ69" s="27"/>
      <c r="BK69" s="24"/>
      <c r="BL69" s="27"/>
      <c r="BM69" s="27"/>
      <c r="BN69" s="24"/>
      <c r="BO69" s="27"/>
      <c r="BP69" s="27"/>
      <c r="BQ69" s="24"/>
      <c r="BR69" s="27"/>
      <c r="BS69" s="27"/>
      <c r="BT69" s="24"/>
      <c r="BU69" s="27"/>
      <c r="BV69" s="27"/>
      <c r="BW69" s="24"/>
      <c r="BX69" s="27"/>
      <c r="BY69" s="27"/>
      <c r="BZ69" s="24"/>
      <c r="CA69" s="27"/>
      <c r="CB69" s="27"/>
      <c r="CC69" s="24"/>
      <c r="CD69" s="24"/>
      <c r="CE69" s="28">
        <f>SUMPRODUCT($H$72:BK$72,$H69:BK69)</f>
        <v>0</v>
      </c>
    </row>
    <row r="70" spans="1:83" x14ac:dyDescent="0.2">
      <c r="A70" s="29"/>
      <c r="B70" s="29"/>
      <c r="C70" s="29"/>
      <c r="D70" s="29"/>
      <c r="E70" s="29"/>
      <c r="F70" s="29"/>
      <c r="G70" s="1"/>
      <c r="H70" s="29"/>
      <c r="I70" s="29"/>
      <c r="J70" s="194" t="s">
        <v>9</v>
      </c>
      <c r="K70" s="195"/>
      <c r="L70" s="30">
        <v>1</v>
      </c>
      <c r="M70" s="191" t="s">
        <v>9</v>
      </c>
      <c r="N70" s="193"/>
      <c r="O70" s="30">
        <f>L70+1</f>
        <v>2</v>
      </c>
      <c r="P70" s="191" t="s">
        <v>9</v>
      </c>
      <c r="Q70" s="193"/>
      <c r="R70" s="30">
        <f>O70+1</f>
        <v>3</v>
      </c>
      <c r="S70" s="191" t="s">
        <v>9</v>
      </c>
      <c r="T70" s="193"/>
      <c r="U70" s="30">
        <f>R70+1</f>
        <v>4</v>
      </c>
      <c r="V70" s="191" t="s">
        <v>9</v>
      </c>
      <c r="W70" s="193"/>
      <c r="X70" s="30">
        <f>U70+1</f>
        <v>5</v>
      </c>
      <c r="Y70" s="191" t="s">
        <v>9</v>
      </c>
      <c r="Z70" s="191"/>
      <c r="AA70" s="30">
        <f>X70+1</f>
        <v>6</v>
      </c>
      <c r="AB70" s="191" t="s">
        <v>9</v>
      </c>
      <c r="AC70" s="191"/>
      <c r="AD70" s="30">
        <f>AA70+1</f>
        <v>7</v>
      </c>
      <c r="AE70" s="191" t="s">
        <v>9</v>
      </c>
      <c r="AF70" s="191"/>
      <c r="AG70" s="30">
        <f>AD70+1</f>
        <v>8</v>
      </c>
      <c r="AH70" s="191" t="s">
        <v>9</v>
      </c>
      <c r="AI70" s="191"/>
      <c r="AJ70" s="30">
        <f>AG70+1</f>
        <v>9</v>
      </c>
      <c r="AK70" s="191" t="s">
        <v>9</v>
      </c>
      <c r="AL70" s="191"/>
      <c r="AM70" s="30">
        <f>AJ70+1</f>
        <v>10</v>
      </c>
      <c r="AN70" s="191" t="s">
        <v>9</v>
      </c>
      <c r="AO70" s="191"/>
      <c r="AP70" s="30">
        <f>AM70+1</f>
        <v>11</v>
      </c>
      <c r="AQ70" s="191" t="s">
        <v>9</v>
      </c>
      <c r="AR70" s="191"/>
      <c r="AS70" s="30">
        <f>AP70+1</f>
        <v>12</v>
      </c>
      <c r="AT70" s="191" t="s">
        <v>9</v>
      </c>
      <c r="AU70" s="191"/>
      <c r="AV70" s="30">
        <f>AS70+1</f>
        <v>13</v>
      </c>
      <c r="AW70" s="191" t="s">
        <v>9</v>
      </c>
      <c r="AX70" s="191"/>
      <c r="AY70" s="30">
        <f>AV70+1</f>
        <v>14</v>
      </c>
      <c r="AZ70" s="191" t="s">
        <v>9</v>
      </c>
      <c r="BA70" s="193"/>
      <c r="BB70" s="30" t="e">
        <f>#REF!+1</f>
        <v>#REF!</v>
      </c>
      <c r="BC70" s="191" t="s">
        <v>9</v>
      </c>
      <c r="BD70" s="193"/>
      <c r="BE70" s="30" t="e">
        <f>BB70+1</f>
        <v>#REF!</v>
      </c>
      <c r="BF70" s="191" t="s">
        <v>9</v>
      </c>
      <c r="BG70" s="193"/>
      <c r="BH70" s="30" t="e">
        <f>BE70+1</f>
        <v>#REF!</v>
      </c>
      <c r="BI70" s="191" t="s">
        <v>9</v>
      </c>
      <c r="BJ70" s="193"/>
      <c r="BK70" s="30" t="e">
        <f>BH70+1</f>
        <v>#REF!</v>
      </c>
      <c r="BL70" s="191" t="s">
        <v>9</v>
      </c>
      <c r="BM70" s="193"/>
      <c r="BN70" s="30" t="e">
        <f>BK70+1</f>
        <v>#REF!</v>
      </c>
      <c r="BO70" s="191" t="s">
        <v>9</v>
      </c>
      <c r="BP70" s="193"/>
      <c r="BQ70" s="30" t="e">
        <f>BN70+1</f>
        <v>#REF!</v>
      </c>
      <c r="BR70" s="191" t="s">
        <v>9</v>
      </c>
      <c r="BS70" s="193"/>
      <c r="BT70" s="30" t="e">
        <f>BQ70+1</f>
        <v>#REF!</v>
      </c>
      <c r="BU70" s="191" t="s">
        <v>9</v>
      </c>
      <c r="BV70" s="193"/>
      <c r="BW70" s="30" t="e">
        <f>BT70+1</f>
        <v>#REF!</v>
      </c>
      <c r="BX70" s="191" t="s">
        <v>9</v>
      </c>
      <c r="BY70" s="193"/>
      <c r="BZ70" s="30" t="e">
        <f>BW70+1</f>
        <v>#REF!</v>
      </c>
      <c r="CA70" s="191" t="s">
        <v>9</v>
      </c>
      <c r="CB70" s="193"/>
      <c r="CC70" s="30" t="e">
        <f>BZ70+1</f>
        <v>#REF!</v>
      </c>
      <c r="CD70" s="30"/>
      <c r="CE70" s="31"/>
    </row>
    <row r="71" spans="1:83" hidden="1" x14ac:dyDescent="0.2">
      <c r="A71" s="32"/>
      <c r="B71" s="32"/>
      <c r="C71" s="32"/>
      <c r="D71" s="32"/>
      <c r="E71" s="32" t="s">
        <v>11</v>
      </c>
      <c r="F71" s="32"/>
      <c r="G71" s="32"/>
      <c r="H71" s="32"/>
      <c r="I71" s="32"/>
      <c r="J71" s="155">
        <v>1</v>
      </c>
      <c r="K71" s="155">
        <v>0</v>
      </c>
      <c r="L71" s="32">
        <v>0</v>
      </c>
      <c r="M71" s="32">
        <v>1</v>
      </c>
      <c r="N71" s="32">
        <v>0</v>
      </c>
      <c r="O71" s="32">
        <v>0</v>
      </c>
      <c r="P71" s="32">
        <v>1</v>
      </c>
      <c r="Q71" s="32">
        <v>0</v>
      </c>
      <c r="R71" s="32">
        <v>0</v>
      </c>
      <c r="S71" s="32">
        <v>1</v>
      </c>
      <c r="T71" s="32">
        <v>0</v>
      </c>
      <c r="U71" s="32">
        <v>0</v>
      </c>
      <c r="V71" s="32">
        <v>1</v>
      </c>
      <c r="W71" s="32">
        <v>0</v>
      </c>
      <c r="X71" s="32">
        <v>0</v>
      </c>
      <c r="Y71" s="32">
        <v>1</v>
      </c>
      <c r="Z71" s="32">
        <v>0</v>
      </c>
      <c r="AA71" s="32">
        <v>0</v>
      </c>
      <c r="AB71" s="32">
        <v>1</v>
      </c>
      <c r="AC71" s="32">
        <v>0</v>
      </c>
      <c r="AD71" s="32">
        <v>0</v>
      </c>
      <c r="AE71" s="32">
        <v>1</v>
      </c>
      <c r="AF71" s="32">
        <v>0</v>
      </c>
      <c r="AG71" s="32">
        <v>0</v>
      </c>
      <c r="AH71" s="32">
        <v>1</v>
      </c>
      <c r="AI71" s="32">
        <v>0</v>
      </c>
      <c r="AJ71" s="32">
        <v>0</v>
      </c>
      <c r="AK71" s="32">
        <v>1</v>
      </c>
      <c r="AL71" s="32">
        <v>0</v>
      </c>
      <c r="AM71" s="32">
        <v>0</v>
      </c>
      <c r="AN71" s="32">
        <v>1</v>
      </c>
      <c r="AO71" s="32">
        <v>0</v>
      </c>
      <c r="AP71" s="32">
        <v>0</v>
      </c>
      <c r="AQ71" s="32">
        <v>1</v>
      </c>
      <c r="AR71" s="32">
        <v>0</v>
      </c>
      <c r="AS71" s="32">
        <v>0</v>
      </c>
      <c r="AT71" s="32">
        <v>1</v>
      </c>
      <c r="AU71" s="32">
        <v>0</v>
      </c>
      <c r="AV71" s="32">
        <v>0</v>
      </c>
      <c r="AW71" s="32">
        <v>1</v>
      </c>
      <c r="AX71" s="32">
        <v>0</v>
      </c>
      <c r="AY71" s="32">
        <v>0</v>
      </c>
      <c r="AZ71" s="32">
        <v>1</v>
      </c>
      <c r="BA71" s="32">
        <v>0</v>
      </c>
      <c r="BB71" s="32">
        <v>0</v>
      </c>
      <c r="BC71" s="32">
        <v>1</v>
      </c>
      <c r="BD71" s="32">
        <v>0</v>
      </c>
      <c r="BE71" s="32">
        <v>0</v>
      </c>
      <c r="BF71" s="32">
        <v>1</v>
      </c>
      <c r="BG71" s="32">
        <v>0</v>
      </c>
      <c r="BH71" s="32">
        <v>0</v>
      </c>
      <c r="BI71" s="32">
        <v>1</v>
      </c>
      <c r="BJ71" s="32">
        <v>0</v>
      </c>
      <c r="BK71" s="32">
        <v>0</v>
      </c>
      <c r="BL71" s="32">
        <v>1</v>
      </c>
      <c r="BM71" s="32">
        <v>0</v>
      </c>
      <c r="BN71" s="32">
        <v>0</v>
      </c>
      <c r="BO71" s="32">
        <v>1</v>
      </c>
      <c r="BP71" s="32">
        <v>0</v>
      </c>
      <c r="BQ71" s="32">
        <v>0</v>
      </c>
      <c r="BR71" s="32">
        <v>1</v>
      </c>
      <c r="BS71" s="32">
        <v>0</v>
      </c>
      <c r="BT71" s="32">
        <v>0</v>
      </c>
      <c r="BU71" s="32">
        <v>1</v>
      </c>
      <c r="BV71" s="32">
        <v>0</v>
      </c>
      <c r="BW71" s="32">
        <v>0</v>
      </c>
      <c r="BX71" s="32">
        <v>1</v>
      </c>
      <c r="BY71" s="32">
        <v>0</v>
      </c>
      <c r="BZ71" s="32">
        <v>0</v>
      </c>
      <c r="CA71" s="32">
        <v>1</v>
      </c>
      <c r="CB71" s="32">
        <v>0</v>
      </c>
      <c r="CC71" s="32">
        <v>0</v>
      </c>
      <c r="CD71" s="32"/>
      <c r="CE71" s="33"/>
    </row>
    <row r="72" spans="1:83" hidden="1" x14ac:dyDescent="0.2">
      <c r="A72" s="34"/>
      <c r="B72" s="34"/>
      <c r="C72" s="34"/>
      <c r="D72" s="34"/>
      <c r="E72" s="32" t="s">
        <v>13</v>
      </c>
      <c r="F72" s="32"/>
      <c r="G72" s="32"/>
      <c r="H72" s="32"/>
      <c r="I72" s="32"/>
      <c r="J72" s="24">
        <v>0</v>
      </c>
      <c r="K72" s="155">
        <v>1</v>
      </c>
      <c r="L72" s="32">
        <v>0</v>
      </c>
      <c r="M72" s="35">
        <v>0</v>
      </c>
      <c r="N72" s="32">
        <v>1</v>
      </c>
      <c r="O72" s="32">
        <v>0</v>
      </c>
      <c r="P72" s="35">
        <v>0</v>
      </c>
      <c r="Q72" s="32">
        <v>1</v>
      </c>
      <c r="R72" s="32">
        <v>0</v>
      </c>
      <c r="S72" s="35">
        <v>0</v>
      </c>
      <c r="T72" s="32">
        <v>1</v>
      </c>
      <c r="U72" s="32">
        <v>0</v>
      </c>
      <c r="V72" s="35">
        <v>0</v>
      </c>
      <c r="W72" s="32">
        <v>1</v>
      </c>
      <c r="X72" s="32">
        <v>0</v>
      </c>
      <c r="Y72" s="35">
        <v>0</v>
      </c>
      <c r="Z72" s="32">
        <v>1</v>
      </c>
      <c r="AA72" s="32">
        <v>0</v>
      </c>
      <c r="AB72" s="35">
        <v>0</v>
      </c>
      <c r="AC72" s="32">
        <v>1</v>
      </c>
      <c r="AD72" s="32">
        <v>0</v>
      </c>
      <c r="AE72" s="35">
        <v>0</v>
      </c>
      <c r="AF72" s="32">
        <v>1</v>
      </c>
      <c r="AG72" s="32">
        <v>0</v>
      </c>
      <c r="AH72" s="35">
        <v>0</v>
      </c>
      <c r="AI72" s="32">
        <v>1</v>
      </c>
      <c r="AJ72" s="32">
        <v>0</v>
      </c>
      <c r="AK72" s="35">
        <v>0</v>
      </c>
      <c r="AL72" s="32">
        <v>1</v>
      </c>
      <c r="AM72" s="32">
        <v>0</v>
      </c>
      <c r="AN72" s="35">
        <v>0</v>
      </c>
      <c r="AO72" s="32">
        <v>1</v>
      </c>
      <c r="AP72" s="32">
        <v>0</v>
      </c>
      <c r="AQ72" s="35">
        <v>0</v>
      </c>
      <c r="AR72" s="32">
        <v>1</v>
      </c>
      <c r="AS72" s="32">
        <v>0</v>
      </c>
      <c r="AT72" s="35">
        <v>0</v>
      </c>
      <c r="AU72" s="32">
        <v>1</v>
      </c>
      <c r="AV72" s="32">
        <v>0</v>
      </c>
      <c r="AW72" s="35">
        <v>0</v>
      </c>
      <c r="AX72" s="32">
        <v>1</v>
      </c>
      <c r="AY72" s="32">
        <v>0</v>
      </c>
      <c r="AZ72" s="35">
        <v>0</v>
      </c>
      <c r="BA72" s="32">
        <v>1</v>
      </c>
      <c r="BB72" s="32">
        <v>0</v>
      </c>
      <c r="BC72" s="35">
        <v>0</v>
      </c>
      <c r="BD72" s="32">
        <v>1</v>
      </c>
      <c r="BE72" s="32">
        <v>0</v>
      </c>
      <c r="BF72" s="35">
        <v>0</v>
      </c>
      <c r="BG72" s="32">
        <v>1</v>
      </c>
      <c r="BH72" s="32">
        <v>0</v>
      </c>
      <c r="BI72" s="35">
        <v>0</v>
      </c>
      <c r="BJ72" s="32">
        <v>1</v>
      </c>
      <c r="BK72" s="32">
        <v>0</v>
      </c>
      <c r="BL72" s="35">
        <v>0</v>
      </c>
      <c r="BM72" s="32">
        <v>1</v>
      </c>
      <c r="BN72" s="32">
        <v>0</v>
      </c>
      <c r="BO72" s="35">
        <v>0</v>
      </c>
      <c r="BP72" s="32">
        <v>1</v>
      </c>
      <c r="BQ72" s="32">
        <v>0</v>
      </c>
      <c r="BR72" s="35">
        <v>0</v>
      </c>
      <c r="BS72" s="32">
        <v>1</v>
      </c>
      <c r="BT72" s="32">
        <v>0</v>
      </c>
      <c r="BU72" s="35">
        <v>0</v>
      </c>
      <c r="BV72" s="32">
        <v>1</v>
      </c>
      <c r="BW72" s="32">
        <v>0</v>
      </c>
      <c r="BX72" s="35">
        <v>0</v>
      </c>
      <c r="BY72" s="32">
        <v>1</v>
      </c>
      <c r="BZ72" s="32">
        <v>0</v>
      </c>
      <c r="CA72" s="35">
        <v>0</v>
      </c>
      <c r="CB72" s="32">
        <v>1</v>
      </c>
      <c r="CC72" s="32">
        <v>0</v>
      </c>
      <c r="CD72" s="32"/>
    </row>
    <row r="73" spans="1:83" hidden="1" x14ac:dyDescent="0.2">
      <c r="A73" s="32"/>
      <c r="B73" s="32"/>
      <c r="C73" s="32"/>
      <c r="D73" s="32"/>
      <c r="E73" s="36" t="s">
        <v>14</v>
      </c>
      <c r="F73" s="32"/>
      <c r="G73" s="32"/>
      <c r="H73" s="32"/>
      <c r="I73" s="32"/>
      <c r="J73" s="24">
        <v>0</v>
      </c>
      <c r="K73" s="155">
        <v>0</v>
      </c>
      <c r="L73" s="32">
        <v>1</v>
      </c>
      <c r="M73" s="35">
        <v>0</v>
      </c>
      <c r="N73" s="32">
        <v>0</v>
      </c>
      <c r="O73" s="32">
        <v>1</v>
      </c>
      <c r="P73" s="35">
        <v>0</v>
      </c>
      <c r="Q73" s="32">
        <v>0</v>
      </c>
      <c r="R73" s="32">
        <v>1</v>
      </c>
      <c r="S73" s="35">
        <v>0</v>
      </c>
      <c r="T73" s="32">
        <v>0</v>
      </c>
      <c r="U73" s="32">
        <v>1</v>
      </c>
      <c r="V73" s="35">
        <v>0</v>
      </c>
      <c r="W73" s="32">
        <v>0</v>
      </c>
      <c r="X73" s="32">
        <v>1</v>
      </c>
      <c r="Y73" s="35">
        <v>0</v>
      </c>
      <c r="Z73" s="32">
        <v>0</v>
      </c>
      <c r="AA73" s="32">
        <v>1</v>
      </c>
      <c r="AB73" s="35">
        <v>0</v>
      </c>
      <c r="AC73" s="32">
        <v>0</v>
      </c>
      <c r="AD73" s="32">
        <v>1</v>
      </c>
      <c r="AE73" s="35">
        <v>0</v>
      </c>
      <c r="AF73" s="32">
        <v>0</v>
      </c>
      <c r="AG73" s="32">
        <v>1</v>
      </c>
      <c r="AH73" s="35">
        <v>0</v>
      </c>
      <c r="AI73" s="32">
        <v>0</v>
      </c>
      <c r="AJ73" s="32">
        <v>1</v>
      </c>
      <c r="AK73" s="35">
        <v>0</v>
      </c>
      <c r="AL73" s="32">
        <v>0</v>
      </c>
      <c r="AM73" s="32">
        <v>1</v>
      </c>
      <c r="AN73" s="35">
        <v>0</v>
      </c>
      <c r="AO73" s="32">
        <v>0</v>
      </c>
      <c r="AP73" s="32">
        <v>1</v>
      </c>
      <c r="AQ73" s="35">
        <v>0</v>
      </c>
      <c r="AR73" s="32">
        <v>0</v>
      </c>
      <c r="AS73" s="32">
        <v>1</v>
      </c>
      <c r="AT73" s="35">
        <v>0</v>
      </c>
      <c r="AU73" s="32">
        <v>0</v>
      </c>
      <c r="AV73" s="32">
        <v>1</v>
      </c>
      <c r="AW73" s="35">
        <v>0</v>
      </c>
      <c r="AX73" s="32">
        <v>0</v>
      </c>
      <c r="AY73" s="32">
        <v>1</v>
      </c>
      <c r="AZ73" s="35">
        <v>0</v>
      </c>
      <c r="BA73" s="32">
        <v>0</v>
      </c>
      <c r="BB73" s="32">
        <v>1</v>
      </c>
      <c r="BC73" s="35">
        <v>0</v>
      </c>
      <c r="BD73" s="32">
        <v>0</v>
      </c>
      <c r="BE73" s="32">
        <v>1</v>
      </c>
      <c r="BF73" s="35">
        <v>0</v>
      </c>
      <c r="BG73" s="32">
        <v>0</v>
      </c>
      <c r="BH73" s="32">
        <v>1</v>
      </c>
      <c r="BI73" s="35">
        <v>0</v>
      </c>
      <c r="BJ73" s="32">
        <v>0</v>
      </c>
      <c r="BK73" s="32">
        <v>1</v>
      </c>
      <c r="BL73" s="35">
        <v>0</v>
      </c>
      <c r="BM73" s="32">
        <v>0</v>
      </c>
      <c r="BN73" s="32">
        <v>1</v>
      </c>
      <c r="BO73" s="35">
        <v>0</v>
      </c>
      <c r="BP73" s="32">
        <v>0</v>
      </c>
      <c r="BQ73" s="32">
        <v>1</v>
      </c>
      <c r="BR73" s="35">
        <v>0</v>
      </c>
      <c r="BS73" s="32">
        <v>0</v>
      </c>
      <c r="BT73" s="32">
        <v>1</v>
      </c>
      <c r="BU73" s="35">
        <v>0</v>
      </c>
      <c r="BV73" s="32">
        <v>0</v>
      </c>
      <c r="BW73" s="32">
        <v>1</v>
      </c>
      <c r="BX73" s="35">
        <v>0</v>
      </c>
      <c r="BY73" s="32">
        <v>0</v>
      </c>
      <c r="BZ73" s="32">
        <v>1</v>
      </c>
      <c r="CA73" s="35">
        <v>0</v>
      </c>
      <c r="CB73" s="32">
        <v>0</v>
      </c>
      <c r="CC73" s="32">
        <v>1</v>
      </c>
      <c r="CD73" s="32"/>
    </row>
    <row r="74" spans="1:83" x14ac:dyDescent="0.2">
      <c r="A74" s="37">
        <v>300</v>
      </c>
      <c r="B74" s="37">
        <v>300</v>
      </c>
      <c r="C74" s="37">
        <v>300</v>
      </c>
      <c r="D74" s="37" t="s">
        <v>90</v>
      </c>
      <c r="E74" s="38" t="s">
        <v>86</v>
      </c>
      <c r="F74" s="38"/>
      <c r="G74" s="38"/>
      <c r="H74" s="38"/>
      <c r="I74" s="39">
        <f>SUBTOTAL(109,I$4:I$69)</f>
        <v>189</v>
      </c>
      <c r="J74" s="156">
        <f>SUBTOTAL(109,J$4:J$69)</f>
        <v>2</v>
      </c>
      <c r="K74" s="156">
        <f>SUBTOTAL(109,K$4:K$68)</f>
        <v>187</v>
      </c>
      <c r="L74" s="39"/>
      <c r="M74" s="39">
        <f>SUBTOTAL(109,M$4:M$69)</f>
        <v>0</v>
      </c>
      <c r="N74" s="39">
        <f>SUBTOTAL(109,N$4:N$68)</f>
        <v>174</v>
      </c>
      <c r="O74" s="39"/>
      <c r="P74" s="39">
        <f>SUBTOTAL(109,P$4:P$69)</f>
        <v>0</v>
      </c>
      <c r="Q74" s="39">
        <f>SUBTOTAL(109,Q$4:Q$68)</f>
        <v>174</v>
      </c>
      <c r="R74" s="39"/>
      <c r="S74" s="39">
        <f>SUBTOTAL(109,S$4:S$69)</f>
        <v>0</v>
      </c>
      <c r="T74" s="39">
        <f>SUBTOTAL(109,T$4:T$68)</f>
        <v>174</v>
      </c>
      <c r="U74" s="39"/>
      <c r="V74" s="39">
        <f>SUBTOTAL(109,V$4:V$69)</f>
        <v>0</v>
      </c>
      <c r="W74" s="39">
        <f>SUBTOTAL(109,W$4:W$68)</f>
        <v>174</v>
      </c>
      <c r="X74" s="39"/>
      <c r="Y74" s="39">
        <f>SUBTOTAL(109,Y$4:Y$69)</f>
        <v>0</v>
      </c>
      <c r="Z74" s="39">
        <f>SUBTOTAL(109,Z$4:Z$68)</f>
        <v>174</v>
      </c>
      <c r="AA74" s="39"/>
      <c r="AB74" s="39">
        <f>SUBTOTAL(109,AB$4:AB$69)</f>
        <v>0</v>
      </c>
      <c r="AC74" s="39">
        <f>SUBTOTAL(109,AC$4:AC$68)</f>
        <v>174</v>
      </c>
      <c r="AD74" s="39"/>
      <c r="AE74" s="39">
        <f>SUBTOTAL(109,AE$4:AE$69)</f>
        <v>0</v>
      </c>
      <c r="AF74" s="39">
        <f>SUBTOTAL(109,AF$4:AF$68)</f>
        <v>174</v>
      </c>
      <c r="AG74" s="39"/>
      <c r="AH74" s="39">
        <f>SUBTOTAL(109,AH$4:AH$69)</f>
        <v>0</v>
      </c>
      <c r="AI74" s="39">
        <f>SUBTOTAL(109,AI$4:AI$68)</f>
        <v>174</v>
      </c>
      <c r="AJ74" s="39"/>
      <c r="AK74" s="39">
        <f>SUBTOTAL(109,AK$4:AK$69)</f>
        <v>0</v>
      </c>
      <c r="AL74" s="39">
        <f>SUBTOTAL(109,AL$4:AL$68)</f>
        <v>174</v>
      </c>
      <c r="AM74" s="39"/>
      <c r="AN74" s="39">
        <f>SUBTOTAL(109,AN$4:AN$69)</f>
        <v>0</v>
      </c>
      <c r="AO74" s="39">
        <f>SUBTOTAL(109,AO$4:AO$68)</f>
        <v>174</v>
      </c>
      <c r="AP74" s="39"/>
      <c r="AQ74" s="39">
        <f>SUBTOTAL(109,AQ$4:AQ$69)</f>
        <v>0</v>
      </c>
      <c r="AR74" s="39">
        <f>SUBTOTAL(109,AR$4:AR$68)</f>
        <v>174</v>
      </c>
      <c r="AS74" s="39"/>
      <c r="AT74" s="39">
        <f>SUBTOTAL(109,AT$4:AT$69)</f>
        <v>0</v>
      </c>
      <c r="AU74" s="39">
        <f>SUBTOTAL(109,AU$4:AU$68)</f>
        <v>174</v>
      </c>
      <c r="AV74" s="39"/>
      <c r="AW74" s="39">
        <f>SUBTOTAL(109,AW$4:AW$69)</f>
        <v>0</v>
      </c>
      <c r="AX74" s="39">
        <f>SUBTOTAL(109,AX$4:AX$68)</f>
        <v>174</v>
      </c>
      <c r="AY74" s="39"/>
      <c r="AZ74" s="39">
        <f t="shared" ref="AZ74:CC74" si="185">SUBTOTAL(109,AZ$4:AZ$68)</f>
        <v>0</v>
      </c>
      <c r="BA74" s="39" t="e">
        <f t="shared" si="185"/>
        <v>#REF!</v>
      </c>
      <c r="BB74" s="39" t="e">
        <f t="shared" si="185"/>
        <v>#REF!</v>
      </c>
      <c r="BC74" s="39">
        <f t="shared" si="185"/>
        <v>0</v>
      </c>
      <c r="BD74" s="39" t="e">
        <f t="shared" si="185"/>
        <v>#REF!</v>
      </c>
      <c r="BE74" s="39" t="e">
        <f t="shared" si="185"/>
        <v>#REF!</v>
      </c>
      <c r="BF74" s="39">
        <f t="shared" si="185"/>
        <v>0</v>
      </c>
      <c r="BG74" s="39" t="e">
        <f t="shared" si="185"/>
        <v>#REF!</v>
      </c>
      <c r="BH74" s="39" t="e">
        <f t="shared" si="185"/>
        <v>#REF!</v>
      </c>
      <c r="BI74" s="39">
        <f t="shared" si="185"/>
        <v>0</v>
      </c>
      <c r="BJ74" s="39" t="e">
        <f t="shared" si="185"/>
        <v>#REF!</v>
      </c>
      <c r="BK74" s="39" t="e">
        <f t="shared" si="185"/>
        <v>#REF!</v>
      </c>
      <c r="BL74" s="39">
        <f t="shared" si="185"/>
        <v>0</v>
      </c>
      <c r="BM74" s="39" t="e">
        <f t="shared" si="185"/>
        <v>#REF!</v>
      </c>
      <c r="BN74" s="39" t="e">
        <f t="shared" si="185"/>
        <v>#REF!</v>
      </c>
      <c r="BO74" s="39">
        <f t="shared" si="185"/>
        <v>0</v>
      </c>
      <c r="BP74" s="39" t="e">
        <f t="shared" si="185"/>
        <v>#REF!</v>
      </c>
      <c r="BQ74" s="39" t="e">
        <f t="shared" si="185"/>
        <v>#REF!</v>
      </c>
      <c r="BR74" s="39">
        <f t="shared" si="185"/>
        <v>0</v>
      </c>
      <c r="BS74" s="39" t="e">
        <f t="shared" si="185"/>
        <v>#REF!</v>
      </c>
      <c r="BT74" s="39" t="e">
        <f t="shared" si="185"/>
        <v>#REF!</v>
      </c>
      <c r="BU74" s="39">
        <f t="shared" si="185"/>
        <v>0</v>
      </c>
      <c r="BV74" s="39" t="e">
        <f t="shared" si="185"/>
        <v>#REF!</v>
      </c>
      <c r="BW74" s="39" t="e">
        <f t="shared" si="185"/>
        <v>#REF!</v>
      </c>
      <c r="BX74" s="39">
        <f t="shared" si="185"/>
        <v>0</v>
      </c>
      <c r="BY74" s="39" t="e">
        <f t="shared" si="185"/>
        <v>#REF!</v>
      </c>
      <c r="BZ74" s="39" t="e">
        <f t="shared" si="185"/>
        <v>#REF!</v>
      </c>
      <c r="CA74" s="39">
        <f t="shared" si="185"/>
        <v>0</v>
      </c>
      <c r="CB74" s="39" t="e">
        <f t="shared" si="185"/>
        <v>#REF!</v>
      </c>
      <c r="CC74" s="39" t="e">
        <f t="shared" si="185"/>
        <v>#REF!</v>
      </c>
      <c r="CD74" s="38"/>
      <c r="CE74" s="40"/>
    </row>
    <row r="75" spans="1:83" x14ac:dyDescent="0.2">
      <c r="A75" s="41"/>
      <c r="B75" s="41"/>
      <c r="C75" s="41"/>
      <c r="D75" s="41"/>
      <c r="E75" s="41"/>
      <c r="F75" s="41"/>
      <c r="G75" s="41"/>
      <c r="H75" s="41"/>
      <c r="I75" s="41"/>
      <c r="J75" s="157"/>
      <c r="K75" s="158"/>
      <c r="L75" s="41"/>
      <c r="M75" s="42"/>
      <c r="N75" s="41"/>
      <c r="O75" s="41"/>
      <c r="P75" s="42"/>
      <c r="Q75" s="41"/>
      <c r="R75" s="41"/>
      <c r="S75" s="42"/>
      <c r="T75" s="41"/>
      <c r="U75" s="41"/>
      <c r="V75" s="42"/>
      <c r="W75" s="41"/>
      <c r="X75" s="41"/>
      <c r="Y75" s="42"/>
      <c r="Z75" s="41"/>
      <c r="AA75" s="41"/>
      <c r="AB75" s="42"/>
      <c r="AC75" s="41"/>
      <c r="AD75" s="41"/>
      <c r="AE75" s="42"/>
      <c r="AF75" s="41"/>
      <c r="AG75" s="41"/>
      <c r="AH75" s="42"/>
      <c r="AI75" s="41"/>
      <c r="AJ75" s="41"/>
      <c r="AK75" s="42"/>
      <c r="AL75" s="41"/>
      <c r="AM75" s="41"/>
      <c r="AN75" s="42"/>
      <c r="AO75" s="41"/>
      <c r="AP75" s="41"/>
      <c r="AQ75" s="42"/>
      <c r="AR75" s="41"/>
      <c r="AS75" s="41"/>
      <c r="AT75" s="42"/>
      <c r="AU75" s="41"/>
      <c r="AV75" s="41"/>
      <c r="AW75" s="42"/>
      <c r="AX75" s="41"/>
      <c r="AY75" s="41"/>
      <c r="AZ75" s="42"/>
      <c r="BA75" s="41"/>
      <c r="BB75" s="41"/>
      <c r="BC75" s="42"/>
      <c r="BD75" s="41"/>
      <c r="BE75" s="41"/>
      <c r="BF75" s="42"/>
      <c r="BG75" s="41"/>
      <c r="BH75" s="41"/>
      <c r="BI75" s="42"/>
      <c r="BJ75" s="41"/>
      <c r="BK75" s="41"/>
      <c r="BL75" s="42"/>
      <c r="BM75" s="41"/>
      <c r="BN75" s="41"/>
      <c r="BO75" s="42"/>
      <c r="BP75" s="41"/>
      <c r="BQ75" s="41"/>
      <c r="BR75" s="42"/>
      <c r="BS75" s="41"/>
      <c r="BT75" s="41"/>
      <c r="BU75" s="42"/>
      <c r="BV75" s="41"/>
      <c r="BW75" s="41"/>
      <c r="BX75" s="42"/>
      <c r="BY75" s="41"/>
      <c r="BZ75" s="41"/>
      <c r="CA75" s="42"/>
      <c r="CB75" s="41"/>
      <c r="CC75" s="41"/>
      <c r="CD75" s="41"/>
    </row>
    <row r="76" spans="1:83" x14ac:dyDescent="0.2">
      <c r="A76" s="41"/>
      <c r="B76" s="41"/>
      <c r="C76" s="41"/>
      <c r="D76" s="41"/>
      <c r="E76" s="41"/>
      <c r="F76" s="41"/>
      <c r="G76" s="41"/>
      <c r="H76" s="41"/>
      <c r="I76" s="41"/>
      <c r="J76" s="157"/>
      <c r="K76" s="158"/>
      <c r="L76" s="41"/>
      <c r="M76" s="42"/>
      <c r="N76" s="41"/>
      <c r="O76" s="41"/>
      <c r="P76" s="42"/>
      <c r="Q76" s="41"/>
      <c r="R76" s="41"/>
      <c r="S76" s="42"/>
      <c r="T76" s="41"/>
      <c r="U76" s="41"/>
      <c r="V76" s="42"/>
      <c r="W76" s="41"/>
      <c r="X76" s="41"/>
      <c r="Y76" s="42"/>
      <c r="Z76" s="41"/>
      <c r="AA76" s="41"/>
      <c r="AB76" s="42"/>
      <c r="AC76" s="41"/>
      <c r="AD76" s="41"/>
      <c r="AE76" s="42"/>
      <c r="AF76" s="41"/>
      <c r="AG76" s="41"/>
      <c r="AH76" s="42"/>
      <c r="AI76" s="41"/>
      <c r="AJ76" s="41"/>
      <c r="AK76" s="42"/>
      <c r="AL76" s="41"/>
      <c r="AM76" s="41"/>
      <c r="AN76" s="42"/>
      <c r="AO76" s="41"/>
      <c r="AP76" s="41"/>
      <c r="AQ76" s="42"/>
      <c r="AR76" s="41"/>
      <c r="AS76" s="41"/>
      <c r="AT76" s="42"/>
      <c r="AU76" s="41"/>
      <c r="AV76" s="41"/>
      <c r="AW76" s="42"/>
      <c r="AX76" s="41"/>
      <c r="AY76" s="41"/>
      <c r="AZ76" s="42"/>
      <c r="BA76" s="41"/>
      <c r="BB76" s="41"/>
      <c r="BC76" s="42"/>
      <c r="BD76" s="41"/>
      <c r="BE76" s="41"/>
      <c r="BF76" s="42"/>
      <c r="BG76" s="41"/>
      <c r="BH76" s="41"/>
      <c r="BI76" s="42"/>
      <c r="BJ76" s="41"/>
      <c r="BK76" s="41"/>
      <c r="BL76" s="42"/>
      <c r="BM76" s="41"/>
      <c r="BN76" s="41"/>
      <c r="BO76" s="42"/>
      <c r="BP76" s="41"/>
      <c r="BQ76" s="41"/>
      <c r="BR76" s="42"/>
      <c r="BS76" s="41"/>
      <c r="BT76" s="41"/>
      <c r="BU76" s="42"/>
      <c r="BV76" s="41"/>
      <c r="BW76" s="41"/>
      <c r="BX76" s="42"/>
      <c r="BY76" s="41"/>
      <c r="BZ76" s="41"/>
      <c r="CA76" s="42"/>
      <c r="CB76" s="41"/>
      <c r="CC76" s="41"/>
      <c r="CD76" s="41"/>
    </row>
    <row r="77" spans="1:83" x14ac:dyDescent="0.2">
      <c r="A77" s="41"/>
      <c r="B77" s="41"/>
      <c r="C77" s="41"/>
      <c r="D77" s="41"/>
      <c r="E77" s="41"/>
      <c r="F77" s="41"/>
      <c r="G77" s="41"/>
    </row>
    <row r="78" spans="1:83" x14ac:dyDescent="0.2">
      <c r="A78" s="41"/>
      <c r="B78" s="41"/>
      <c r="C78" s="41"/>
      <c r="D78" s="41"/>
      <c r="E78" s="41"/>
      <c r="F78" s="41"/>
      <c r="G78" s="41"/>
    </row>
  </sheetData>
  <autoFilter ref="C3:CE68"/>
  <mergeCells count="48">
    <mergeCell ref="AT70:AU70"/>
    <mergeCell ref="AW70:AX70"/>
    <mergeCell ref="AH70:AI70"/>
    <mergeCell ref="AK70:AL70"/>
    <mergeCell ref="AN70:AO70"/>
    <mergeCell ref="AQ70:AR70"/>
    <mergeCell ref="AW1:AY1"/>
    <mergeCell ref="AH1:AJ1"/>
    <mergeCell ref="AK1:AM1"/>
    <mergeCell ref="AN1:AP1"/>
    <mergeCell ref="AQ1:AS1"/>
    <mergeCell ref="AT1:AV1"/>
    <mergeCell ref="V1:X1"/>
    <mergeCell ref="J70:K70"/>
    <mergeCell ref="M70:N70"/>
    <mergeCell ref="P70:Q70"/>
    <mergeCell ref="S70:T70"/>
    <mergeCell ref="V70:W70"/>
    <mergeCell ref="J1:L1"/>
    <mergeCell ref="M1:O1"/>
    <mergeCell ref="P1:R1"/>
    <mergeCell ref="S1:U1"/>
    <mergeCell ref="BL1:BN1"/>
    <mergeCell ref="BL70:BM70"/>
    <mergeCell ref="BO1:BQ1"/>
    <mergeCell ref="BO70:BP70"/>
    <mergeCell ref="AZ1:BB1"/>
    <mergeCell ref="AZ70:BA70"/>
    <mergeCell ref="BC1:BE1"/>
    <mergeCell ref="BC70:BD70"/>
    <mergeCell ref="BF1:BH1"/>
    <mergeCell ref="BF70:BG70"/>
    <mergeCell ref="BI1:BK1"/>
    <mergeCell ref="BI70:BJ70"/>
    <mergeCell ref="BX1:BZ1"/>
    <mergeCell ref="BX70:BY70"/>
    <mergeCell ref="CA1:CC1"/>
    <mergeCell ref="CA70:CB70"/>
    <mergeCell ref="BR1:BT1"/>
    <mergeCell ref="BR70:BS70"/>
    <mergeCell ref="BU1:BW1"/>
    <mergeCell ref="BU70:BV70"/>
    <mergeCell ref="AE70:AF70"/>
    <mergeCell ref="AB70:AC70"/>
    <mergeCell ref="Y70:Z70"/>
    <mergeCell ref="AE1:AG1"/>
    <mergeCell ref="AB1:AD1"/>
    <mergeCell ref="Y1:AA1"/>
  </mergeCells>
  <phoneticPr fontId="2" type="noConversion"/>
  <conditionalFormatting sqref="I74">
    <cfRule type="cellIs" dxfId="122" priority="97" stopIfTrue="1" operator="lessThan">
      <formula>C74*0.75</formula>
    </cfRule>
    <cfRule type="cellIs" dxfId="121" priority="97" stopIfTrue="1" operator="between">
      <formula>C74*0.75</formula>
      <formula>#REF!</formula>
    </cfRule>
    <cfRule type="cellIs" dxfId="120" priority="97" stopIfTrue="1" operator="greaterThan">
      <formula>C74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119" priority="89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118" priority="90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117" priority="91" stopIfTrue="1">
      <formula>J$1=TODAY()+DailyScrumDateModifier</formula>
    </cfRule>
  </conditionalFormatting>
  <conditionalFormatting sqref="S4:S12 AW4:AW12 AT4:AT12 AQ4:AQ12 AN4:AN12 AK4:AK12 AH4:AH12 AE4:AE12 AB4:AB12 Y4:Y12 V4:V12 CA4:CA12 BX4:BX12 BU4:BU12 BR4:BR12 BO4:BO12 BL4:BL12 BI4:BI12 BF4:BF12 BC4:BC12 AZ4:AZ12 M4:M12 J4:J12 P4:P12 P20 J20 M20 AZ20 BC20 BF20 BI20 BL20 BO20 BR20 BU20 BX20 CA20 V20 Y20 AB20 AE20 AH20 AK20 AN20 AQ20 AT20 AW20 S20 S27:S68 AW27:AW68 AT27:AT68 AQ27:AQ68 AN27:AN68 AK27:AK68 AH27:AH68 AE27:AE68 AB27:AB68 Y27:Y68 V27:V68 CA27:CA68 BX27:BX68 BU27:BU68 BR27:BR68 BO27:BO68 BL27:BL68 BI27:BI68 BF27:BF68 BC27:BC68 AZ27:AZ68 M27:M68 J27:J68 P27:P68 P16:P18 J16:J18 M16:M18 AZ16:AZ18 BC16:BC18 BF16:BF18 BI16:BI18 BL16:BL18 BO16:BO18 BR16:BR18 BU16:BU18 BX16:BX18 CA16:CA18 V16:V18 Y16:Y18 AB16:AB18 AE16:AE18 AH16:AH18 AK16:AK18 AN16:AN18 AQ16:AQ18 AT16:AT18 AW16:AW18 S16:S18 S23:S25 AW23:AW25 AT23:AT25 AQ23:AQ25 AN23:AN25 AK23:AK25 AH23:AH25 AE23:AE25 AB23:AB25 Y23:Y25 V23:V25 CA23:CA25 BX23:BX25 BU23:BU25 BR23:BR25 BO23:BO25 BL23:BL25 BI23:BI25 BF23:BF25 BC23:BC25 AZ23:AZ25 M23:M25 J23:J25 P23:P25">
    <cfRule type="expression" dxfId="116" priority="100" stopIfTrue="1">
      <formula>J$1=TODAY()+DailyScrumDateModifier</formula>
    </cfRule>
    <cfRule type="expression" dxfId="115" priority="100" stopIfTrue="1">
      <formula>MOD(ROW(),2)</formula>
    </cfRule>
  </conditionalFormatting>
  <conditionalFormatting sqref="N4:N12 AX4:AX12 AU4:AU12 AR4:AR12 AL4:AL12 AF4:AF12 AC4:AC12 Z4:Z12 W4:W12 Q4:Q12 CB4:CB12 BY4:BY12 BV4:BV12 BS4:BS12 BP4:BP12 BM4:BM12 BJ4:BJ12 BG4:BG12 BD4:BD12 BA4:BA12 K4:K12 T4:T12 AI4:AI12 AO4:AO12 AO20 AI20 T20 K20 BA20 BD20 BG20 BJ20 BM20 BP20 BS20 BV20 BY20 CB20 Q20 W20 Z20 AC20 AF20 AL20 AR20 AU20 AX20 N20 N27:N68 AX27:AX68 AU27:AU68 AR27:AR68 AL27:AL68 AF27:AF68 AC27:AC68 Z27:Z68 W27:W68 Q27:Q68 CB27:CB68 BY27:BY68 BV27:BV68 BS27:BS68 BP27:BP68 BM27:BM68 BJ27:BJ68 BG27:BG68 BD27:BD68 BA27:BA68 K27:K68 T27:T68 AI27:AI68 AO27:AO68 AO16:AO18 AI16:AI18 T16:T18 K16:K18 BA16:BA18 BD16:BD18 BG16:BG18 BJ16:BJ18 BM16:BM18 BP16:BP18 BS16:BS18 BV16:BV18 BY16:BY18 CB16:CB18 Q16:Q18 W16:W18 Z16:Z18 AC16:AC18 AF16:AF18 AL16:AL18 AR16:AR18 AU16:AU18 AX16:AX18 N16:N18 N23:N25 AX23:AX25 AU23:AU25 AR23:AR25 AL23:AL25 AF23:AF25 AC23:AC25 Z23:Z25 W23:W25 Q23:Q25 CB23:CB25 BY23:BY25 BV23:BV25 BS23:BS25 BP23:BP25 BM23:BM25 BJ23:BJ25 BG23:BG25 BD23:BD25 BA23:BA25 K23:K25 T23:T25 AI23:AI25 AO23:AO25">
    <cfRule type="expression" dxfId="114" priority="102" stopIfTrue="1">
      <formula>J$1=TODAY()+DailyScrumDateModifier</formula>
    </cfRule>
    <cfRule type="expression" dxfId="113" priority="102" stopIfTrue="1">
      <formula>MOD(ROW(),2)</formula>
    </cfRule>
  </conditionalFormatting>
  <conditionalFormatting sqref="CE4:CE12 A29:E68 A4:E12 H4:I12 H20:I20 CE20 A20:C20 CE27:CE69 H27:I68 E27 H16:I18 CE16:CE18 A16:C18 A23:A28 C23:C28 B23:B27 E16:E20 CE23:CE25 H23:I25">
    <cfRule type="expression" dxfId="112" priority="104" stopIfTrue="1">
      <formula>MOD(ROW(),2)</formula>
    </cfRule>
  </conditionalFormatting>
  <conditionalFormatting sqref="CC4:CC12 BZ4:BZ12 BW4:BW12 BT4:BT12 BQ4:BQ12 BN4:BN12 BK4:BK12 BH4:BH12 BE4:BE12 BB4:BB12 X4:X12 U4:U12 R4:R12 O4:O12 AY4:AY12 AV4:AV12 AS4:AS12 AP4:AP12 AM4:AM12 AJ4:AJ12 AG4:AG12 AD4:AD12 AA4:AA12 L4:L12 L20 AA20 AD20 AG20 AJ20 AM20 AP20 AS20 AV20 AY20 O20 R20 U20 X20 BB20 BE20 BH20 BK20 BN20 BQ20 BT20 BW20 BZ20 CC20 CC27:CC68 BZ27:BZ68 BW27:BW68 BT27:BT68 BQ27:BQ68 BN27:BN68 BK27:BK68 BH27:BH68 BE27:BE68 BB27:BB68 X27:X68 U27:U68 R27:R68 O27:O68 AY27:AY68 AV27:AV68 AS27:AS68 AP27:AP68 AM27:AM68 AJ27:AJ68 AG27:AG68 AD27:AD68 AA27:AA68 L27:L68 L16:L18 AA16:AA18 AD16:AD18 AG16:AG18 AJ16:AJ18 AM16:AM18 AP16:AP18 AS16:AS18 AV16:AV18 AY16:AY18 O16:O18 R16:R18 U16:U18 X16:X18 BB16:BB18 BE16:BE18 BH16:BH18 BK16:BK18 BN16:BN18 BQ16:BQ18 BT16:BT18 BW16:BW18 BZ16:BZ18 CC16:CC18 CC23:CC25 BZ23:BZ25 BW23:BW25 BT23:BT25 BQ23:BQ25 BN23:BN25 BK23:BK25 BH23:BH25 BE23:BE25 BB23:BB25 X23:X25 U23:U25 R23:R25 O23:O25 AY23:AY25 AV23:AV25 AS23:AS25 AP23:AP25 AM23:AM25 AJ23:AJ25 AG23:AG25 AD23:AD25 AA23:AA25 L23:L25">
    <cfRule type="cellIs" dxfId="111" priority="105" stopIfTrue="1" operator="equal">
      <formula>"Pending"</formula>
    </cfRule>
    <cfRule type="cellIs" dxfId="110" priority="105" stopIfTrue="1" operator="equal">
      <formula>"In Progress"</formula>
    </cfRule>
    <cfRule type="cellIs" dxfId="109" priority="105" stopIfTrue="1" operator="equal">
      <formula>"Complete"</formula>
    </cfRule>
  </conditionalFormatting>
  <conditionalFormatting sqref="J1:CC1">
    <cfRule type="expression" dxfId="108" priority="92" stopIfTrue="1">
      <formula>J$1=TODAY()+DailyScrumDateModifier</formula>
    </cfRule>
    <cfRule type="expression" dxfId="107" priority="92" stopIfTrue="1">
      <formula>J$1=TODAY()</formula>
    </cfRule>
  </conditionalFormatting>
  <conditionalFormatting sqref="J75:K76 M75:N76">
    <cfRule type="expression" dxfId="106" priority="94" stopIfTrue="1">
      <formula>"I1=TODAY()"</formula>
    </cfRule>
  </conditionalFormatting>
  <conditionalFormatting sqref="G70">
    <cfRule type="cellIs" dxfId="105" priority="95" stopIfTrue="1" operator="equal">
      <formula>"Complete"</formula>
    </cfRule>
    <cfRule type="cellIs" dxfId="104" priority="95" stopIfTrue="1" operator="equal">
      <formula>"In Progress"</formula>
    </cfRule>
  </conditionalFormatting>
  <conditionalFormatting sqref="G4:G12 G20 G27:G68 G16:G18 G23:G25">
    <cfRule type="cellIs" dxfId="103" priority="108" stopIfTrue="1" operator="equal">
      <formula>"Complete"</formula>
    </cfRule>
    <cfRule type="cellIs" dxfId="102" priority="108" stopIfTrue="1" operator="equal">
      <formula>"In Progress"</formula>
    </cfRule>
    <cfRule type="cellIs" dxfId="101" priority="108" stopIfTrue="1" operator="equal">
      <formula>"Pending"</formula>
    </cfRule>
  </conditionalFormatting>
  <conditionalFormatting sqref="E23:E24">
    <cfRule type="expression" dxfId="100" priority="86" stopIfTrue="1">
      <formula>MOD(ROW(),2)</formula>
    </cfRule>
  </conditionalFormatting>
  <conditionalFormatting sqref="P19 J19 M19 AZ19 BC19 BF19 BI19 BL19 BO19 BR19 BU19 BX19 CA19 V19 Y19 AB19 AE19 AH19 AK19 AN19 AQ19 AT19 AW19 S19">
    <cfRule type="expression" dxfId="99" priority="75" stopIfTrue="1">
      <formula>J$1=TODAY()+DailyScrumDateModifier</formula>
    </cfRule>
  </conditionalFormatting>
  <conditionalFormatting sqref="AO19 AI19 T19 K19 BA19 BD19 BG19 BJ19 BM19 BP19 BS19 BV19 BY19 CB19 Q19 W19 Z19 AC19 AF19 AL19 AR19 AU19 AX19 N19">
    <cfRule type="expression" dxfId="98" priority="76" stopIfTrue="1">
      <formula>J$1=TODAY()+DailyScrumDateModifier</formula>
    </cfRule>
  </conditionalFormatting>
  <conditionalFormatting sqref="H19:I19 A19:C19 CE19">
    <cfRule type="expression" dxfId="97" priority="77" stopIfTrue="1">
      <formula>MOD(ROW(),2)</formula>
    </cfRule>
  </conditionalFormatting>
  <conditionalFormatting sqref="L19 AA19 AD19 AG19 AJ19 AM19 AP19 AS19 AV19 AY19 O19 R19 U19 X19 BB19 BE19 BH19 BK19 BN19 BQ19 BT19 BW19 BZ19 CC19">
    <cfRule type="cellIs" dxfId="96" priority="78" stopIfTrue="1" operator="equal">
      <formula>"Pending"</formula>
    </cfRule>
  </conditionalFormatting>
  <conditionalFormatting sqref="G19">
    <cfRule type="cellIs" dxfId="95" priority="79" stopIfTrue="1" operator="equal">
      <formula>"Complete"</formula>
    </cfRule>
  </conditionalFormatting>
  <conditionalFormatting sqref="S26 AW26 AT26 AQ26 AN26 AK26 AH26 AE26 AB26 Y26 V26 CA26 BX26 BU26 BR26 BO26 BL26 BI26 BF26 BC26 AZ26 M26 J26 P26">
    <cfRule type="expression" dxfId="94" priority="64" stopIfTrue="1">
      <formula>J$1=TODAY()+DailyScrumDateModifier</formula>
    </cfRule>
  </conditionalFormatting>
  <conditionalFormatting sqref="N26 AX26 AU26 AR26 AL26 AF26 AC26 Z26 W26 Q26 CB26 BY26 BV26 BS26 BP26 BM26 BJ26 BG26 BD26 BA26 K26 T26 AI26 AO26">
    <cfRule type="expression" dxfId="93" priority="65" stopIfTrue="1">
      <formula>J$1=TODAY()+DailyScrumDateModifier</formula>
    </cfRule>
  </conditionalFormatting>
  <conditionalFormatting sqref="CE26 H26:I26 D28">
    <cfRule type="expression" dxfId="92" priority="66" stopIfTrue="1">
      <formula>MOD(ROW(),2)</formula>
    </cfRule>
  </conditionalFormatting>
  <conditionalFormatting sqref="CC26 BZ26 BW26 BT26 BQ26 BN26 BK26 BH26 BE26 BB26 X26 U26 R26 O26 AY26 AV26 AS26 AP26 AM26 AJ26 AG26 AD26 AA26 L26">
    <cfRule type="cellIs" dxfId="91" priority="67" stopIfTrue="1" operator="equal">
      <formula>"Pending"</formula>
    </cfRule>
  </conditionalFormatting>
  <conditionalFormatting sqref="G26">
    <cfRule type="cellIs" dxfId="90" priority="68" stopIfTrue="1" operator="equal">
      <formula>"Complete"</formula>
    </cfRule>
  </conditionalFormatting>
  <conditionalFormatting sqref="E25">
    <cfRule type="expression" dxfId="89" priority="63" stopIfTrue="1">
      <formula>MOD(ROW(),2)</formula>
    </cfRule>
  </conditionalFormatting>
  <conditionalFormatting sqref="E26">
    <cfRule type="expression" dxfId="88" priority="62" stopIfTrue="1">
      <formula>MOD(ROW(),2)</formula>
    </cfRule>
  </conditionalFormatting>
  <conditionalFormatting sqref="P13 J13 M13 AZ13 BC13 BF13 BI13 BL13 BO13 BR13 BU13 BX13 CA13 V13 Y13 AB13 AE13 AH13 AK13 AN13 AQ13 AT13 AW13 S13">
    <cfRule type="expression" dxfId="87" priority="-1" stopIfTrue="1">
      <formula>MOD(ROW(),2)</formula>
    </cfRule>
    <cfRule type="expression" dxfId="86" priority="51" stopIfTrue="1">
      <formula>J$1=TODAY()+DailyScrumDateModifier</formula>
    </cfRule>
  </conditionalFormatting>
  <conditionalFormatting sqref="AO13 AI13 T13 K13 BA13 BD13 BG13 BJ13 BM13 BP13 BS13 BV13 BY13 CB13 Q13 W13 Z13 AC13 AF13 AL13 AR13 AU13 AX13 N13">
    <cfRule type="expression" dxfId="85" priority="-1" stopIfTrue="1">
      <formula>MOD(ROW(),2)</formula>
    </cfRule>
    <cfRule type="expression" dxfId="84" priority="52" stopIfTrue="1">
      <formula>J$1=TODAY()+DailyScrumDateModifier</formula>
    </cfRule>
  </conditionalFormatting>
  <conditionalFormatting sqref="H13:I13 A13:E13 CE13">
    <cfRule type="expression" dxfId="83" priority="53" stopIfTrue="1">
      <formula>MOD(ROW(),2)</formula>
    </cfRule>
  </conditionalFormatting>
  <conditionalFormatting sqref="L13 AA13 AD13 AG13 AJ13 AM13 AP13 AS13 AV13 AY13 O13 R13 U13 X13 BB13 BE13 BH13 BK13 BN13 BQ13 BT13 BW13 BZ13 CC13">
    <cfRule type="cellIs" dxfId="82" priority="-1" stopIfTrue="1" operator="equal">
      <formula>"In Progress"</formula>
    </cfRule>
    <cfRule type="cellIs" dxfId="81" priority="-1" stopIfTrue="1" operator="equal">
      <formula>"Complete"</formula>
    </cfRule>
    <cfRule type="cellIs" dxfId="80" priority="54" stopIfTrue="1" operator="equal">
      <formula>"Pending"</formula>
    </cfRule>
  </conditionalFormatting>
  <conditionalFormatting sqref="G13">
    <cfRule type="cellIs" dxfId="79" priority="-1" stopIfTrue="1" operator="equal">
      <formula>"In Progress"</formula>
    </cfRule>
    <cfRule type="cellIs" dxfId="78" priority="-1" stopIfTrue="1" operator="equal">
      <formula>"Pending"</formula>
    </cfRule>
    <cfRule type="cellIs" dxfId="77" priority="55" stopIfTrue="1" operator="equal">
      <formula>"Complete"</formula>
    </cfRule>
  </conditionalFormatting>
  <conditionalFormatting sqref="P15 J15 M15 AZ15 BC15 BF15 BI15 BL15 BO15 BR15 BU15 BX15 CA15 V15 Y15 AB15 AE15 AH15 AK15 AN15 AQ15 AT15 AW15 S15">
    <cfRule type="expression" dxfId="76" priority="-1" stopIfTrue="1">
      <formula>MOD(ROW(),2)</formula>
    </cfRule>
    <cfRule type="expression" dxfId="75" priority="40" stopIfTrue="1">
      <formula>J$1=TODAY()+DailyScrumDateModifier</formula>
    </cfRule>
  </conditionalFormatting>
  <conditionalFormatting sqref="AO15 AI15 T15 K15 BA15 BD15 BG15 BJ15 BM15 BP15 BS15 BV15 BY15 CB15 Q15 W15 Z15 AC15 AF15 AL15 AR15 AU15 AX15 N15">
    <cfRule type="expression" dxfId="74" priority="-1" stopIfTrue="1">
      <formula>MOD(ROW(),2)</formula>
    </cfRule>
    <cfRule type="expression" dxfId="73" priority="41" stopIfTrue="1">
      <formula>J$1=TODAY()+DailyScrumDateModifier</formula>
    </cfRule>
  </conditionalFormatting>
  <conditionalFormatting sqref="H15:I15 A15:D15 CE15 D16:D20">
    <cfRule type="expression" dxfId="72" priority="42" stopIfTrue="1">
      <formula>MOD(ROW(),2)</formula>
    </cfRule>
  </conditionalFormatting>
  <conditionalFormatting sqref="L15 AA15 AD15 AG15 AJ15 AM15 AP15 AS15 AV15 AY15 O15 R15 U15 X15 BB15 BE15 BH15 BK15 BN15 BQ15 BT15 BW15 BZ15 CC15">
    <cfRule type="cellIs" dxfId="71" priority="-1" stopIfTrue="1" operator="equal">
      <formula>"In Progress"</formula>
    </cfRule>
    <cfRule type="cellIs" dxfId="70" priority="-1" stopIfTrue="1" operator="equal">
      <formula>"Complete"</formula>
    </cfRule>
    <cfRule type="cellIs" dxfId="69" priority="43" stopIfTrue="1" operator="equal">
      <formula>"Pending"</formula>
    </cfRule>
  </conditionalFormatting>
  <conditionalFormatting sqref="G15">
    <cfRule type="cellIs" dxfId="68" priority="-1" stopIfTrue="1" operator="equal">
      <formula>"In Progress"</formula>
    </cfRule>
    <cfRule type="cellIs" dxfId="67" priority="-1" stopIfTrue="1" operator="equal">
      <formula>"Pending"</formula>
    </cfRule>
    <cfRule type="cellIs" dxfId="66" priority="44" stopIfTrue="1" operator="equal">
      <formula>"Complete"</formula>
    </cfRule>
  </conditionalFormatting>
  <conditionalFormatting sqref="P14 J14 M14 AZ14 BC14 BF14 BI14 BL14 BO14 BR14 BU14 BX14 CA14 V14 Y14 AB14 AE14 AH14 AK14 AN14 AQ14 AT14 AW14 S14">
    <cfRule type="expression" dxfId="65" priority="29" stopIfTrue="1">
      <formula>J$1=TODAY()+DailyScrumDateModifier</formula>
    </cfRule>
    <cfRule type="expression" dxfId="64" priority="38" stopIfTrue="1">
      <formula>MOD(ROW(),2)</formula>
    </cfRule>
  </conditionalFormatting>
  <conditionalFormatting sqref="AO14 AI14 T14 K14 BA14 BD14 BG14 BJ14 BM14 BP14 BS14 BV14 BY14 CB14 Q14 W14 Z14 AC14 AF14 AL14 AR14 AU14 AX14 N14">
    <cfRule type="expression" dxfId="63" priority="30" stopIfTrue="1">
      <formula>J$1=TODAY()+DailyScrumDateModifier</formula>
    </cfRule>
    <cfRule type="expression" dxfId="62" priority="36" stopIfTrue="1">
      <formula>MOD(ROW(),2)</formula>
    </cfRule>
  </conditionalFormatting>
  <conditionalFormatting sqref="H14:I14 A14:E14 CE14">
    <cfRule type="expression" dxfId="61" priority="31" stopIfTrue="1">
      <formula>MOD(ROW(),2)</formula>
    </cfRule>
  </conditionalFormatting>
  <conditionalFormatting sqref="L14 AA14 AD14 AG14 AJ14 AM14 AP14 AS14 AV14 AY14 O14 R14 U14 X14 BB14 BE14 BH14 BK14 BN14 BQ14 BT14 BW14 BZ14 CC14">
    <cfRule type="cellIs" dxfId="60" priority="32" stopIfTrue="1" operator="equal">
      <formula>"In Progress"</formula>
    </cfRule>
    <cfRule type="cellIs" dxfId="59" priority="32" stopIfTrue="1" operator="equal">
      <formula>"Pending"</formula>
    </cfRule>
    <cfRule type="cellIs" dxfId="58" priority="33" stopIfTrue="1" operator="equal">
      <formula>"Complete"</formula>
    </cfRule>
  </conditionalFormatting>
  <conditionalFormatting sqref="G14">
    <cfRule type="cellIs" dxfId="57" priority="29" stopIfTrue="1" operator="equal">
      <formula>"In Progress"</formula>
    </cfRule>
    <cfRule type="cellIs" dxfId="56" priority="30" stopIfTrue="1" operator="equal">
      <formula>"Pending"</formula>
    </cfRule>
    <cfRule type="cellIs" dxfId="55" priority="33" stopIfTrue="1" operator="equal">
      <formula>"Complete"</formula>
    </cfRule>
  </conditionalFormatting>
  <conditionalFormatting sqref="E15">
    <cfRule type="expression" dxfId="54" priority="28" stopIfTrue="1">
      <formula>MOD(ROW(),2)</formula>
    </cfRule>
  </conditionalFormatting>
  <conditionalFormatting sqref="E18">
    <cfRule type="expression" dxfId="53" priority="27" stopIfTrue="1">
      <formula>MOD(ROW(),2)</formula>
    </cfRule>
  </conditionalFormatting>
  <conditionalFormatting sqref="S21 AW21 AT21 AQ21 AN21 AK21 AH21 AE21 AB21 Y21 V21 CA21 BX21 BU21 BR21 BO21 BL21 BI21 BF21 BC21 AZ21 M21 J21 P21">
    <cfRule type="expression" dxfId="52" priority="-1" stopIfTrue="1">
      <formula>MOD(ROW(),2)</formula>
    </cfRule>
    <cfRule type="expression" dxfId="51" priority="16" stopIfTrue="1">
      <formula>J$1=TODAY()+DailyScrumDateModifier</formula>
    </cfRule>
  </conditionalFormatting>
  <conditionalFormatting sqref="N21 AX21 AU21 AR21 AL21 AF21 AC21 Z21 W21 Q21 CB21 BY21 BV21 BS21 BP21 BM21 BJ21 BG21 BD21 BA21 K21 T21 AI21 AO21">
    <cfRule type="expression" dxfId="50" priority="-1" stopIfTrue="1">
      <formula>MOD(ROW(),2)</formula>
    </cfRule>
    <cfRule type="expression" dxfId="49" priority="17" stopIfTrue="1">
      <formula>J$1=TODAY()+DailyScrumDateModifier</formula>
    </cfRule>
  </conditionalFormatting>
  <conditionalFormatting sqref="A21:C21 CE21 H21:I21">
    <cfRule type="expression" dxfId="48" priority="18" stopIfTrue="1">
      <formula>MOD(ROW(),2)</formula>
    </cfRule>
  </conditionalFormatting>
  <conditionalFormatting sqref="CC21 BZ21 BW21 BT21 BQ21 BN21 BK21 BH21 BE21 BB21 X21 U21 R21 O21 AY21 AV21 AS21 AP21 AM21 AJ21 AG21 AD21 AA21 L21">
    <cfRule type="cellIs" dxfId="47" priority="-1" stopIfTrue="1" operator="equal">
      <formula>"In Progress"</formula>
    </cfRule>
    <cfRule type="cellIs" dxfId="46" priority="-1" stopIfTrue="1" operator="equal">
      <formula>"Complete"</formula>
    </cfRule>
    <cfRule type="cellIs" dxfId="45" priority="19" stopIfTrue="1" operator="equal">
      <formula>"Pending"</formula>
    </cfRule>
  </conditionalFormatting>
  <conditionalFormatting sqref="G21">
    <cfRule type="cellIs" dxfId="44" priority="-1" stopIfTrue="1" operator="equal">
      <formula>"In Progress"</formula>
    </cfRule>
    <cfRule type="cellIs" dxfId="43" priority="-1" stopIfTrue="1" operator="equal">
      <formula>"Pending"</formula>
    </cfRule>
    <cfRule type="cellIs" dxfId="42" priority="20" stopIfTrue="1" operator="equal">
      <formula>"Complete"</formula>
    </cfRule>
  </conditionalFormatting>
  <conditionalFormatting sqref="E21">
    <cfRule type="expression" dxfId="41" priority="15" stopIfTrue="1">
      <formula>MOD(ROW(),2)</formula>
    </cfRule>
  </conditionalFormatting>
  <conditionalFormatting sqref="D21:D27">
    <cfRule type="expression" dxfId="40" priority="14" stopIfTrue="1">
      <formula>MOD(ROW(),2)</formula>
    </cfRule>
  </conditionalFormatting>
  <conditionalFormatting sqref="S22 AW22 AT22 AQ22 AN22 AK22 AH22 AE22 AB22 Y22 V22 CA22 BX22 BU22 BR22 BO22 BL22 BI22 BF22 BC22 AZ22 M22 J22 P22">
    <cfRule type="expression" dxfId="13" priority="3" stopIfTrue="1">
      <formula>J$1=TODAY()+DailyScrumDateModifier</formula>
    </cfRule>
    <cfRule type="expression" dxfId="12" priority="-1" stopIfTrue="1">
      <formula>MOD(ROW(),2)</formula>
    </cfRule>
  </conditionalFormatting>
  <conditionalFormatting sqref="N22 AX22 AU22 AR22 AL22 AF22 AC22 Z22 W22 Q22 CB22 BY22 BV22 BS22 BP22 BM22 BJ22 BG22 BD22 BA22 K22 T22 AI22 AO22">
    <cfRule type="expression" dxfId="11" priority="4" stopIfTrue="1">
      <formula>J$1=TODAY()+DailyScrumDateModifier</formula>
    </cfRule>
    <cfRule type="expression" dxfId="10" priority="-1" stopIfTrue="1">
      <formula>MOD(ROW(),2)</formula>
    </cfRule>
  </conditionalFormatting>
  <conditionalFormatting sqref="A22:C22 CE22 H22:I22">
    <cfRule type="expression" dxfId="9" priority="5" stopIfTrue="1">
      <formula>MOD(ROW(),2)</formula>
    </cfRule>
  </conditionalFormatting>
  <conditionalFormatting sqref="CC22 BZ22 BW22 BT22 BQ22 BN22 BK22 BH22 BE22 BB22 X22 U22 R22 O22 AY22 AV22 AS22 AP22 AM22 AJ22 AG22 AD22 AA22 L22">
    <cfRule type="cellIs" dxfId="8" priority="6" stopIfTrue="1" operator="equal">
      <formula>"Pending"</formula>
    </cfRule>
    <cfRule type="cellIs" dxfId="7" priority="-1" stopIfTrue="1" operator="equal">
      <formula>"In Progress"</formula>
    </cfRule>
    <cfRule type="cellIs" dxfId="6" priority="-1" stopIfTrue="1" operator="equal">
      <formula>"Complete"</formula>
    </cfRule>
  </conditionalFormatting>
  <conditionalFormatting sqref="G22">
    <cfRule type="cellIs" dxfId="5" priority="7" stopIfTrue="1" operator="equal">
      <formula>"Complete"</formula>
    </cfRule>
    <cfRule type="cellIs" dxfId="4" priority="-1" stopIfTrue="1" operator="equal">
      <formula>"In Progress"</formula>
    </cfRule>
    <cfRule type="cellIs" dxfId="3" priority="-1" stopIfTrue="1" operator="equal">
      <formula>"Pending"</formula>
    </cfRule>
  </conditionalFormatting>
  <conditionalFormatting sqref="E22">
    <cfRule type="expression" dxfId="2" priority="2" stopIfTrue="1">
      <formula>MOD(ROW(),2)</formula>
    </cfRule>
  </conditionalFormatting>
  <dataValidations count="3">
    <dataValidation type="list" allowBlank="1" showInputMessage="1" showErrorMessage="1" sqref="F4:F68">
      <formula1>Members</formula1>
    </dataValidation>
    <dataValidation type="list" allowBlank="1" showInputMessage="1" showErrorMessage="1" sqref="A4:A68">
      <formula1>Worktype</formula1>
    </dataValidation>
    <dataValidation type="list" allowBlank="1" showInputMessage="1" showErrorMessage="1" sqref="B29:B68 B4:B27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topLeftCell="A23" workbookViewId="0">
      <selection activeCell="E41" sqref="E41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40868</v>
      </c>
      <c r="F20" s="164">
        <f t="shared" si="0"/>
        <v>40869</v>
      </c>
      <c r="G20" s="164">
        <f t="shared" si="0"/>
        <v>40870</v>
      </c>
      <c r="H20" s="164">
        <f t="shared" si="0"/>
        <v>40871</v>
      </c>
      <c r="I20" s="164">
        <f t="shared" si="0"/>
        <v>40872</v>
      </c>
      <c r="J20" s="164">
        <f t="shared" si="0"/>
        <v>40873</v>
      </c>
      <c r="K20" s="164">
        <f t="shared" si="0"/>
        <v>40874</v>
      </c>
      <c r="L20" s="164">
        <f t="shared" si="0"/>
        <v>40875</v>
      </c>
      <c r="M20" s="164">
        <f t="shared" si="0"/>
        <v>40876</v>
      </c>
      <c r="N20" s="164">
        <f t="shared" si="0"/>
        <v>40877</v>
      </c>
      <c r="O20" s="164">
        <f t="shared" si="0"/>
        <v>40878</v>
      </c>
      <c r="P20" s="164">
        <f t="shared" si="0"/>
        <v>40879</v>
      </c>
      <c r="Q20" s="164">
        <f t="shared" si="0"/>
        <v>40880</v>
      </c>
      <c r="R20" s="164">
        <f t="shared" si="0"/>
        <v>40881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187</v>
      </c>
      <c r="F22" s="162">
        <f t="shared" ca="1" si="1"/>
        <v>174</v>
      </c>
      <c r="G22" s="162" t="e">
        <f t="shared" ca="1" si="1"/>
        <v>#N/A</v>
      </c>
      <c r="H22" s="162" t="e">
        <f t="shared" ca="1" si="1"/>
        <v>#N/A</v>
      </c>
      <c r="I22" s="162" t="e">
        <f t="shared" ca="1" si="1"/>
        <v>#N/A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2</v>
      </c>
      <c r="F23" s="163">
        <f t="shared" ca="1" si="2"/>
        <v>0</v>
      </c>
      <c r="G23" s="163" t="e">
        <f t="shared" ca="1" si="2"/>
        <v>#N/A</v>
      </c>
      <c r="H23" s="163" t="e">
        <f t="shared" ca="1" si="2"/>
        <v>#N/A</v>
      </c>
      <c r="I23" s="163" t="e">
        <f t="shared" ca="1" si="2"/>
        <v>#N/A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2</v>
      </c>
      <c r="F24" s="163">
        <f ca="1">IF(F20&gt;TODAY(), #N/A, SUM($E23:F23))</f>
        <v>2</v>
      </c>
      <c r="G24" s="163" t="e">
        <f ca="1">IF(G20&gt;TODAY(), #N/A, SUM($E23:G23))</f>
        <v>#N/A</v>
      </c>
      <c r="H24" s="163" t="e">
        <f ca="1">IF(H20&gt;TODAY(), #N/A, SUM($E23:H23))</f>
        <v>#N/A</v>
      </c>
      <c r="I24" s="163" t="e">
        <f ca="1">IF(I20&gt;TODAY(), #N/A, SUM($E23:I23))</f>
        <v>#N/A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189</v>
      </c>
      <c r="F25" s="163">
        <f t="shared" ca="1" si="3"/>
        <v>176</v>
      </c>
      <c r="G25" s="163" t="e">
        <f t="shared" ca="1" si="3"/>
        <v>#N/A</v>
      </c>
      <c r="H25" s="163" t="e">
        <f t="shared" ca="1" si="3"/>
        <v>#N/A</v>
      </c>
      <c r="I25" s="163" t="e">
        <f t="shared" ca="1" si="3"/>
        <v>#N/A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2</v>
      </c>
      <c r="F27" s="168">
        <f t="shared" ca="1" si="4"/>
        <v>1</v>
      </c>
      <c r="G27" s="168" t="e">
        <f t="shared" ca="1" si="4"/>
        <v>#N/A</v>
      </c>
      <c r="H27" s="168" t="e">
        <f t="shared" ca="1" si="4"/>
        <v>#N/A</v>
      </c>
      <c r="I27" s="168" t="e">
        <f t="shared" ca="1" si="4"/>
        <v>#N/A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40961.5</v>
      </c>
      <c r="F28" s="169">
        <f t="shared" ca="1" si="5"/>
        <v>41043</v>
      </c>
      <c r="G28" s="169" t="e">
        <f t="shared" ca="1" si="5"/>
        <v>#N/A</v>
      </c>
      <c r="H28" s="169" t="e">
        <f t="shared" ca="1" si="5"/>
        <v>#N/A</v>
      </c>
      <c r="I28" s="169" t="e">
        <f t="shared" ca="1" si="5"/>
        <v>#N/A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40961.5</v>
      </c>
      <c r="F29" s="169">
        <f t="shared" ca="1" si="6"/>
        <v>41043</v>
      </c>
      <c r="G29" s="169" t="e">
        <f t="shared" ca="1" si="6"/>
        <v>#N/A</v>
      </c>
      <c r="H29" s="169" t="e">
        <f t="shared" ca="1" si="6"/>
        <v>#N/A</v>
      </c>
      <c r="I29" s="169" t="e">
        <f t="shared" ca="1" si="6"/>
        <v>#N/A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187</v>
      </c>
      <c r="F31" s="165">
        <f t="shared" ca="1" si="7"/>
        <v>174</v>
      </c>
      <c r="G31" s="165" t="e">
        <f t="shared" ca="1" si="7"/>
        <v>#N/A</v>
      </c>
      <c r="H31" s="165" t="e">
        <f t="shared" ca="1" si="7"/>
        <v>#N/A</v>
      </c>
      <c r="I31" s="165" t="e">
        <f t="shared" ca="1" si="7"/>
        <v>#N/A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>
        <f t="shared" ca="1" si="8"/>
        <v>0</v>
      </c>
      <c r="G32" s="170" t="e">
        <f t="shared" ca="1" si="8"/>
        <v>#N/A</v>
      </c>
      <c r="H32" s="170" t="e">
        <f t="shared" ca="1" si="8"/>
        <v>#N/A</v>
      </c>
      <c r="I32" s="170" t="e">
        <f t="shared" ca="1" si="8"/>
        <v>#N/A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2</v>
      </c>
      <c r="F33" s="165">
        <f t="shared" ca="1" si="9"/>
        <v>2</v>
      </c>
      <c r="G33" s="165" t="e">
        <f t="shared" ca="1" si="9"/>
        <v>#N/A</v>
      </c>
      <c r="H33" s="165" t="e">
        <f t="shared" ca="1" si="9"/>
        <v>#N/A</v>
      </c>
      <c r="I33" s="165" t="e">
        <f t="shared" ca="1" si="9"/>
        <v>#N/A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64</v>
      </c>
      <c r="F35" s="165">
        <f t="shared" ca="1" si="10"/>
        <v>64</v>
      </c>
      <c r="G35" s="165" t="e">
        <f t="shared" ca="1" si="10"/>
        <v>#N/A</v>
      </c>
      <c r="H35" s="165" t="e">
        <f t="shared" ca="1" si="10"/>
        <v>#N/A</v>
      </c>
      <c r="I35" s="165" t="e">
        <f t="shared" ca="1" si="10"/>
        <v>#N/A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>
        <f t="shared" ca="1" si="11"/>
        <v>0</v>
      </c>
      <c r="G36" s="165" t="e">
        <f t="shared" ca="1" si="11"/>
        <v>#N/A</v>
      </c>
      <c r="H36" s="165" t="e">
        <f t="shared" ca="1" si="11"/>
        <v>#N/A</v>
      </c>
      <c r="I36" s="165" t="e">
        <f t="shared" ca="1" si="11"/>
        <v>#N/A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1</v>
      </c>
      <c r="F37" s="165">
        <f t="shared" ca="1" si="12"/>
        <v>1</v>
      </c>
      <c r="G37" s="165" t="e">
        <f t="shared" ca="1" si="12"/>
        <v>#N/A</v>
      </c>
      <c r="H37" s="165" t="e">
        <f t="shared" ca="1" si="12"/>
        <v>#N/A</v>
      </c>
      <c r="I37" s="165" t="e">
        <f t="shared" ca="1" si="12"/>
        <v>#N/A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39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7" sqref="F7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34.7109375" style="43" bestFit="1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ter</v>
      </c>
      <c r="E2" s="48">
        <f ca="1">TODAY()</f>
        <v>40869</v>
      </c>
    </row>
    <row r="3" spans="2:28" ht="13.5" thickBot="1" x14ac:dyDescent="0.25">
      <c r="B3" s="49" t="s">
        <v>43</v>
      </c>
      <c r="C3" s="50"/>
      <c r="D3" s="51" t="str">
        <f>TEXT(E3,"ddd")</f>
        <v>seg</v>
      </c>
      <c r="E3" s="52">
        <v>40868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6" t="s">
        <v>47</v>
      </c>
      <c r="C5" s="197"/>
      <c r="D5" s="197"/>
      <c r="E5" s="197"/>
      <c r="F5" s="197"/>
      <c r="G5" s="198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2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199"/>
      <c r="X6" s="200"/>
      <c r="Y6" s="200"/>
      <c r="Z6" s="200"/>
      <c r="AA6" s="200"/>
      <c r="AB6" s="201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5" t="s">
        <v>42</v>
      </c>
      <c r="X7" s="206"/>
      <c r="Y7" s="206"/>
      <c r="Z7" s="206"/>
      <c r="AA7" s="206"/>
      <c r="AB7" s="207"/>
    </row>
    <row r="8" spans="2:28" ht="13.5" thickBot="1" x14ac:dyDescent="0.25">
      <c r="B8" s="78" t="s">
        <v>37</v>
      </c>
      <c r="C8" s="79">
        <f ca="1">SUM(G8:G25)</f>
        <v>0</v>
      </c>
      <c r="D8" s="80"/>
      <c r="E8" s="81"/>
      <c r="F8" s="82">
        <v>1</v>
      </c>
      <c r="G8" s="83">
        <f ca="1">SUMIF(Sprint!$F$3:$F$1861,E8,Sprint!$AX$4:$AX$1861)</f>
        <v>0</v>
      </c>
      <c r="H8" s="84"/>
      <c r="I8" s="90">
        <f t="shared" ref="I8:J18" si="2">IF(I$6&lt;$E$3,0,IF(ISBLANK($E8),0,IF(I$6&lt;$E$2,0,1)))</f>
        <v>0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202">
        <f t="shared" ref="W8:W25" si="5">IF(E8="unassigned",0,(COUNTIF(I8:V8,1)*$C$6)*F8)</f>
        <v>0</v>
      </c>
      <c r="X8" s="203"/>
      <c r="Y8" s="203"/>
      <c r="Z8" s="203"/>
      <c r="AA8" s="203"/>
      <c r="AB8" s="204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 ca="1">SUMIF(Sprint!$F$3:$F$1861,E9,Sprint!$AX$4:$AX$1861)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202">
        <f t="shared" si="5"/>
        <v>0</v>
      </c>
      <c r="X9" s="203"/>
      <c r="Y9" s="203"/>
      <c r="Z9" s="203"/>
      <c r="AA9" s="203"/>
      <c r="AB9" s="204"/>
    </row>
    <row r="10" spans="2:28" ht="13.5" thickBot="1" x14ac:dyDescent="0.25">
      <c r="B10" s="94" t="s">
        <v>39</v>
      </c>
      <c r="C10" s="95">
        <f ca="1">C8-C9</f>
        <v>0</v>
      </c>
      <c r="D10" s="62"/>
      <c r="E10" s="18"/>
      <c r="F10" s="89">
        <v>0.3</v>
      </c>
      <c r="G10" s="83">
        <f ca="1">SUMIF(Sprint!$F$3:$F$1861,E10,Sprint!$AX$4:$AX$1861)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202">
        <f t="shared" si="5"/>
        <v>0</v>
      </c>
      <c r="X10" s="203"/>
      <c r="Y10" s="203"/>
      <c r="Z10" s="203"/>
      <c r="AA10" s="203"/>
      <c r="AB10" s="204"/>
    </row>
    <row r="11" spans="2:28" ht="13.5" thickBot="1" x14ac:dyDescent="0.25">
      <c r="B11" s="96"/>
      <c r="D11" s="97"/>
      <c r="E11" s="18"/>
      <c r="F11" s="89">
        <v>1</v>
      </c>
      <c r="G11" s="83">
        <f ca="1">SUMIF(Sprint!$F$3:$F$1861,E11,Sprint!$AX$4:$AX$1861)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202">
        <f t="shared" si="5"/>
        <v>0</v>
      </c>
      <c r="X11" s="203"/>
      <c r="Y11" s="203"/>
      <c r="Z11" s="203"/>
      <c r="AA11" s="203"/>
      <c r="AB11" s="204"/>
    </row>
    <row r="12" spans="2:28" ht="13.5" thickBot="1" x14ac:dyDescent="0.25">
      <c r="B12" s="96"/>
      <c r="D12" s="97"/>
      <c r="E12" s="18"/>
      <c r="F12" s="89"/>
      <c r="G12" s="83">
        <f ca="1">SUMIF(Sprint!$F$3:$F$1861,E12,Sprint!$AX$4:$AX$1861)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202">
        <f t="shared" si="5"/>
        <v>0</v>
      </c>
      <c r="X12" s="203"/>
      <c r="Y12" s="203"/>
      <c r="Z12" s="203"/>
      <c r="AA12" s="203"/>
      <c r="AB12" s="204"/>
    </row>
    <row r="13" spans="2:28" ht="13.5" thickBot="1" x14ac:dyDescent="0.25">
      <c r="B13" s="96"/>
      <c r="D13" s="98"/>
      <c r="E13" s="18"/>
      <c r="F13" s="89"/>
      <c r="G13" s="83">
        <f ca="1">SUMIF(Sprint!$F$3:$F$1861,E13,Sprint!$AX$4:$AX$1861)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202">
        <f t="shared" si="5"/>
        <v>0</v>
      </c>
      <c r="X13" s="203"/>
      <c r="Y13" s="203"/>
      <c r="Z13" s="203"/>
      <c r="AA13" s="203"/>
      <c r="AB13" s="204"/>
    </row>
    <row r="14" spans="2:28" ht="13.5" thickBot="1" x14ac:dyDescent="0.25">
      <c r="B14" s="96"/>
      <c r="D14" s="62"/>
      <c r="E14" s="18"/>
      <c r="F14" s="89"/>
      <c r="G14" s="83">
        <f ca="1">SUMIF(Sprint!$F$3:$F$1861,E14,Sprint!$AX$4:$AX$1861)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202">
        <f t="shared" si="5"/>
        <v>0</v>
      </c>
      <c r="X14" s="203"/>
      <c r="Y14" s="203"/>
      <c r="Z14" s="203"/>
      <c r="AA14" s="203"/>
      <c r="AB14" s="204"/>
    </row>
    <row r="15" spans="2:28" ht="13.5" thickBot="1" x14ac:dyDescent="0.25">
      <c r="B15" s="96"/>
      <c r="D15" s="62"/>
      <c r="E15" s="18"/>
      <c r="F15" s="89"/>
      <c r="G15" s="83">
        <f ca="1">SUMIF(Sprint!$F$3:$F$1861,E15,Sprint!$AX$4:$AX$1861)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202">
        <f t="shared" si="5"/>
        <v>0</v>
      </c>
      <c r="X15" s="203"/>
      <c r="Y15" s="203"/>
      <c r="Z15" s="203"/>
      <c r="AA15" s="203"/>
      <c r="AB15" s="204"/>
    </row>
    <row r="16" spans="2:28" ht="13.5" thickBot="1" x14ac:dyDescent="0.25">
      <c r="B16" s="96"/>
      <c r="D16" s="98"/>
      <c r="E16" s="18"/>
      <c r="F16" s="89"/>
      <c r="G16" s="83">
        <f ca="1">SUMIF(Sprint!$F$3:$F$1861,E16,Sprint!$AX$4:$AX$1861)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202">
        <f t="shared" si="5"/>
        <v>0</v>
      </c>
      <c r="X16" s="203"/>
      <c r="Y16" s="203"/>
      <c r="Z16" s="203"/>
      <c r="AA16" s="203"/>
      <c r="AB16" s="204"/>
    </row>
    <row r="17" spans="2:28" ht="13.5" thickBot="1" x14ac:dyDescent="0.25">
      <c r="B17" s="96"/>
      <c r="D17" s="98"/>
      <c r="E17" s="18"/>
      <c r="F17" s="89"/>
      <c r="G17" s="83">
        <f ca="1">SUMIF(Sprint!$F$3:$F$1861,E17,Sprint!$AX$4:$AX$1861)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202">
        <f t="shared" si="5"/>
        <v>0</v>
      </c>
      <c r="X17" s="203"/>
      <c r="Y17" s="203"/>
      <c r="Z17" s="203"/>
      <c r="AA17" s="203"/>
      <c r="AB17" s="204"/>
    </row>
    <row r="18" spans="2:28" ht="13.5" thickBot="1" x14ac:dyDescent="0.25">
      <c r="B18" s="96"/>
      <c r="D18" s="98"/>
      <c r="E18" s="18"/>
      <c r="F18" s="89"/>
      <c r="G18" s="83">
        <f ca="1">SUMIF(Sprint!$F$3:$F$1861,E18,Sprint!$AX$4:$AX$1861)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202">
        <f t="shared" si="5"/>
        <v>0</v>
      </c>
      <c r="X18" s="203"/>
      <c r="Y18" s="203"/>
      <c r="Z18" s="203"/>
      <c r="AA18" s="203"/>
      <c r="AB18" s="204"/>
    </row>
    <row r="19" spans="2:28" ht="13.5" thickBot="1" x14ac:dyDescent="0.25">
      <c r="B19" s="96"/>
      <c r="D19" s="98"/>
      <c r="E19" s="18"/>
      <c r="F19" s="89"/>
      <c r="G19" s="83">
        <f ca="1">SUMIF(Sprint!$F$3:$F$1861,E19,Sprint!$AX$4:$AX$1861)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202">
        <f t="shared" si="5"/>
        <v>0</v>
      </c>
      <c r="X19" s="203"/>
      <c r="Y19" s="203"/>
      <c r="Z19" s="203"/>
      <c r="AA19" s="203"/>
      <c r="AB19" s="204"/>
    </row>
    <row r="20" spans="2:28" ht="13.5" thickBot="1" x14ac:dyDescent="0.25">
      <c r="B20" s="96"/>
      <c r="D20" s="98"/>
      <c r="E20" s="18"/>
      <c r="F20" s="89"/>
      <c r="G20" s="83">
        <f ca="1">SUMIF(Sprint!$F$3:$F$1861,E20,Sprint!$AX$4:$AX$1861)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202">
        <f t="shared" si="5"/>
        <v>0</v>
      </c>
      <c r="X20" s="203"/>
      <c r="Y20" s="203"/>
      <c r="Z20" s="203"/>
      <c r="AA20" s="203"/>
      <c r="AB20" s="204"/>
    </row>
    <row r="21" spans="2:28" ht="13.5" thickBot="1" x14ac:dyDescent="0.25">
      <c r="B21" s="96"/>
      <c r="C21" s="100"/>
      <c r="D21" s="98"/>
      <c r="E21" s="18"/>
      <c r="F21" s="89"/>
      <c r="G21" s="83">
        <f ca="1">SUMIF(Sprint!$F$3:$F$1861,E21,Sprint!$AX$4:$AX$1861)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202">
        <f t="shared" si="5"/>
        <v>0</v>
      </c>
      <c r="X21" s="203"/>
      <c r="Y21" s="203"/>
      <c r="Z21" s="203"/>
      <c r="AA21" s="203"/>
      <c r="AB21" s="204"/>
    </row>
    <row r="22" spans="2:28" ht="13.5" thickBot="1" x14ac:dyDescent="0.25">
      <c r="B22" s="70"/>
      <c r="C22" s="101"/>
      <c r="D22" s="98"/>
      <c r="E22" s="18"/>
      <c r="F22" s="102"/>
      <c r="G22" s="83">
        <f ca="1">SUMIF(Sprint!$F$3:$F$1861,E22,Sprint!$AX$4:$AX$1861)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202">
        <f t="shared" si="5"/>
        <v>0</v>
      </c>
      <c r="X22" s="203"/>
      <c r="Y22" s="203"/>
      <c r="Z22" s="203"/>
      <c r="AA22" s="203"/>
      <c r="AB22" s="204"/>
    </row>
    <row r="23" spans="2:28" ht="13.5" thickBot="1" x14ac:dyDescent="0.25">
      <c r="B23" s="70"/>
      <c r="D23" s="98"/>
      <c r="E23" s="18"/>
      <c r="F23" s="102"/>
      <c r="G23" s="83">
        <f ca="1">SUMIF(Sprint!$F$3:$F$1861,E23,Sprint!$AX$4:$AX$1861)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202">
        <f t="shared" si="5"/>
        <v>0</v>
      </c>
      <c r="X23" s="203"/>
      <c r="Y23" s="203"/>
      <c r="Z23" s="203"/>
      <c r="AA23" s="203"/>
      <c r="AB23" s="204"/>
    </row>
    <row r="24" spans="2:28" ht="13.5" thickBot="1" x14ac:dyDescent="0.25">
      <c r="B24" s="96"/>
      <c r="D24" s="98"/>
      <c r="E24" s="18"/>
      <c r="F24" s="102"/>
      <c r="G24" s="83">
        <f ca="1">SUMIF(Sprint!$F$3:$F$1861,E24,Sprint!$AX$4:$AX$1861)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202">
        <f t="shared" si="5"/>
        <v>0</v>
      </c>
      <c r="X24" s="203"/>
      <c r="Y24" s="203"/>
      <c r="Z24" s="203"/>
      <c r="AA24" s="203"/>
      <c r="AB24" s="204"/>
    </row>
    <row r="25" spans="2:28" ht="13.5" thickBot="1" x14ac:dyDescent="0.25">
      <c r="B25" s="96"/>
      <c r="D25" s="98"/>
      <c r="E25" s="103"/>
      <c r="F25" s="104"/>
      <c r="G25" s="83">
        <f ca="1">SUMIF(Sprint!$F$3:$F$1861,E25,Sprint!$AX$4:$AX$1861)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202">
        <f t="shared" si="5"/>
        <v>0</v>
      </c>
      <c r="X25" s="203"/>
      <c r="Y25" s="203"/>
      <c r="Z25" s="203"/>
      <c r="AA25" s="203"/>
      <c r="AB25" s="204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38" priority="2" stopIfTrue="1">
      <formula>G8&gt;W8</formula>
    </cfRule>
  </conditionalFormatting>
  <conditionalFormatting sqref="I8:M25 P8:T25">
    <cfRule type="cellIs" dxfId="37" priority="5" stopIfTrue="1" operator="equal">
      <formula>"H"</formula>
    </cfRule>
    <cfRule type="cellIs" dxfId="36" priority="6" stopIfTrue="1" operator="equal">
      <formula>"V"</formula>
    </cfRule>
    <cfRule type="expression" dxfId="35" priority="7" stopIfTrue="1">
      <formula>IF(I$6&lt;$E$2,1,0)</formula>
    </cfRule>
  </conditionalFormatting>
  <conditionalFormatting sqref="X30:X34 X26:X28 J32:J34 J26:J30 I26:I34 Q29 T26:W34 N8:O25 K26:O34 U8:V25 P30:S34 P26:S28">
    <cfRule type="cellIs" dxfId="34" priority="13" stopIfTrue="1" operator="equal">
      <formula>"DIO"</formula>
    </cfRule>
    <cfRule type="cellIs" dxfId="33" priority="14" stopIfTrue="1" operator="equal">
      <formula>"H"</formula>
    </cfRule>
    <cfRule type="cellIs" dxfId="32" priority="15" stopIfTrue="1" operator="equal">
      <formula>"V"</formula>
    </cfRule>
  </conditionalFormatting>
  <conditionalFormatting sqref="P6">
    <cfRule type="expression" dxfId="31" priority="21" stopIfTrue="1">
      <formula>P$6=TODAY()</formula>
    </cfRule>
    <cfRule type="expression" dxfId="30" priority="22" stopIfTrue="1">
      <formula>IF((P$6+1-$E$3)=$F$6,1,0)</formula>
    </cfRule>
  </conditionalFormatting>
  <conditionalFormatting sqref="Q6:V6 J6:O6">
    <cfRule type="expression" dxfId="29" priority="23" stopIfTrue="1">
      <formula>J$6=TODAY()</formula>
    </cfRule>
    <cfRule type="expression" dxfId="28" priority="24" stopIfTrue="1">
      <formula>IF((J$6+1-$E$3)=$F$6,1,0)</formula>
    </cfRule>
  </conditionalFormatting>
  <conditionalFormatting sqref="I6">
    <cfRule type="expression" dxfId="27" priority="25" stopIfTrue="1">
      <formula>I$6=TODAY()</formula>
    </cfRule>
    <cfRule type="expression" dxfId="26" priority="26" stopIfTrue="1">
      <formula>IF((J$6+1-$E$3)=$F$6,1,0)</formula>
    </cfRule>
  </conditionalFormatting>
  <conditionalFormatting sqref="F26:F27 F8:F21">
    <cfRule type="expression" dxfId="25" priority="1" stopIfTrue="1">
      <formula>H8&gt;X8</formula>
    </cfRule>
  </conditionalFormatting>
  <conditionalFormatting sqref="F30:F33">
    <cfRule type="expression" dxfId="24" priority="4" stopIfTrue="1">
      <formula>H28&gt;X28</formula>
    </cfRule>
  </conditionalFormatting>
  <conditionalFormatting sqref="C10">
    <cfRule type="cellIs" dxfId="23" priority="8" stopIfTrue="1" operator="greaterThan">
      <formula>0</formula>
    </cfRule>
    <cfRule type="cellIs" dxfId="22" priority="9" stopIfTrue="1" operator="lessThanOrEqual">
      <formula>0</formula>
    </cfRule>
  </conditionalFormatting>
  <conditionalFormatting sqref="C22 D14:D15 D6:D12 C6:C9">
    <cfRule type="cellIs" dxfId="21" priority="10" stopIfTrue="1" operator="equal">
      <formula>"3A"</formula>
    </cfRule>
    <cfRule type="cellIs" dxfId="20" priority="11" stopIfTrue="1" operator="equal">
      <formula>"3B"</formula>
    </cfRule>
  </conditionalFormatting>
  <conditionalFormatting sqref="G32:G34 G6">
    <cfRule type="cellIs" dxfId="19" priority="12" stopIfTrue="1" operator="equal">
      <formula>"Done"</formula>
    </cfRule>
  </conditionalFormatting>
  <conditionalFormatting sqref="I7:K7 M7:W7">
    <cfRule type="cellIs" dxfId="18" priority="16" stopIfTrue="1" operator="equal">
      <formula>"DIO"</formula>
    </cfRule>
    <cfRule type="cellIs" dxfId="17" priority="17" stopIfTrue="1" operator="equal">
      <formula>"H"</formula>
    </cfRule>
    <cfRule type="cellIs" dxfId="16" priority="18" stopIfTrue="1" operator="equal">
      <formula>"V"</formula>
    </cfRule>
  </conditionalFormatting>
  <conditionalFormatting sqref="L7">
    <cfRule type="cellIs" dxfId="15" priority="19" stopIfTrue="1" operator="equal">
      <formula>"DIO"</formula>
    </cfRule>
    <cfRule type="cellIs" dxfId="14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A17" sqref="A17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  <c r="C4" s="43" t="s">
        <v>125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118</v>
      </c>
      <c r="D8" s="140" t="s">
        <v>118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x14ac:dyDescent="0.2">
      <c r="C9" s="140" t="s">
        <v>119</v>
      </c>
      <c r="D9" s="140" t="s">
        <v>119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120</v>
      </c>
      <c r="D10" s="140" t="s">
        <v>120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x14ac:dyDescent="0.2">
      <c r="C11" s="140" t="s">
        <v>121</v>
      </c>
      <c r="D11" s="140" t="s">
        <v>121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x14ac:dyDescent="0.2">
      <c r="C12" s="140" t="s">
        <v>122</v>
      </c>
      <c r="D12" s="140" t="s">
        <v>122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176</v>
      </c>
      <c r="D13" s="140" t="s">
        <v>176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123</v>
      </c>
      <c r="D14" s="140" t="s">
        <v>123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124</v>
      </c>
      <c r="D15" s="140" t="s">
        <v>124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A14" sqref="A14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105</v>
      </c>
      <c r="B2" s="175">
        <f>COUNTIF(Sprint!$A$4:$A$99, "Feature")</f>
        <v>1</v>
      </c>
      <c r="C2" s="181">
        <f>B2/$B$6</f>
        <v>1</v>
      </c>
    </row>
    <row r="3" spans="1:3" ht="15" x14ac:dyDescent="0.25">
      <c r="A3" s="174" t="s">
        <v>106</v>
      </c>
      <c r="B3" s="175">
        <f>COUNTIF(Sprint!$A$4:$A$99, "Tax")</f>
        <v>0</v>
      </c>
      <c r="C3" s="181">
        <f t="shared" ref="C3:C5" si="0">B3/$B$6</f>
        <v>0</v>
      </c>
    </row>
    <row r="4" spans="1:3" ht="15" x14ac:dyDescent="0.25">
      <c r="A4" s="174" t="s">
        <v>107</v>
      </c>
      <c r="B4" s="175">
        <f>COUNTIF(Sprint!$A$4:$A$99, "Precondition")</f>
        <v>0</v>
      </c>
      <c r="C4" s="181">
        <f t="shared" si="0"/>
        <v>0</v>
      </c>
    </row>
    <row r="5" spans="1:3" ht="15" x14ac:dyDescent="0.25">
      <c r="A5" s="174" t="s">
        <v>108</v>
      </c>
      <c r="B5" s="175">
        <f>COUNTIF(Sprint!$A$4:$A$99, "Spike")</f>
        <v>0</v>
      </c>
      <c r="C5" s="181">
        <f t="shared" si="0"/>
        <v>0</v>
      </c>
    </row>
    <row r="6" spans="1:3" ht="15" x14ac:dyDescent="0.25">
      <c r="A6" s="176" t="s">
        <v>112</v>
      </c>
      <c r="B6" s="182">
        <f>SUM(B2:B5)</f>
        <v>1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109</v>
      </c>
      <c r="B8" s="175"/>
    </row>
    <row r="9" spans="1:3" ht="15" x14ac:dyDescent="0.25">
      <c r="A9" s="174" t="s">
        <v>126</v>
      </c>
      <c r="B9" s="175">
        <f>COUNTIF(Sprint!$B$4:$B$216, "Data Model")</f>
        <v>0</v>
      </c>
      <c r="C9" s="181" t="e">
        <f>B9/$B$25</f>
        <v>#DIV/0!</v>
      </c>
    </row>
    <row r="10" spans="1:3" ht="15" x14ac:dyDescent="0.25">
      <c r="A10" s="174" t="s">
        <v>127</v>
      </c>
      <c r="B10" s="175">
        <f>COUNTIF(Sprint!$B$4:$B$216, "Integration Model")</f>
        <v>0</v>
      </c>
      <c r="C10" s="181" t="e">
        <f>B10/$B$25</f>
        <v>#DIV/0!</v>
      </c>
    </row>
    <row r="11" spans="1:3" ht="15" x14ac:dyDescent="0.25">
      <c r="A11" s="174" t="s">
        <v>128</v>
      </c>
      <c r="B11" s="175">
        <f>COUNTIF(Sprint!$B$4:$B$216, "System Frameworks")</f>
        <v>0</v>
      </c>
      <c r="C11" s="181" t="e">
        <f>B11/$B$25</f>
        <v>#DIV/0!</v>
      </c>
    </row>
    <row r="12" spans="1:3" ht="15" x14ac:dyDescent="0.25">
      <c r="A12" s="174" t="s">
        <v>129</v>
      </c>
      <c r="B12" s="175">
        <f>COUNTIF(Sprint!$B$4:$B$216, "Data Conversions")</f>
        <v>0</v>
      </c>
      <c r="C12" s="181" t="e">
        <f>B12/$B$25</f>
        <v>#DIV/0!</v>
      </c>
    </row>
    <row r="13" spans="1:3" ht="15" x14ac:dyDescent="0.25">
      <c r="A13" s="174" t="s">
        <v>190</v>
      </c>
      <c r="B13" s="175">
        <f>COUNTIF(Sprint!$B$4:$B$216, "Security")</f>
        <v>0</v>
      </c>
      <c r="C13" s="181" t="e">
        <f t="shared" ref="C13:C24" si="1">B13/$B$25</f>
        <v>#DIV/0!</v>
      </c>
    </row>
    <row r="14" spans="1:3" ht="15" x14ac:dyDescent="0.25">
      <c r="A14" s="174" t="s">
        <v>130</v>
      </c>
      <c r="B14" s="175">
        <f>COUNTIF(Sprint!$B$4:$B$216, "Cash Payment Tracking")</f>
        <v>0</v>
      </c>
      <c r="C14" s="181" t="e">
        <f t="shared" si="1"/>
        <v>#DIV/0!</v>
      </c>
    </row>
    <row r="15" spans="1:3" ht="15" x14ac:dyDescent="0.25">
      <c r="A15" s="174" t="s">
        <v>130</v>
      </c>
      <c r="B15" s="175">
        <f>COUNTIF(Sprint!$B$4:$B$216, "Views")</f>
        <v>0</v>
      </c>
      <c r="C15" s="181" t="e">
        <f t="shared" si="1"/>
        <v>#DIV/0!</v>
      </c>
    </row>
    <row r="16" spans="1:3" ht="15" x14ac:dyDescent="0.25">
      <c r="A16" s="174" t="s">
        <v>130</v>
      </c>
      <c r="B16" s="175">
        <f>COUNTIF(Sprint!$B$4:$B$216, "Lookups")</f>
        <v>0</v>
      </c>
      <c r="C16" s="181" t="e">
        <f t="shared" si="1"/>
        <v>#DIV/0!</v>
      </c>
    </row>
    <row r="17" spans="1:3" ht="15" x14ac:dyDescent="0.25">
      <c r="A17" s="174" t="s">
        <v>130</v>
      </c>
      <c r="B17" s="175">
        <f>COUNTIF(Sprint!$B$4:$B$216, "Detail screens")</f>
        <v>0</v>
      </c>
      <c r="C17" s="181" t="e">
        <f t="shared" si="1"/>
        <v>#DIV/0!</v>
      </c>
    </row>
    <row r="18" spans="1:3" ht="15" x14ac:dyDescent="0.25">
      <c r="A18" s="174" t="s">
        <v>130</v>
      </c>
      <c r="B18" s="175">
        <f>COUNTIF(Sprint!$B$4:$B$216, "Notifications")</f>
        <v>0</v>
      </c>
      <c r="C18" s="181" t="e">
        <f t="shared" si="1"/>
        <v>#DIV/0!</v>
      </c>
    </row>
    <row r="19" spans="1:3" ht="15" x14ac:dyDescent="0.25">
      <c r="A19" s="174" t="s">
        <v>130</v>
      </c>
      <c r="B19" s="175">
        <f>COUNTIF(Sprint!$B$4:$B$216, "Reports")</f>
        <v>0</v>
      </c>
      <c r="C19" s="181" t="e">
        <f t="shared" si="1"/>
        <v>#DIV/0!</v>
      </c>
    </row>
    <row r="20" spans="1:3" ht="15" x14ac:dyDescent="0.25">
      <c r="A20" s="174" t="s">
        <v>130</v>
      </c>
      <c r="B20" s="175">
        <f>COUNTIF(Sprint!$B$4:$B$216, "Installation Package")</f>
        <v>0</v>
      </c>
      <c r="C20" s="181" t="e">
        <f t="shared" si="1"/>
        <v>#DIV/0!</v>
      </c>
    </row>
    <row r="21" spans="1:3" ht="15" x14ac:dyDescent="0.25">
      <c r="A21" s="174" t="s">
        <v>130</v>
      </c>
      <c r="B21" s="175">
        <f>COUNTIF(Sprint!$B$4:$B$216, "Deployment")</f>
        <v>0</v>
      </c>
      <c r="C21" s="181" t="e">
        <f t="shared" si="1"/>
        <v>#DIV/0!</v>
      </c>
    </row>
    <row r="22" spans="1:3" ht="15" x14ac:dyDescent="0.25">
      <c r="A22" s="174" t="s">
        <v>130</v>
      </c>
      <c r="B22" s="175">
        <f>COUNTIF(Sprint!$B$4:$B$216, "Documentation")</f>
        <v>0</v>
      </c>
      <c r="C22" s="181" t="e">
        <f t="shared" si="1"/>
        <v>#DIV/0!</v>
      </c>
    </row>
    <row r="23" spans="1:3" ht="15" x14ac:dyDescent="0.25">
      <c r="A23" s="174" t="s">
        <v>130</v>
      </c>
      <c r="B23" s="175">
        <f>COUNTIF(Sprint!$B$4:$B$216, "Testing")</f>
        <v>0</v>
      </c>
      <c r="C23" s="181" t="e">
        <f t="shared" si="1"/>
        <v>#DIV/0!</v>
      </c>
    </row>
    <row r="24" spans="1:3" ht="15" x14ac:dyDescent="0.25">
      <c r="A24" s="174" t="s">
        <v>130</v>
      </c>
      <c r="B24" s="175">
        <f>COUNTIF(Sprint!$B$4:$B$216, "Project Mgt")</f>
        <v>0</v>
      </c>
      <c r="C24" s="181" t="e">
        <f t="shared" si="1"/>
        <v>#DIV/0!</v>
      </c>
    </row>
    <row r="25" spans="1:3" ht="15" x14ac:dyDescent="0.25">
      <c r="A25" s="176" t="s">
        <v>112</v>
      </c>
      <c r="B25" s="180">
        <f>SUM(B9:B24)</f>
        <v>0</v>
      </c>
      <c r="C25" s="181" t="e">
        <f>SUM(C9:C24)</f>
        <v>#DIV/0!</v>
      </c>
    </row>
    <row r="27" spans="1:3" ht="15" x14ac:dyDescent="0.25">
      <c r="A27" s="179" t="s">
        <v>111</v>
      </c>
    </row>
    <row r="28" spans="1:3" ht="15" x14ac:dyDescent="0.25">
      <c r="A28" s="174" t="s">
        <v>113</v>
      </c>
      <c r="B28" s="175">
        <f ca="1">COUNTIF(Sprint!$G$4:$G$99, "Complete")</f>
        <v>1</v>
      </c>
      <c r="C28" s="181">
        <f ca="1">B28/$B$33</f>
        <v>1.5384615384615385E-2</v>
      </c>
    </row>
    <row r="29" spans="1:3" ht="15" x14ac:dyDescent="0.25">
      <c r="A29" s="174" t="s">
        <v>114</v>
      </c>
      <c r="B29" s="175">
        <f ca="1">COUNTIF(Sprint!$G$4:$G$99, "In Progress")</f>
        <v>0</v>
      </c>
      <c r="C29" s="181">
        <f t="shared" ref="C29:C32" ca="1" si="2">B29/$B$33</f>
        <v>0</v>
      </c>
    </row>
    <row r="30" spans="1:3" ht="15" x14ac:dyDescent="0.25">
      <c r="A30" s="174" t="s">
        <v>115</v>
      </c>
      <c r="B30" s="175">
        <f ca="1">COUNTIF(Sprint!$G$4:$G$99, "Pending")</f>
        <v>64</v>
      </c>
      <c r="C30" s="181">
        <f t="shared" ca="1" si="2"/>
        <v>0.98461538461538467</v>
      </c>
    </row>
    <row r="31" spans="1:3" ht="15" x14ac:dyDescent="0.25">
      <c r="A31" s="174" t="s">
        <v>110</v>
      </c>
      <c r="B31" s="175">
        <f ca="1">COUNTIF(Sprint!$G$4:$G$99, "Postponed")</f>
        <v>0</v>
      </c>
      <c r="C31" s="181">
        <f t="shared" ca="1" si="2"/>
        <v>0</v>
      </c>
    </row>
    <row r="32" spans="1:3" ht="15" x14ac:dyDescent="0.25">
      <c r="A32" s="179" t="s">
        <v>116</v>
      </c>
      <c r="B32" s="175">
        <f ca="1">COUNTIF(Sprint!$G$4:$G$99, "Cancelled")</f>
        <v>0</v>
      </c>
      <c r="C32" s="181">
        <f t="shared" ca="1" si="2"/>
        <v>0</v>
      </c>
    </row>
    <row r="33" spans="1:3" ht="15" x14ac:dyDescent="0.25">
      <c r="A33" s="184" t="s">
        <v>112</v>
      </c>
      <c r="B33" s="185">
        <f ca="1">SUM(B28:B32)</f>
        <v>65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"/>
  <sheetViews>
    <sheetView workbookViewId="0">
      <selection activeCell="B5" sqref="B5"/>
    </sheetView>
  </sheetViews>
  <sheetFormatPr defaultRowHeight="12.75" x14ac:dyDescent="0.2"/>
  <cols>
    <col min="1" max="1" width="4.5703125" bestFit="1" customWidth="1"/>
    <col min="2" max="2" width="88.28515625" customWidth="1"/>
  </cols>
  <sheetData>
    <row r="1" spans="1:2" x14ac:dyDescent="0.2">
      <c r="B1" s="188" t="s">
        <v>163</v>
      </c>
    </row>
    <row r="2" spans="1:2" x14ac:dyDescent="0.2">
      <c r="A2" s="187" t="s">
        <v>131</v>
      </c>
      <c r="B2" t="s">
        <v>132</v>
      </c>
    </row>
    <row r="3" spans="1:2" x14ac:dyDescent="0.2">
      <c r="A3">
        <v>1</v>
      </c>
      <c r="B3" t="s">
        <v>133</v>
      </c>
    </row>
    <row r="4" spans="1:2" x14ac:dyDescent="0.2">
      <c r="A4">
        <v>2</v>
      </c>
      <c r="B4" t="s">
        <v>134</v>
      </c>
    </row>
    <row r="5" spans="1:2" x14ac:dyDescent="0.2">
      <c r="A5">
        <v>3</v>
      </c>
      <c r="B5" t="s">
        <v>135</v>
      </c>
    </row>
    <row r="6" spans="1:2" x14ac:dyDescent="0.2">
      <c r="A6">
        <v>4</v>
      </c>
      <c r="B6" t="s">
        <v>136</v>
      </c>
    </row>
    <row r="7" spans="1:2" x14ac:dyDescent="0.2">
      <c r="A7">
        <v>5</v>
      </c>
      <c r="B7" t="s">
        <v>139</v>
      </c>
    </row>
    <row r="8" spans="1:2" x14ac:dyDescent="0.2">
      <c r="A8">
        <v>6</v>
      </c>
      <c r="B8" t="s">
        <v>137</v>
      </c>
    </row>
    <row r="9" spans="1:2" x14ac:dyDescent="0.2">
      <c r="A9">
        <v>7</v>
      </c>
      <c r="B9" t="s">
        <v>138</v>
      </c>
    </row>
    <row r="11" spans="1:2" x14ac:dyDescent="0.2">
      <c r="B11" s="188" t="s">
        <v>140</v>
      </c>
    </row>
    <row r="12" spans="1:2" x14ac:dyDescent="0.2">
      <c r="A12" t="s">
        <v>141</v>
      </c>
      <c r="B12" t="s">
        <v>142</v>
      </c>
    </row>
    <row r="13" spans="1:2" x14ac:dyDescent="0.2">
      <c r="A13" t="s">
        <v>143</v>
      </c>
      <c r="B13" t="s">
        <v>144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"/>
  <sheetViews>
    <sheetView workbookViewId="0">
      <selection sqref="A1:A9"/>
    </sheetView>
  </sheetViews>
  <sheetFormatPr defaultRowHeight="12.75" x14ac:dyDescent="0.2"/>
  <cols>
    <col min="1" max="1" width="21.85546875" customWidth="1"/>
    <col min="2" max="2" width="11.7109375" customWidth="1"/>
  </cols>
  <sheetData>
    <row r="1" spans="1:7" ht="13.5" thickBot="1" x14ac:dyDescent="0.25">
      <c r="A1" t="s">
        <v>151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7" ht="15.75" thickBot="1" x14ac:dyDescent="0.25">
      <c r="A2" s="189" t="s">
        <v>145</v>
      </c>
    </row>
    <row r="3" spans="1:7" ht="15.75" thickBot="1" x14ac:dyDescent="0.25">
      <c r="A3" s="190" t="s">
        <v>119</v>
      </c>
    </row>
    <row r="4" spans="1:7" ht="15.75" thickBot="1" x14ac:dyDescent="0.25">
      <c r="A4" s="190" t="s">
        <v>120</v>
      </c>
    </row>
    <row r="5" spans="1:7" ht="15.75" thickBot="1" x14ac:dyDescent="0.25">
      <c r="A5" s="190" t="s">
        <v>146</v>
      </c>
    </row>
    <row r="6" spans="1:7" ht="15.75" thickBot="1" x14ac:dyDescent="0.25">
      <c r="A6" s="190" t="s">
        <v>147</v>
      </c>
    </row>
    <row r="7" spans="1:7" ht="15.75" thickBot="1" x14ac:dyDescent="0.25">
      <c r="A7" s="190" t="s">
        <v>148</v>
      </c>
    </row>
    <row r="8" spans="1:7" ht="15.75" thickBot="1" x14ac:dyDescent="0.25">
      <c r="A8" s="190" t="s">
        <v>149</v>
      </c>
    </row>
    <row r="9" spans="1:7" ht="15.75" thickBot="1" x14ac:dyDescent="0.25">
      <c r="A9" s="190" t="s">
        <v>150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29</vt:i4>
      </vt:variant>
    </vt:vector>
  </HeadingPairs>
  <TitlesOfParts>
    <vt:vector size="36" baseType="lpstr">
      <vt:lpstr>Sprint</vt:lpstr>
      <vt:lpstr>Analysis</vt:lpstr>
      <vt:lpstr>Capacity</vt:lpstr>
      <vt:lpstr>Team Roster</vt:lpstr>
      <vt:lpstr>Project Specific Reports</vt:lpstr>
      <vt:lpstr>Product Backlog</vt:lpstr>
      <vt:lpstr>planning poker</vt:lpstr>
      <vt:lpstr>Capacity!Area_de_impressao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Vinicius</cp:lastModifiedBy>
  <cp:revision>1</cp:revision>
  <cp:lastPrinted>2005-08-15T09:18:22Z</cp:lastPrinted>
  <dcterms:created xsi:type="dcterms:W3CDTF">2005-01-26T21:50:47Z</dcterms:created>
  <dcterms:modified xsi:type="dcterms:W3CDTF">2011-11-22T17:22:06Z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