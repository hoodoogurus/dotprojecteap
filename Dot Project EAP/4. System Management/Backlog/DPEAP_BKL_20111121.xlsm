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0" r:id="rId6"/>
    <sheet name="planning poker" sheetId="11" r:id="rId7"/>
  </sheets>
  <definedNames>
    <definedName name="_xlnm._FilterDatabase" localSheetId="0" hidden="1">Sprint!$C$3:$CE$68</definedName>
    <definedName name="_xlnm.Print_Area" localSheetId="2">Capacity!$A$4:$AB$33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45621"/>
</workbook>
</file>

<file path=xl/calcChain.xml><?xml version="1.0" encoding="utf-8"?>
<calcChain xmlns="http://schemas.openxmlformats.org/spreadsheetml/2006/main">
  <c r="BA22" i="7" l="1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L21" i="7"/>
  <c r="K21" i="7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L14" i="7"/>
  <c r="K14" i="7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L13" i="7"/>
  <c r="K13" i="7"/>
  <c r="N22" i="7" l="1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O22" i="7" l="1"/>
  <c r="G22" i="7" s="1"/>
  <c r="O21" i="7"/>
  <c r="G21" i="7" s="1"/>
  <c r="O14" i="7"/>
  <c r="G14" i="7" s="1"/>
  <c r="O15" i="7"/>
  <c r="G15" i="7" s="1"/>
  <c r="O13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L26" i="7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13" i="9"/>
  <c r="B14" i="9"/>
  <c r="B15" i="9"/>
  <c r="B16" i="9"/>
  <c r="B17" i="9"/>
  <c r="B18" i="9"/>
  <c r="B19" i="9"/>
  <c r="B20" i="9"/>
  <c r="B21" i="9"/>
  <c r="B22" i="9"/>
  <c r="B23" i="9"/>
  <c r="B24" i="9"/>
  <c r="E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R22" i="7" l="1"/>
  <c r="U22" i="7"/>
  <c r="R21" i="7"/>
  <c r="U21" i="7"/>
  <c r="R14" i="7"/>
  <c r="U14" i="7"/>
  <c r="R15" i="7"/>
  <c r="G13" i="7"/>
  <c r="R13" i="7"/>
  <c r="O26" i="7"/>
  <c r="R26" i="7" s="1"/>
  <c r="U26" i="7" s="1"/>
  <c r="O19" i="7"/>
  <c r="G19" i="7" s="1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32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16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28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X22" i="7" l="1"/>
  <c r="X21" i="7"/>
  <c r="G26" i="7"/>
  <c r="X14" i="7"/>
  <c r="U15" i="7"/>
  <c r="X15" i="7" s="1"/>
  <c r="AA15" i="7" s="1"/>
  <c r="U13" i="7"/>
  <c r="X13" i="7"/>
  <c r="AA13" i="7" s="1"/>
  <c r="X26" i="7"/>
  <c r="AA26" i="7" s="1"/>
  <c r="R19" i="7"/>
  <c r="O32" i="7"/>
  <c r="O50" i="7"/>
  <c r="O67" i="7"/>
  <c r="R67" i="7" s="1"/>
  <c r="O51" i="7"/>
  <c r="R51" i="7" s="1"/>
  <c r="U51" i="7" s="1"/>
  <c r="G51" i="7"/>
  <c r="X51" i="7"/>
  <c r="G50" i="7"/>
  <c r="Q54" i="7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O54" i="7"/>
  <c r="Q52" i="7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O52" i="7"/>
  <c r="Q48" i="7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8" i="7"/>
  <c r="Q46" i="7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6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8" i="7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O38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8" i="7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O28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O18" i="7"/>
  <c r="Q16" i="7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O16" i="7"/>
  <c r="O66" i="7"/>
  <c r="R66" i="7" s="1"/>
  <c r="O64" i="7"/>
  <c r="O62" i="7"/>
  <c r="R62" i="7" s="1"/>
  <c r="U62" i="7" s="1"/>
  <c r="G62" i="7" s="1"/>
  <c r="O60" i="7"/>
  <c r="O58" i="7"/>
  <c r="R58" i="7" s="1"/>
  <c r="U58" i="7" s="1"/>
  <c r="G58" i="7" s="1"/>
  <c r="O65" i="7"/>
  <c r="R64" i="7"/>
  <c r="U64" i="7" s="1"/>
  <c r="G64" i="7" s="1"/>
  <c r="O63" i="7"/>
  <c r="O61" i="7"/>
  <c r="R61" i="7" s="1"/>
  <c r="R60" i="7"/>
  <c r="O59" i="7"/>
  <c r="R59" i="7" s="1"/>
  <c r="U59" i="7" s="1"/>
  <c r="G59" i="7" s="1"/>
  <c r="O57" i="7"/>
  <c r="R57" i="7" s="1"/>
  <c r="AA51" i="7"/>
  <c r="O55" i="7"/>
  <c r="O53" i="7"/>
  <c r="R53" i="7" s="1"/>
  <c r="U53" i="7" s="1"/>
  <c r="G53" i="7" s="1"/>
  <c r="O49" i="7"/>
  <c r="O47" i="7"/>
  <c r="O45" i="7"/>
  <c r="O43" i="7"/>
  <c r="O41" i="7"/>
  <c r="O39" i="7"/>
  <c r="R38" i="7"/>
  <c r="U38" i="7" s="1"/>
  <c r="O37" i="7"/>
  <c r="O35" i="7"/>
  <c r="O33" i="7"/>
  <c r="O31" i="7"/>
  <c r="R31" i="7" s="1"/>
  <c r="O7" i="7"/>
  <c r="O5" i="7"/>
  <c r="R5" i="7" s="1"/>
  <c r="O29" i="7"/>
  <c r="O24" i="7"/>
  <c r="R24" i="7" s="1"/>
  <c r="U24" i="7" s="1"/>
  <c r="G24" i="7" s="1"/>
  <c r="O17" i="7"/>
  <c r="R17" i="7" s="1"/>
  <c r="U17" i="7" s="1"/>
  <c r="G17" i="7" s="1"/>
  <c r="O12" i="7"/>
  <c r="R12" i="7" s="1"/>
  <c r="O10" i="7"/>
  <c r="R10" i="7" s="1"/>
  <c r="O9" i="7"/>
  <c r="R9" i="7" s="1"/>
  <c r="O8" i="7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3" i="7"/>
  <c r="U63" i="7" s="1"/>
  <c r="G63" i="7" s="1"/>
  <c r="R55" i="7"/>
  <c r="R32" i="7"/>
  <c r="R29" i="7"/>
  <c r="U29" i="7" s="1"/>
  <c r="G29" i="7" s="1"/>
  <c r="O6" i="7"/>
  <c r="O27" i="7"/>
  <c r="O20" i="7"/>
  <c r="O11" i="7"/>
  <c r="R8" i="7"/>
  <c r="U8" i="7" s="1"/>
  <c r="G8" i="7" s="1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AA22" i="7" l="1"/>
  <c r="AD22" i="7" s="1"/>
  <c r="AG22" i="7" s="1"/>
  <c r="AJ22" i="7" s="1"/>
  <c r="AM22" i="7" s="1"/>
  <c r="AP22" i="7" s="1"/>
  <c r="AS22" i="7" s="1"/>
  <c r="AV22" i="7" s="1"/>
  <c r="AY22" i="7" s="1"/>
  <c r="AA21" i="7"/>
  <c r="AA14" i="7"/>
  <c r="AD15" i="7"/>
  <c r="AG15" i="7" s="1"/>
  <c r="AD13" i="7"/>
  <c r="AG13" i="7"/>
  <c r="AJ13" i="7" s="1"/>
  <c r="AD26" i="7"/>
  <c r="AG26" i="7" s="1"/>
  <c r="U19" i="7"/>
  <c r="X19" i="7"/>
  <c r="R46" i="7"/>
  <c r="R16" i="7"/>
  <c r="U16" i="7" s="1"/>
  <c r="R18" i="7"/>
  <c r="U18" i="7" s="1"/>
  <c r="R23" i="7"/>
  <c r="U23" i="7" s="1"/>
  <c r="R25" i="7"/>
  <c r="R28" i="7"/>
  <c r="R30" i="7"/>
  <c r="R34" i="7"/>
  <c r="U34" i="7" s="1"/>
  <c r="R36" i="7"/>
  <c r="R40" i="7"/>
  <c r="U40" i="7" s="1"/>
  <c r="R42" i="7"/>
  <c r="R44" i="7"/>
  <c r="U44" i="7" s="1"/>
  <c r="R48" i="7"/>
  <c r="R52" i="7"/>
  <c r="U52" i="7" s="1"/>
  <c r="R54" i="7"/>
  <c r="R7" i="7"/>
  <c r="U7" i="7" s="1"/>
  <c r="R35" i="7"/>
  <c r="U35" i="7" s="1"/>
  <c r="U60" i="7"/>
  <c r="X60" i="7" s="1"/>
  <c r="AA60" i="7" s="1"/>
  <c r="U67" i="7"/>
  <c r="G38" i="7"/>
  <c r="X38" i="7"/>
  <c r="G60" i="7"/>
  <c r="R50" i="7"/>
  <c r="U5" i="7"/>
  <c r="G5" i="7" s="1"/>
  <c r="X64" i="7"/>
  <c r="AA64" i="7" s="1"/>
  <c r="U66" i="7"/>
  <c r="G66" i="7" s="1"/>
  <c r="U42" i="7"/>
  <c r="AD51" i="7"/>
  <c r="AG51" i="7" s="1"/>
  <c r="G18" i="7"/>
  <c r="X18" i="7"/>
  <c r="G52" i="7"/>
  <c r="X52" i="7"/>
  <c r="AA52" i="7" s="1"/>
  <c r="G42" i="7"/>
  <c r="X42" i="7"/>
  <c r="AA42" i="7" s="1"/>
  <c r="AD42" i="7" s="1"/>
  <c r="U32" i="7"/>
  <c r="G32" i="7" s="1"/>
  <c r="X5" i="7"/>
  <c r="AA5" i="7" s="1"/>
  <c r="AD5" i="7" s="1"/>
  <c r="R11" i="7"/>
  <c r="U11" i="7" s="1"/>
  <c r="G11" i="7" s="1"/>
  <c r="U12" i="7"/>
  <c r="X8" i="7"/>
  <c r="U10" i="7"/>
  <c r="X10" i="7" s="1"/>
  <c r="AA10" i="7" s="1"/>
  <c r="AD10" i="7" s="1"/>
  <c r="X17" i="7"/>
  <c r="AA17" i="7" s="1"/>
  <c r="R27" i="7"/>
  <c r="U27" i="7" s="1"/>
  <c r="G27" i="7" s="1"/>
  <c r="X29" i="7"/>
  <c r="R33" i="7"/>
  <c r="U36" i="7"/>
  <c r="R41" i="7"/>
  <c r="R43" i="7"/>
  <c r="R49" i="7"/>
  <c r="R56" i="7"/>
  <c r="X53" i="7"/>
  <c r="AA53" i="7" s="1"/>
  <c r="AA18" i="7"/>
  <c r="AD18" i="7" s="1"/>
  <c r="AG18" i="7" s="1"/>
  <c r="U28" i="7"/>
  <c r="G28" i="7" s="1"/>
  <c r="U46" i="7"/>
  <c r="U48" i="7"/>
  <c r="U54" i="7"/>
  <c r="R65" i="7"/>
  <c r="G67" i="7"/>
  <c r="X67" i="7"/>
  <c r="AA67" i="7" s="1"/>
  <c r="U9" i="7"/>
  <c r="X9" i="7" s="1"/>
  <c r="AA9" i="7" s="1"/>
  <c r="R39" i="7"/>
  <c r="R45" i="7"/>
  <c r="U55" i="7"/>
  <c r="X55" i="7" s="1"/>
  <c r="U57" i="7"/>
  <c r="X58" i="7"/>
  <c r="U61" i="7"/>
  <c r="X62" i="7"/>
  <c r="AA8" i="7"/>
  <c r="AA29" i="7"/>
  <c r="R6" i="7"/>
  <c r="R20" i="7"/>
  <c r="X24" i="7"/>
  <c r="U31" i="7"/>
  <c r="X32" i="7"/>
  <c r="R37" i="7"/>
  <c r="AA38" i="7"/>
  <c r="R47" i="7"/>
  <c r="X59" i="7"/>
  <c r="X63" i="7"/>
  <c r="U25" i="7"/>
  <c r="U30" i="7"/>
  <c r="R68" i="7"/>
  <c r="U68" i="7" s="1"/>
  <c r="X68" i="7" s="1"/>
  <c r="AA68" i="7" s="1"/>
  <c r="CE22" i="7" l="1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AD21" i="7"/>
  <c r="AG21" i="7" s="1"/>
  <c r="AJ21" i="7" s="1"/>
  <c r="AM21" i="7" s="1"/>
  <c r="AP21" i="7" s="1"/>
  <c r="AS21" i="7" s="1"/>
  <c r="AV21" i="7" s="1"/>
  <c r="AY21" i="7" s="1"/>
  <c r="AD14" i="7"/>
  <c r="AG14" i="7" s="1"/>
  <c r="AJ14" i="7" s="1"/>
  <c r="AM14" i="7" s="1"/>
  <c r="AP14" i="7" s="1"/>
  <c r="AS14" i="7" s="1"/>
  <c r="AV14" i="7" s="1"/>
  <c r="AY14" i="7" s="1"/>
  <c r="AJ15" i="7"/>
  <c r="AM15" i="7" s="1"/>
  <c r="AP15" i="7"/>
  <c r="AS15" i="7" s="1"/>
  <c r="AV15" i="7" s="1"/>
  <c r="AY15" i="7" s="1"/>
  <c r="AM13" i="7"/>
  <c r="AP13" i="7"/>
  <c r="AS13" i="7" s="1"/>
  <c r="AV13" i="7" s="1"/>
  <c r="AY13" i="7" s="1"/>
  <c r="CE13" i="7" s="1"/>
  <c r="X28" i="7"/>
  <c r="AA28" i="7" s="1"/>
  <c r="AJ26" i="7"/>
  <c r="AA19" i="7"/>
  <c r="AD19" i="7" s="1"/>
  <c r="AG19" i="7" s="1"/>
  <c r="AJ19" i="7" s="1"/>
  <c r="AM19" i="7" s="1"/>
  <c r="AP19" i="7" s="1"/>
  <c r="AS19" i="7" s="1"/>
  <c r="AV19" i="7" s="1"/>
  <c r="AY19" i="7" s="1"/>
  <c r="X11" i="7"/>
  <c r="AA11" i="7" s="1"/>
  <c r="G16" i="7"/>
  <c r="X16" i="7"/>
  <c r="AA16" i="7" s="1"/>
  <c r="G35" i="7"/>
  <c r="X35" i="7"/>
  <c r="AA35" i="7" s="1"/>
  <c r="G7" i="7"/>
  <c r="X7" i="7"/>
  <c r="AA7" i="7" s="1"/>
  <c r="AD52" i="7"/>
  <c r="AG52" i="7" s="1"/>
  <c r="AJ52" i="7" s="1"/>
  <c r="X66" i="7"/>
  <c r="U50" i="7"/>
  <c r="AD67" i="7"/>
  <c r="AG67" i="7" s="1"/>
  <c r="G30" i="7"/>
  <c r="X30" i="7"/>
  <c r="G25" i="7"/>
  <c r="X25" i="7"/>
  <c r="U37" i="7"/>
  <c r="G37" i="7" s="1"/>
  <c r="G61" i="7"/>
  <c r="G55" i="7"/>
  <c r="U39" i="7"/>
  <c r="G9" i="7"/>
  <c r="AD9" i="7"/>
  <c r="G54" i="7"/>
  <c r="X54" i="7"/>
  <c r="G46" i="7"/>
  <c r="X46" i="7"/>
  <c r="AA46" i="7" s="1"/>
  <c r="G23" i="7"/>
  <c r="AD53" i="7"/>
  <c r="AG53" i="7" s="1"/>
  <c r="U49" i="7"/>
  <c r="U43" i="7"/>
  <c r="X43" i="7" s="1"/>
  <c r="G36" i="7"/>
  <c r="X36" i="7"/>
  <c r="U33" i="7"/>
  <c r="AD8" i="7"/>
  <c r="AG8" i="7" s="1"/>
  <c r="AA55" i="7"/>
  <c r="AD55" i="7" s="1"/>
  <c r="U6" i="7"/>
  <c r="G6" i="7" s="1"/>
  <c r="X27" i="7"/>
  <c r="AA27" i="7" s="1"/>
  <c r="AD16" i="7"/>
  <c r="AG16" i="7" s="1"/>
  <c r="AJ16" i="7" s="1"/>
  <c r="AG5" i="7"/>
  <c r="AA25" i="7"/>
  <c r="AA62" i="7"/>
  <c r="AD62" i="7" s="1"/>
  <c r="AA58" i="7"/>
  <c r="AD58" i="7" s="1"/>
  <c r="AA63" i="7"/>
  <c r="AA59" i="7"/>
  <c r="AG42" i="7"/>
  <c r="X39" i="7"/>
  <c r="X23" i="7"/>
  <c r="AG10" i="7"/>
  <c r="AJ10" i="7" s="1"/>
  <c r="AJ51" i="7"/>
  <c r="AM51" i="7" s="1"/>
  <c r="AP51" i="7" s="1"/>
  <c r="U47" i="7"/>
  <c r="G40" i="7"/>
  <c r="X40" i="7"/>
  <c r="AA40" i="7" s="1"/>
  <c r="G31" i="7"/>
  <c r="X31" i="7"/>
  <c r="G57" i="7"/>
  <c r="U45" i="7"/>
  <c r="X45" i="7" s="1"/>
  <c r="G34" i="7"/>
  <c r="X34" i="7"/>
  <c r="AA34" i="7" s="1"/>
  <c r="U65" i="7"/>
  <c r="X65" i="7" s="1"/>
  <c r="G48" i="7"/>
  <c r="X48" i="7"/>
  <c r="G44" i="7"/>
  <c r="X44" i="7"/>
  <c r="AA44" i="7" s="1"/>
  <c r="U56" i="7"/>
  <c r="U41" i="7"/>
  <c r="G10" i="7"/>
  <c r="G12" i="7"/>
  <c r="X12" i="7"/>
  <c r="AD38" i="7"/>
  <c r="AD29" i="7"/>
  <c r="AD17" i="7"/>
  <c r="AG17" i="7" s="1"/>
  <c r="AD28" i="7"/>
  <c r="AA30" i="7"/>
  <c r="X61" i="7"/>
  <c r="X57" i="7"/>
  <c r="AD64" i="7"/>
  <c r="AD60" i="7"/>
  <c r="AA24" i="7"/>
  <c r="AD24" i="7" s="1"/>
  <c r="U20" i="7"/>
  <c r="G20" i="7" s="1"/>
  <c r="AA32" i="7"/>
  <c r="AJ18" i="7"/>
  <c r="AD68" i="7"/>
  <c r="CE21" i="7" l="1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CE14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C13" i="7"/>
  <c r="BB13" i="7"/>
  <c r="BE13" i="7" s="1"/>
  <c r="BH13" i="7" s="1"/>
  <c r="BN13" i="7"/>
  <c r="BQ13" i="7"/>
  <c r="BT13" i="7" s="1"/>
  <c r="BW13" i="7" s="1"/>
  <c r="BZ13" i="7" s="1"/>
  <c r="BK13" i="7"/>
  <c r="AM26" i="7"/>
  <c r="AP26" i="7" s="1"/>
  <c r="AS26" i="7" s="1"/>
  <c r="AV26" i="7" s="1"/>
  <c r="AY2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AD7" i="7"/>
  <c r="AG7" i="7" s="1"/>
  <c r="AJ7" i="7" s="1"/>
  <c r="AD35" i="7"/>
  <c r="AG35" i="7" s="1"/>
  <c r="AA66" i="7"/>
  <c r="AD66" i="7" s="1"/>
  <c r="X50" i="7"/>
  <c r="X37" i="7"/>
  <c r="AA37" i="7" s="1"/>
  <c r="AA50" i="7"/>
  <c r="AS51" i="7"/>
  <c r="AV51" i="7" s="1"/>
  <c r="AY51" i="7" s="1"/>
  <c r="AJ17" i="7"/>
  <c r="AA12" i="7"/>
  <c r="G41" i="7"/>
  <c r="G56" i="7"/>
  <c r="G65" i="7"/>
  <c r="G47" i="7"/>
  <c r="AG58" i="7"/>
  <c r="AD27" i="7"/>
  <c r="AJ8" i="7"/>
  <c r="G33" i="7"/>
  <c r="G43" i="7"/>
  <c r="AA43" i="7"/>
  <c r="AD43" i="7" s="1"/>
  <c r="AG43" i="7" s="1"/>
  <c r="AJ53" i="7"/>
  <c r="AD46" i="7"/>
  <c r="AG46" i="7" s="1"/>
  <c r="AJ46" i="7" s="1"/>
  <c r="AA54" i="7"/>
  <c r="AD54" i="7" s="1"/>
  <c r="AD40" i="7"/>
  <c r="X41" i="7"/>
  <c r="AM7" i="7"/>
  <c r="AA31" i="7"/>
  <c r="AG28" i="7"/>
  <c r="AG29" i="7"/>
  <c r="AD31" i="7"/>
  <c r="AD32" i="7"/>
  <c r="AG32" i="7" s="1"/>
  <c r="AJ32" i="7" s="1"/>
  <c r="AG38" i="7"/>
  <c r="X47" i="7"/>
  <c r="X33" i="7"/>
  <c r="X49" i="7"/>
  <c r="AA49" i="7" s="1"/>
  <c r="AD49" i="7" s="1"/>
  <c r="AG9" i="7"/>
  <c r="AG55" i="7"/>
  <c r="AJ58" i="7"/>
  <c r="X6" i="7"/>
  <c r="AA6" i="7" s="1"/>
  <c r="AG24" i="7"/>
  <c r="AD59" i="7"/>
  <c r="AG59" i="7" s="1"/>
  <c r="AG60" i="7"/>
  <c r="AD25" i="7"/>
  <c r="AJ42" i="7"/>
  <c r="AJ67" i="7"/>
  <c r="AD44" i="7"/>
  <c r="AD34" i="7"/>
  <c r="G45" i="7"/>
  <c r="AA45" i="7"/>
  <c r="AD45" i="7" s="1"/>
  <c r="AA23" i="7"/>
  <c r="AG62" i="7"/>
  <c r="AJ62" i="7" s="1"/>
  <c r="AJ5" i="7"/>
  <c r="G49" i="7"/>
  <c r="G39" i="7"/>
  <c r="AA39" i="7"/>
  <c r="AD39" i="7" s="1"/>
  <c r="AG39" i="7" s="1"/>
  <c r="AD30" i="7"/>
  <c r="AG30" i="7" s="1"/>
  <c r="AM16" i="7"/>
  <c r="X56" i="7"/>
  <c r="AA65" i="7"/>
  <c r="AM10" i="7"/>
  <c r="AP10" i="7" s="1"/>
  <c r="AD11" i="7"/>
  <c r="AA57" i="7"/>
  <c r="AA61" i="7"/>
  <c r="AM18" i="7"/>
  <c r="AM52" i="7"/>
  <c r="AA47" i="7"/>
  <c r="AD47" i="7" s="1"/>
  <c r="AA36" i="7"/>
  <c r="AD23" i="7"/>
  <c r="X20" i="7"/>
  <c r="AJ60" i="7"/>
  <c r="AM60" i="7" s="1"/>
  <c r="AP60" i="7" s="1"/>
  <c r="AS60" i="7" s="1"/>
  <c r="AV60" i="7" s="1"/>
  <c r="AY60" i="7" s="1"/>
  <c r="AD63" i="7"/>
  <c r="AG64" i="7"/>
  <c r="AA48" i="7"/>
  <c r="AG68" i="7"/>
  <c r="AJ35" i="7" l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6" i="7"/>
  <c r="AG66" i="7"/>
  <c r="AJ66" i="7" s="1"/>
  <c r="AD50" i="7"/>
  <c r="AG50" i="7"/>
  <c r="AJ50" i="7" s="1"/>
  <c r="AS10" i="7"/>
  <c r="AV10" i="7" s="1"/>
  <c r="AY10" i="7" s="1"/>
  <c r="AJ39" i="7"/>
  <c r="AM46" i="7"/>
  <c r="AM62" i="7"/>
  <c r="AP62" i="7" s="1"/>
  <c r="AS62" i="7" s="1"/>
  <c r="AV62" i="7" s="1"/>
  <c r="AY62" i="7" s="1"/>
  <c r="BB60" i="7"/>
  <c r="BE60" i="7" s="1"/>
  <c r="BH60" i="7" s="1"/>
  <c r="CE60" i="7"/>
  <c r="AP46" i="7"/>
  <c r="AS46" i="7" s="1"/>
  <c r="AV46" i="7" s="1"/>
  <c r="AY46" i="7" s="1"/>
  <c r="CE51" i="7"/>
  <c r="BE51" i="7"/>
  <c r="BB51" i="7"/>
  <c r="BW51" i="7"/>
  <c r="BZ51" i="7" s="1"/>
  <c r="CC51" i="7"/>
  <c r="AP52" i="7"/>
  <c r="AS52" i="7" s="1"/>
  <c r="AV52" i="7" s="1"/>
  <c r="AY52" i="7" s="1"/>
  <c r="AG23" i="7"/>
  <c r="AJ23" i="7" s="1"/>
  <c r="AM42" i="7"/>
  <c r="AP42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8" i="7"/>
  <c r="AM38" i="7" s="1"/>
  <c r="AP38" i="7" s="1"/>
  <c r="AS38" i="7" s="1"/>
  <c r="AV38" i="7" s="1"/>
  <c r="AY38" i="7" s="1"/>
  <c r="AA20" i="7"/>
  <c r="AD20" i="7" s="1"/>
  <c r="AG20" i="7" s="1"/>
  <c r="AJ20" i="7" s="1"/>
  <c r="AM20" i="7" s="1"/>
  <c r="AP20" i="7" s="1"/>
  <c r="AS20" i="7" s="1"/>
  <c r="AP18" i="7"/>
  <c r="AS18" i="7" s="1"/>
  <c r="AV18" i="7" s="1"/>
  <c r="AY18" i="7" s="1"/>
  <c r="CE18" i="7" s="1"/>
  <c r="AD36" i="7"/>
  <c r="AG36" i="7" s="1"/>
  <c r="AJ36" i="7" s="1"/>
  <c r="AM36" i="7" s="1"/>
  <c r="AP36" i="7" s="1"/>
  <c r="AS36" i="7" s="1"/>
  <c r="AV36" i="7" s="1"/>
  <c r="AY36" i="7" s="1"/>
  <c r="AD57" i="7"/>
  <c r="AG57" i="7" s="1"/>
  <c r="AJ57" i="7" s="1"/>
  <c r="AM57" i="7" s="1"/>
  <c r="AP57" i="7" s="1"/>
  <c r="AS57" i="7" s="1"/>
  <c r="AV57" i="7" s="1"/>
  <c r="AY57" i="7" s="1"/>
  <c r="AJ30" i="7"/>
  <c r="AG63" i="7"/>
  <c r="AJ63" i="7" s="1"/>
  <c r="AM63" i="7" s="1"/>
  <c r="AP63" i="7" s="1"/>
  <c r="AS63" i="7" s="1"/>
  <c r="AV63" i="7" s="1"/>
  <c r="AY63" i="7" s="1"/>
  <c r="CC60" i="7"/>
  <c r="AG47" i="7"/>
  <c r="AJ47" i="7" s="1"/>
  <c r="AM47" i="7" s="1"/>
  <c r="AP47" i="7" s="1"/>
  <c r="AG45" i="7"/>
  <c r="AJ24" i="7"/>
  <c r="AD61" i="7"/>
  <c r="AP7" i="7"/>
  <c r="AS7" i="7" s="1"/>
  <c r="AV7" i="7" s="1"/>
  <c r="AY7" i="7" s="1"/>
  <c r="CE7" i="7" s="1"/>
  <c r="AD37" i="7"/>
  <c r="AM67" i="7"/>
  <c r="AG25" i="7"/>
  <c r="AJ59" i="7"/>
  <c r="AM59" i="7" s="1"/>
  <c r="AP59" i="7" s="1"/>
  <c r="AS59" i="7" s="1"/>
  <c r="AV59" i="7" s="1"/>
  <c r="AY59" i="7" s="1"/>
  <c r="AD6" i="7"/>
  <c r="AG6" i="7" s="1"/>
  <c r="AJ6" i="7" s="1"/>
  <c r="AM6" i="7" s="1"/>
  <c r="AP6" i="7" s="1"/>
  <c r="AS6" i="7" s="1"/>
  <c r="AV6" i="7" s="1"/>
  <c r="AY6" i="7" s="1"/>
  <c r="AM35" i="7"/>
  <c r="AP35" i="7" s="1"/>
  <c r="AG40" i="7"/>
  <c r="AG54" i="7"/>
  <c r="AM53" i="7"/>
  <c r="AM8" i="7"/>
  <c r="AP8" i="7" s="1"/>
  <c r="AS8" i="7" s="1"/>
  <c r="AV8" i="7" s="1"/>
  <c r="AY8" i="7" s="1"/>
  <c r="AG27" i="7"/>
  <c r="AJ27" i="7" s="1"/>
  <c r="AM27" i="7" s="1"/>
  <c r="AP27" i="7" s="1"/>
  <c r="AS27" i="7" s="1"/>
  <c r="AV27" i="7" s="1"/>
  <c r="AY27" i="7" s="1"/>
  <c r="AM17" i="7"/>
  <c r="AP17" i="7" s="1"/>
  <c r="AS17" i="7" s="1"/>
  <c r="AV17" i="7" s="1"/>
  <c r="AY17" i="7" s="1"/>
  <c r="AG11" i="7"/>
  <c r="AJ11" i="7" s="1"/>
  <c r="AM11" i="7" s="1"/>
  <c r="AP11" i="7" s="1"/>
  <c r="AS11" i="7" s="1"/>
  <c r="AV11" i="7" s="1"/>
  <c r="AY11" i="7" s="1"/>
  <c r="AM5" i="7"/>
  <c r="AD48" i="7"/>
  <c r="AG48" i="7" s="1"/>
  <c r="AJ48" i="7" s="1"/>
  <c r="AM48" i="7" s="1"/>
  <c r="AP48" i="7" s="1"/>
  <c r="AS48" i="7" s="1"/>
  <c r="AG44" i="7"/>
  <c r="AJ44" i="7" s="1"/>
  <c r="AM44" i="7" s="1"/>
  <c r="AP44" i="7" s="1"/>
  <c r="AJ64" i="7"/>
  <c r="AM64" i="7" s="1"/>
  <c r="AP64" i="7" s="1"/>
  <c r="AS64" i="7" s="1"/>
  <c r="AV64" i="7" s="1"/>
  <c r="AY64" i="7" s="1"/>
  <c r="CE64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9" i="7"/>
  <c r="AJ28" i="7"/>
  <c r="AM32" i="7"/>
  <c r="AP32" i="7" s="1"/>
  <c r="AS32" i="7" s="1"/>
  <c r="AG34" i="7"/>
  <c r="AJ43" i="7"/>
  <c r="AA33" i="7"/>
  <c r="AM58" i="7"/>
  <c r="BH51" i="7"/>
  <c r="BK51" i="7" s="1"/>
  <c r="BN51" i="7" s="1"/>
  <c r="BQ51" i="7" s="1"/>
  <c r="BT51" i="7" s="1"/>
  <c r="AG31" i="7"/>
  <c r="AJ31" i="7" s="1"/>
  <c r="AM31" i="7" s="1"/>
  <c r="AP31" i="7" s="1"/>
  <c r="AS31" i="7" s="1"/>
  <c r="AD65" i="7"/>
  <c r="AA56" i="7"/>
  <c r="AA41" i="7"/>
  <c r="AD41" i="7" s="1"/>
  <c r="AD12" i="7"/>
  <c r="AJ29" i="7"/>
  <c r="AM29" i="7" s="1"/>
  <c r="AP29" i="7" s="1"/>
  <c r="AS29" i="7" s="1"/>
  <c r="AV29" i="7" s="1"/>
  <c r="AY29" i="7" s="1"/>
  <c r="AP16" i="7"/>
  <c r="AS16" i="7" s="1"/>
  <c r="AV16" i="7" s="1"/>
  <c r="AY16" i="7" s="1"/>
  <c r="AJ68" i="7"/>
  <c r="AV32" i="7" l="1"/>
  <c r="AM66" i="7"/>
  <c r="AP66" i="7" s="1"/>
  <c r="AS66" i="7" s="1"/>
  <c r="AV66" i="7" s="1"/>
  <c r="AY66" i="7" s="1"/>
  <c r="CE66" i="7" s="1"/>
  <c r="BT18" i="7"/>
  <c r="BW18" i="7" s="1"/>
  <c r="BZ18" i="7" s="1"/>
  <c r="CC18" i="7" s="1"/>
  <c r="BN18" i="7"/>
  <c r="BQ18" i="7" s="1"/>
  <c r="AM50" i="7"/>
  <c r="AP50" i="7" s="1"/>
  <c r="AM39" i="7"/>
  <c r="BB18" i="7"/>
  <c r="BE18" i="7" s="1"/>
  <c r="BH18" i="7" s="1"/>
  <c r="BK18" i="7" s="1"/>
  <c r="BB10" i="7"/>
  <c r="BE10" i="7"/>
  <c r="BH10" i="7" s="1"/>
  <c r="CC10" i="7"/>
  <c r="AV20" i="7"/>
  <c r="AY20" i="7" s="1"/>
  <c r="CE10" i="7"/>
  <c r="BK10" i="7"/>
  <c r="BN10" i="7" s="1"/>
  <c r="BQ10" i="7" s="1"/>
  <c r="BT10" i="7" s="1"/>
  <c r="BW10" i="7" s="1"/>
  <c r="BZ10" i="7" s="1"/>
  <c r="AS42" i="7"/>
  <c r="AV42" i="7" s="1"/>
  <c r="AY42" i="7" s="1"/>
  <c r="AS35" i="7"/>
  <c r="AV35" i="7" s="1"/>
  <c r="AY35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7" i="7"/>
  <c r="BB27" i="7"/>
  <c r="BE27" i="7" s="1"/>
  <c r="BH27" i="7" s="1"/>
  <c r="BK27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8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6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17" i="7"/>
  <c r="BB17" i="7"/>
  <c r="BE17" i="7" s="1"/>
  <c r="BH17" i="7" s="1"/>
  <c r="BK17" i="7" s="1"/>
  <c r="BN17" i="7" s="1"/>
  <c r="BQ17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36" i="7"/>
  <c r="BE36" i="7" s="1"/>
  <c r="BH36" i="7" s="1"/>
  <c r="BK36" i="7" s="1"/>
  <c r="BN36" i="7" s="1"/>
  <c r="BQ36" i="7" s="1"/>
  <c r="CE3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46" i="7"/>
  <c r="CC9" i="7"/>
  <c r="AP67" i="7"/>
  <c r="AS67" i="7" s="1"/>
  <c r="AG37" i="7"/>
  <c r="AJ37" i="7" s="1"/>
  <c r="AM37" i="7" s="1"/>
  <c r="AP37" i="7" s="1"/>
  <c r="AM24" i="7"/>
  <c r="AP24" i="7" s="1"/>
  <c r="AS24" i="7" s="1"/>
  <c r="AV24" i="7" s="1"/>
  <c r="AY24" i="7" s="1"/>
  <c r="CE24" i="7" s="1"/>
  <c r="AM30" i="7"/>
  <c r="AP30" i="7" s="1"/>
  <c r="AS30" i="7" s="1"/>
  <c r="AV30" i="7" s="1"/>
  <c r="AY30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7" i="7"/>
  <c r="BW17" i="7" s="1"/>
  <c r="BZ17" i="7" s="1"/>
  <c r="CC17" i="7" s="1"/>
  <c r="AV31" i="7"/>
  <c r="AY31" i="7" s="1"/>
  <c r="AY32" i="7"/>
  <c r="BN32" i="7" s="1"/>
  <c r="BQ32" i="7" s="1"/>
  <c r="BT32" i="7" s="1"/>
  <c r="BW32" i="7" s="1"/>
  <c r="BZ32" i="7" s="1"/>
  <c r="CC32" i="7" s="1"/>
  <c r="AV48" i="7"/>
  <c r="AY48" i="7" s="1"/>
  <c r="AJ45" i="7"/>
  <c r="AM45" i="7" s="1"/>
  <c r="AP45" i="7" s="1"/>
  <c r="AS45" i="7" s="1"/>
  <c r="AV45" i="7" s="1"/>
  <c r="AY45" i="7" s="1"/>
  <c r="CE45" i="7" s="1"/>
  <c r="BB9" i="7"/>
  <c r="BE9" i="7" s="1"/>
  <c r="BH9" i="7" s="1"/>
  <c r="BK9" i="7" s="1"/>
  <c r="BN9" i="7" s="1"/>
  <c r="BQ9" i="7" s="1"/>
  <c r="BT9" i="7" s="1"/>
  <c r="BW9" i="7" s="1"/>
  <c r="BZ9" i="7" s="1"/>
  <c r="BT36" i="7"/>
  <c r="BW36" i="7" s="1"/>
  <c r="BZ36" i="7" s="1"/>
  <c r="CC36" i="7" s="1"/>
  <c r="AG12" i="7"/>
  <c r="AJ12" i="7" s="1"/>
  <c r="AM12" i="7" s="1"/>
  <c r="AP12" i="7" s="1"/>
  <c r="AS12" i="7" s="1"/>
  <c r="AG41" i="7"/>
  <c r="AJ41" i="7" s="1"/>
  <c r="AM41" i="7" s="1"/>
  <c r="AP41" i="7" s="1"/>
  <c r="AG65" i="7"/>
  <c r="AJ34" i="7"/>
  <c r="AM34" i="7" s="1"/>
  <c r="AP34" i="7" s="1"/>
  <c r="AS34" i="7" s="1"/>
  <c r="AV34" i="7" s="1"/>
  <c r="AY34" i="7" s="1"/>
  <c r="AJ49" i="7"/>
  <c r="AM49" i="7" s="1"/>
  <c r="AP49" i="7" s="1"/>
  <c r="AS49" i="7" s="1"/>
  <c r="AS44" i="7"/>
  <c r="AV44" i="7" s="1"/>
  <c r="AY44" i="7" s="1"/>
  <c r="BZ8" i="7"/>
  <c r="CC8" i="7" s="1"/>
  <c r="BT8" i="7"/>
  <c r="BW8" i="7" s="1"/>
  <c r="AJ40" i="7"/>
  <c r="AM40" i="7" s="1"/>
  <c r="AP40" i="7" s="1"/>
  <c r="AS40" i="7" s="1"/>
  <c r="AV40" i="7" s="1"/>
  <c r="AY40" i="7" s="1"/>
  <c r="AJ25" i="7"/>
  <c r="AM25" i="7" s="1"/>
  <c r="AP25" i="7" s="1"/>
  <c r="AS25" i="7" s="1"/>
  <c r="AV25" i="7" s="1"/>
  <c r="AY25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33" i="7"/>
  <c r="AG33" i="7" s="1"/>
  <c r="AJ33" i="7" s="1"/>
  <c r="AM33" i="7" s="1"/>
  <c r="AP33" i="7" s="1"/>
  <c r="AS33" i="7" s="1"/>
  <c r="AV33" i="7" s="1"/>
  <c r="AY33" i="7" s="1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N27" i="7"/>
  <c r="BQ27" i="7" s="1"/>
  <c r="BT27" i="7" s="1"/>
  <c r="BW27" i="7" s="1"/>
  <c r="BZ27" i="7" s="1"/>
  <c r="CC27" i="7" s="1"/>
  <c r="AM43" i="7"/>
  <c r="AP43" i="7" s="1"/>
  <c r="AS43" i="7" s="1"/>
  <c r="AV43" i="7" s="1"/>
  <c r="AY43" i="7" s="1"/>
  <c r="AP53" i="7"/>
  <c r="AS53" i="7" s="1"/>
  <c r="AV53" i="7" s="1"/>
  <c r="AY53" i="7" s="1"/>
  <c r="CE53" i="7" s="1"/>
  <c r="AJ54" i="7"/>
  <c r="AS47" i="7"/>
  <c r="AV47" i="7" s="1"/>
  <c r="AY47" i="7" s="1"/>
  <c r="CE47" i="7" s="1"/>
  <c r="BH48" i="7"/>
  <c r="BK48" i="7" s="1"/>
  <c r="BN48" i="7" s="1"/>
  <c r="BQ48" i="7" s="1"/>
  <c r="BT48" i="7" s="1"/>
  <c r="BW48" i="7"/>
  <c r="BZ48" i="7" s="1"/>
  <c r="CC48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23" i="7"/>
  <c r="AP23" i="7" s="1"/>
  <c r="AS23" i="7" s="1"/>
  <c r="AV23" i="7" s="1"/>
  <c r="AY23" i="7" s="1"/>
  <c r="AP5" i="7"/>
  <c r="AS5" i="7" s="1"/>
  <c r="AV5" i="7" s="1"/>
  <c r="AY5" i="7" s="1"/>
  <c r="CE5" i="7" s="1"/>
  <c r="BK66" i="7"/>
  <c r="BN66" i="7" s="1"/>
  <c r="BQ66" i="7" s="1"/>
  <c r="BT66" i="7" s="1"/>
  <c r="BW66" i="7" s="1"/>
  <c r="BZ66" i="7" s="1"/>
  <c r="CC66" i="7" s="1"/>
  <c r="AM28" i="7"/>
  <c r="AP28" i="7" s="1"/>
  <c r="AS28" i="7" s="1"/>
  <c r="AV28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8" i="7"/>
  <c r="CE35" i="7" l="1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P39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AS50" i="7"/>
  <c r="CE42" i="7"/>
  <c r="BB53" i="7"/>
  <c r="BE53" i="7" s="1"/>
  <c r="BH53" i="7" s="1"/>
  <c r="BK53" i="7" s="1"/>
  <c r="BN53" i="7" s="1"/>
  <c r="BQ53" i="7" s="1"/>
  <c r="BZ53" i="7"/>
  <c r="CC53" i="7" s="1"/>
  <c r="BT53" i="7"/>
  <c r="BW53" i="7" s="1"/>
  <c r="AV12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V67" i="7"/>
  <c r="CE20" i="7"/>
  <c r="BN44" i="7"/>
  <c r="BQ44" i="7" s="1"/>
  <c r="BT44" i="7" s="1"/>
  <c r="BW44" i="7" s="1"/>
  <c r="BZ44" i="7" s="1"/>
  <c r="CC44" i="7" s="1"/>
  <c r="BE44" i="7"/>
  <c r="BH44" i="7" s="1"/>
  <c r="BK44" i="7" s="1"/>
  <c r="AV49" i="7"/>
  <c r="AY49" i="7" s="1"/>
  <c r="AS41" i="7"/>
  <c r="AV41" i="7" s="1"/>
  <c r="BN47" i="7"/>
  <c r="BQ47" i="7" s="1"/>
  <c r="BT47" i="7" s="1"/>
  <c r="BW47" i="7" s="1"/>
  <c r="BZ47" i="7" s="1"/>
  <c r="CC47" i="7" s="1"/>
  <c r="BQ30" i="7"/>
  <c r="BT30" i="7" s="1"/>
  <c r="BW30" i="7" s="1"/>
  <c r="BZ30" i="7" s="1"/>
  <c r="CC30" i="7" s="1"/>
  <c r="BB24" i="7"/>
  <c r="BE24" i="7" s="1"/>
  <c r="BH24" i="7" s="1"/>
  <c r="BK24" i="7" s="1"/>
  <c r="BN24" i="7" s="1"/>
  <c r="BQ24" i="7" s="1"/>
  <c r="BT24" i="7" s="1"/>
  <c r="BW24" i="7" s="1"/>
  <c r="BZ24" i="7"/>
  <c r="CC24" i="7" s="1"/>
  <c r="AS37" i="7"/>
  <c r="AV37" i="7" s="1"/>
  <c r="AY37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25" i="7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40" i="7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4" i="7"/>
  <c r="BB44" i="7"/>
  <c r="CE32" i="7"/>
  <c r="BB32" i="7"/>
  <c r="BE32" i="7" s="1"/>
  <c r="BH32" i="7" s="1"/>
  <c r="BK32" i="7" s="1"/>
  <c r="CE30" i="7"/>
  <c r="BB30" i="7"/>
  <c r="BE30" i="7" s="1"/>
  <c r="BH30" i="7" s="1"/>
  <c r="BK30" i="7" s="1"/>
  <c r="BN30" i="7" s="1"/>
  <c r="AY28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BB47" i="7"/>
  <c r="BE47" i="7" s="1"/>
  <c r="BH47" i="7" s="1"/>
  <c r="BK47" i="7" s="1"/>
  <c r="AJ65" i="7"/>
  <c r="AM65" i="7" s="1"/>
  <c r="AP65" i="7" s="1"/>
  <c r="AS65" i="7" s="1"/>
  <c r="AV65" i="7" s="1"/>
  <c r="AY65" i="7" s="1"/>
  <c r="CE48" i="7"/>
  <c r="BB48" i="7"/>
  <c r="BE48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AM54" i="7"/>
  <c r="AP54" i="7" s="1"/>
  <c r="AS54" i="7" s="1"/>
  <c r="AV54" i="7" s="1"/>
  <c r="AY54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8" i="7"/>
  <c r="AS68" i="7" s="1"/>
  <c r="AV68" i="7" s="1"/>
  <c r="CE37" i="7" l="1"/>
  <c r="AY41" i="7"/>
  <c r="CE41" i="7" s="1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49" i="7"/>
  <c r="AV50" i="7"/>
  <c r="AY50" i="7" s="1"/>
  <c r="AS39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4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G68" i="7"/>
  <c r="AY68" i="7"/>
  <c r="BT68" i="7" s="1"/>
  <c r="BW68" i="7" s="1"/>
  <c r="BZ68" i="7" s="1"/>
  <c r="CC68" i="7" s="1"/>
  <c r="CE50" i="7" l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AV39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12" i="9"/>
  <c r="B11" i="9"/>
  <c r="B10" i="9"/>
  <c r="B9" i="9"/>
  <c r="B2" i="9"/>
  <c r="B5" i="9"/>
  <c r="B4" i="9"/>
  <c r="B3" i="9"/>
  <c r="AY39" i="7" l="1"/>
  <c r="CE39" i="7" s="1"/>
  <c r="B25" i="9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G25" i="6"/>
  <c r="G24" i="6"/>
  <c r="G23" i="6"/>
  <c r="G22" i="6"/>
  <c r="G21" i="6"/>
  <c r="G20" i="6"/>
  <c r="G19" i="6"/>
  <c r="G18" i="6"/>
  <c r="G16" i="6"/>
  <c r="G15" i="6"/>
  <c r="G14" i="6"/>
  <c r="G13" i="6"/>
  <c r="G12" i="6"/>
  <c r="G11" i="6"/>
  <c r="G10" i="6"/>
  <c r="G9" i="6"/>
  <c r="G8" i="6"/>
  <c r="D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G17" i="6"/>
  <c r="AZ1" i="7"/>
  <c r="BC1" i="7" s="1"/>
  <c r="BF1" i="7" s="1"/>
  <c r="BI1" i="7" s="1"/>
  <c r="BL1" i="7" s="1"/>
  <c r="BO1" i="7" s="1"/>
  <c r="BR1" i="7" s="1"/>
  <c r="BU1" i="7" s="1"/>
  <c r="BX1" i="7" s="1"/>
  <c r="CA1" i="7" s="1"/>
  <c r="C14" i="9" l="1"/>
  <c r="C18" i="9"/>
  <c r="C20" i="9"/>
  <c r="C22" i="9"/>
  <c r="C24" i="9"/>
  <c r="C16" i="9"/>
  <c r="C23" i="9"/>
  <c r="C19" i="9"/>
  <c r="C21" i="9"/>
  <c r="C15" i="9"/>
  <c r="C17" i="9"/>
  <c r="C13" i="9"/>
  <c r="C9" i="9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12" i="9"/>
  <c r="C11" i="9"/>
  <c r="C10" i="9"/>
  <c r="BA74" i="7"/>
  <c r="BD74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74" i="7"/>
  <c r="O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R4" i="7" l="1"/>
  <c r="G4" i="7"/>
  <c r="F36" i="8"/>
  <c r="Q74" i="7"/>
  <c r="F31" i="8"/>
  <c r="W74" i="7"/>
  <c r="T74" i="7"/>
  <c r="F37" i="8"/>
  <c r="F35" i="8"/>
  <c r="U4" i="7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T12" i="6"/>
  <c r="W12" i="6" s="1"/>
  <c r="T15" i="6"/>
  <c r="W15" i="6" s="1"/>
  <c r="T9" i="6"/>
  <c r="W9" i="6" s="1"/>
  <c r="W14" i="6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4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4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36" i="8"/>
  <c r="P35" i="8"/>
  <c r="P33" i="8"/>
  <c r="P24" i="8"/>
  <c r="P27" i="8" s="1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R24" i="8" s="1"/>
  <c r="Q35" i="8"/>
  <c r="Q36" i="8"/>
  <c r="Q22" i="8"/>
  <c r="Q31" i="8"/>
  <c r="Q37" i="8"/>
  <c r="Q33" i="8"/>
  <c r="P32" i="8"/>
  <c r="I32" i="8" l="1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27" i="8"/>
  <c r="R28" i="8" s="1"/>
  <c r="R32" i="8"/>
  <c r="Q27" i="8" l="1"/>
  <c r="Q28" i="8" s="1"/>
  <c r="Q25" i="8"/>
  <c r="Q29" i="8" s="1"/>
  <c r="Q32" i="8"/>
  <c r="BH74" i="7"/>
  <c r="BK74" i="7" l="1"/>
  <c r="BN74" i="7" l="1"/>
  <c r="BQ74" i="7" l="1"/>
  <c r="BT74" i="7" l="1"/>
  <c r="BW74" i="7" l="1"/>
  <c r="BZ74" i="7" l="1"/>
  <c r="CC7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<sst xmlns="http://schemas.openxmlformats.org/spreadsheetml/2006/main" count="440" uniqueCount="198">
  <si>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</si>
  <si>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</si>
  <si>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</si>
  <si>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</si>
  <si>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</si>
  <si>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</si>
  <si>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</si>
  <si>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</si>
  <si>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</si>
  <si>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</si>
  <si>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</si>
  <si>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</si>
  <si>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</si>
  <si>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</si>
  <si>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</si>
  <si>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</si>
  <si>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</si>
  <si>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</si>
  <si>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</si>
  <si>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</si>
  <si>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</si>
  <si>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</si>
  <si>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</si>
  <si>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</si>
  <si>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</si>
  <si>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</si>
  <si>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</si>
  <si>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</si>
  <si>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</si>
  <si>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</si>
  <si>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</si>
  <si>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</si>
  <si>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</si>
  <si>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</si>
  <si>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</si>
  <si>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</si>
  <si>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</si>
  <si>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</si>
  <si>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</si>
  <si>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</si>
  <si>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</si>
  <si>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</si>
  <si>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</si>
  <si>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</si>
  <si>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</si>
  <si>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</si>
  <si>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</si>
  <si>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</si>
  <si>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</si>
  <si>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</si>
  <si>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</si>
  <si>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</si>
  <si>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</si>
  <si>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</si>
  <si>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</si>
  <si>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</si>
  <si>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</si>
  <si>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</si>
  <si>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</si>
  <si>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</si>
  <si>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</si>
  <si>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</si>
  <si>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</si>
  <si>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</si>
  <si>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</si>
  <si>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</si>
  <si>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</si>
  <si>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</si>
  <si>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</si>
  <si>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</si>
  <si>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</si>
  <si>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</si>
  <si>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</si>
  <si>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</si>
  <si>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</si>
  <si>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</si>
  <si>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</si>
  <si>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</si>
  <si>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</si>
  <si>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</si>
  <si>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</si>
  <si>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</si>
  <si>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</si>
  <si>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</si>
  <si>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</si>
  <si>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</si>
  <si>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</si>
  <si>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</si>
  <si>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</si>
  <si>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</si>
  <si>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</si>
  <si>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</si>
  <si>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</si>
  <si>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</si>
  <si>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</si>
  <si>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</si>
  <si>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</si>
  <si>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</si>
  <si>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</si>
  <si>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</si>
  <si>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</si>
  <si>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</si>
  <si>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</si>
  <si>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</si>
  <si>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</si>
  <si>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</si>
  <si>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</si>
  <si>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</si>
  <si>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</si>
  <si>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</si>
  <si>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</si>
  <si>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</si>
  <si>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</si>
  <si>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</si>
  <si>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</si>
  <si>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</si>
  <si>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</si>
  <si>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</si>
  <si>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José</t>
  </si>
  <si>
    <t>Guilherme Fay</t>
  </si>
  <si>
    <t>Guilherme Calixto</t>
  </si>
  <si>
    <t>Rafael</t>
  </si>
  <si>
    <t>Renan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</si>
  <si>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</si>
  <si>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</si>
  <si>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</si>
  <si>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</si>
  <si>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</si>
  <si>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</si>
  <si>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</si>
  <si>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</si>
  <si>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ID</t>
  </si>
  <si>
    <t>Nome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</si>
  <si>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</si>
  <si>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</si>
  <si>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</si>
  <si>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</si>
  <si>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>cada nó deve ser de criar novos filhos, formando uma hierarquia</t>
  </si>
  <si>
    <t>criar ultimo nível que será de esforço</t>
  </si>
  <si>
    <t xml:space="preserve">Alterar o conteúdo do campo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</si>
  <si>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</si>
  <si>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</si>
  <si>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</si>
  <si>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</si>
  <si>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</si>
  <si>
    <t>Filipe Barbosa</t>
  </si>
  <si>
    <t>Henrique dos Santos</t>
  </si>
  <si>
    <t>José Guimarães</t>
  </si>
  <si>
    <t>Rafael Costa</t>
  </si>
  <si>
    <t>Renan Oliveira</t>
  </si>
  <si>
    <t>Vinícius Vieira</t>
  </si>
  <si>
    <t>Atividade</t>
  </si>
  <si>
    <t>1.1</t>
  </si>
  <si>
    <t>Elaborar critérios de aceitação</t>
  </si>
  <si>
    <t>Elaborar plano de testes</t>
  </si>
  <si>
    <t>Elaborar relatório de testes</t>
  </si>
  <si>
    <t>Criar branch para paralelizar implementação e testes</t>
  </si>
  <si>
    <t>Implementar funcionalidade para adicionar nó 0 com nome do projeto</t>
  </si>
  <si>
    <t>1.2</t>
  </si>
  <si>
    <t>1.3</t>
  </si>
  <si>
    <t>1.4</t>
  </si>
  <si>
    <t>1.5</t>
  </si>
  <si>
    <t>1</t>
  </si>
  <si>
    <t xml:space="preserve">Product Backlog </t>
  </si>
  <si>
    <t>Elaborar product backlog</t>
  </si>
  <si>
    <t>Elaborar Sprint Backlog</t>
  </si>
  <si>
    <t>1.6</t>
  </si>
  <si>
    <t>1.7</t>
  </si>
  <si>
    <t>1.8</t>
  </si>
  <si>
    <t>Gerar gráfico Burndown</t>
  </si>
  <si>
    <t>Realizar estimativa de produtividade da equipe - planning poker</t>
  </si>
  <si>
    <t>Comparar gráfico burndown com valor agregado</t>
  </si>
  <si>
    <t>1.9</t>
  </si>
  <si>
    <t>1.10</t>
  </si>
  <si>
    <t>2</t>
  </si>
  <si>
    <t>2.1</t>
  </si>
  <si>
    <t>Filipe</t>
  </si>
  <si>
    <t>Implementar funcionalidade para criar os filhos do nó 0</t>
  </si>
  <si>
    <t>2.2</t>
  </si>
  <si>
    <t>2.3</t>
  </si>
  <si>
    <t>2.4</t>
  </si>
  <si>
    <t>3</t>
  </si>
  <si>
    <t>3.1</t>
  </si>
  <si>
    <t>3.2</t>
  </si>
  <si>
    <t>3.3</t>
  </si>
  <si>
    <t>Implementar interface para visualização da EAP</t>
  </si>
  <si>
    <t>3.4</t>
  </si>
  <si>
    <t>2.5</t>
  </si>
  <si>
    <t>3.5</t>
  </si>
  <si>
    <t>Criar operações CRUD para manipulação de informaões EAP</t>
  </si>
  <si>
    <t>Banco de Dados</t>
  </si>
  <si>
    <t>Criar nova base de dados para informações da EAP</t>
  </si>
  <si>
    <t>2.6</t>
  </si>
  <si>
    <t>2.7</t>
  </si>
  <si>
    <t>Definir Layout da EAP</t>
  </si>
  <si>
    <t>Elaborar Protótipo de interface da EAP</t>
  </si>
  <si>
    <t>3.6</t>
  </si>
  <si>
    <t>3.7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</si>
</sst>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7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1" borderId="0" xfId="0" applyFill="1"/>
    <xf numFmtId="0" fontId="46" fillId="0" borderId="63" xfId="0" applyFont="1" applyBorder="1" applyAlignment="1">
      <alignment vertical="center" wrapText="1"/>
    </xf>
    <xf numFmtId="0" fontId="46" fillId="0" borderId="64" xfId="0" applyFont="1" applyBorder="1" applyAlignment="1">
      <alignment vertical="center" wrapText="1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</cellStyles>
  <dxfs count="97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64</c:v>
                </c:pt>
                <c:pt idx="1">
                  <c:v>64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974848"/>
        <c:axId val="70614336"/>
      </c:areaChart>
      <c:catAx>
        <c:axId val="120974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7061433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06143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20974848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187</c:v>
                </c:pt>
                <c:pt idx="1">
                  <c:v>174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74784"/>
        <c:axId val="121242752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187</c:v>
                </c:pt>
                <c:pt idx="1">
                  <c:v>174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374784"/>
        <c:axId val="121242752"/>
      </c:lineChart>
      <c:catAx>
        <c:axId val="11237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2124275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212427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11237478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431488"/>
        <c:axId val="121245632"/>
      </c:barChart>
      <c:catAx>
        <c:axId val="122431488"/>
        <c:scaling>
          <c:orientation val="minMax"/>
        </c:scaling>
        <c:delete val="0"/>
        <c:axPos val="b"/>
        <c:majorTickMark val="out"/>
        <c:minorTickMark val="none"/>
        <c:tickLblPos val="nextTo"/>
        <c:crossAx val="121245632"/>
        <c:crosses val="autoZero"/>
        <c:auto val="1"/>
        <c:lblAlgn val="ctr"/>
        <c:lblOffset val="100"/>
        <c:noMultiLvlLbl val="0"/>
      </c:catAx>
      <c:valAx>
        <c:axId val="1212456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24314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invertIfNegative val="0"/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invertIfNegative val="0"/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invertIfNegative val="0"/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invertIfNegative val="0"/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433024"/>
        <c:axId val="121247936"/>
      </c:barChart>
      <c:catAx>
        <c:axId val="122433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21247936"/>
        <c:crosses val="autoZero"/>
        <c:auto val="1"/>
        <c:lblAlgn val="ctr"/>
        <c:lblOffset val="100"/>
        <c:noMultiLvlLbl val="0"/>
      </c:catAx>
      <c:valAx>
        <c:axId val="1212479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24330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622464"/>
        <c:axId val="122536512"/>
      </c:barChart>
      <c:catAx>
        <c:axId val="122622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22536512"/>
        <c:crosses val="autoZero"/>
        <c:auto val="1"/>
        <c:lblAlgn val="ctr"/>
        <c:lblOffset val="100"/>
        <c:noMultiLvlLbl val="0"/>
      </c:catAx>
      <c:valAx>
        <c:axId val="1225365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2622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B15" sqref="B15"/>
    </sheetView>
  </sheetViews>
  <sheetFormatPr defaultRowHeight="12.75" outlineLevelCol="1" x14ac:dyDescent="0.2"/>
  <cols>
    <col min="1" max="1" width="12.140625" style="6" customWidth="1"/>
    <col min="2" max="2" width="21.7109375" style="6" customWidth="1"/>
    <col min="3" max="3" width="12.140625" style="6" customWidth="1"/>
    <col min="4" max="4" width="6" style="6" customWidth="1"/>
    <col min="5" max="5" width="5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192">
        <f>SprintStart</f>
        <v>40868</v>
      </c>
      <c r="K1" s="192"/>
      <c r="L1" s="192"/>
      <c r="M1" s="192">
        <f>IF(AND(SkipWeekends, WEEKDAY(J1)=6),J1+3, J1+1)</f>
        <v>40869</v>
      </c>
      <c r="N1" s="192"/>
      <c r="O1" s="192"/>
      <c r="P1" s="192">
        <f>IF(AND(SkipWeekends, WEEKDAY(M1)=6),M1+3, M1+1)</f>
        <v>40870</v>
      </c>
      <c r="Q1" s="192"/>
      <c r="R1" s="192"/>
      <c r="S1" s="192">
        <f>IF(AND(SkipWeekends, WEEKDAY(P1)=6),P1+3, P1+1)</f>
        <v>40871</v>
      </c>
      <c r="T1" s="192"/>
      <c r="U1" s="192"/>
      <c r="V1" s="192">
        <f>IF(AND(SkipWeekends, WEEKDAY(S1)=6),S1+3, S1+1)</f>
        <v>40872</v>
      </c>
      <c r="W1" s="192"/>
      <c r="X1" s="192"/>
      <c r="Y1" s="192">
        <f>IF(AND(SkipWeekends, WEEKDAY(V1)=6),V1+3, V1+1)</f>
        <v>40873</v>
      </c>
      <c r="Z1" s="192"/>
      <c r="AA1" s="192"/>
      <c r="AB1" s="192">
        <f>IF(AND(SkipWeekends, WEEKDAY(Y1)=6),Y1+3, Y1+1)</f>
        <v>40874</v>
      </c>
      <c r="AC1" s="192"/>
      <c r="AD1" s="192"/>
      <c r="AE1" s="192">
        <f>IF(AND(SkipWeekends, WEEKDAY(AB1)=6),AB1+3, AB1+1)</f>
        <v>40875</v>
      </c>
      <c r="AF1" s="192"/>
      <c r="AG1" s="192"/>
      <c r="AH1" s="192">
        <f>IF(AND(SkipWeekends, WEEKDAY(AE1)=6),AE1+3, AE1+1)</f>
        <v>40876</v>
      </c>
      <c r="AI1" s="192"/>
      <c r="AJ1" s="192"/>
      <c r="AK1" s="192">
        <f>IF(AND(SkipWeekends, WEEKDAY(AH1)=6),AH1+3, AH1+1)</f>
        <v>40877</v>
      </c>
      <c r="AL1" s="192"/>
      <c r="AM1" s="192"/>
      <c r="AN1" s="192">
        <f>IF(AND(SkipWeekends, WEEKDAY(AK1)=6),AK1+3, AK1+1)</f>
        <v>40878</v>
      </c>
      <c r="AO1" s="192"/>
      <c r="AP1" s="192"/>
      <c r="AQ1" s="192">
        <f>IF(AND(SkipWeekends, WEEKDAY(AN1)=6),AN1+3, AN1+1)</f>
        <v>40879</v>
      </c>
      <c r="AR1" s="192"/>
      <c r="AS1" s="192"/>
      <c r="AT1" s="192">
        <f>IF(AND(SkipWeekends, WEEKDAY(AQ1)=6),AQ1+3, AQ1+1)</f>
        <v>40880</v>
      </c>
      <c r="AU1" s="192"/>
      <c r="AV1" s="192"/>
      <c r="AW1" s="192">
        <f>IF(AND(SkipWeekends, WEEKDAY(AT1)=6),AT1+3, AT1+1)</f>
        <v>40881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105</v>
      </c>
      <c r="B4" s="16" t="s">
        <v>126</v>
      </c>
      <c r="C4" s="16" t="s">
        <v>162</v>
      </c>
      <c r="D4" s="17" t="s">
        <v>152</v>
      </c>
      <c r="E4" s="178" t="s">
        <v>153</v>
      </c>
      <c r="F4" s="18" t="s">
        <v>117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2</v>
      </c>
      <c r="J4" s="22">
        <v>2</v>
      </c>
      <c r="K4" s="22">
        <f t="shared" ref="K4" si="1">MAX(I4-J4, 0)</f>
        <v>0</v>
      </c>
      <c r="L4" s="23" t="str">
        <f>IF(SUMPRODUCT($J$71:K$71,$J4:K4)&lt;0.5, "Pending", IF(K4&lt;0.5, "Complete", "In Progress"))</f>
        <v>Complete</v>
      </c>
      <c r="M4" s="22">
        <v>0</v>
      </c>
      <c r="N4" s="22">
        <f t="shared" ref="N4" si="2">MAX(K4-M4,0)</f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" si="3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" si="4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2</v>
      </c>
    </row>
    <row r="5" spans="1:83" x14ac:dyDescent="0.2">
      <c r="A5" s="16"/>
      <c r="B5" s="16" t="s">
        <v>126</v>
      </c>
      <c r="C5" s="16" t="s">
        <v>162</v>
      </c>
      <c r="D5" s="17" t="s">
        <v>158</v>
      </c>
      <c r="E5" s="178" t="s">
        <v>154</v>
      </c>
      <c r="F5" s="18" t="s">
        <v>117</v>
      </c>
      <c r="G5" s="19" t="str">
        <f t="shared" ca="1" si="0"/>
        <v>Pending</v>
      </c>
      <c r="H5" s="20">
        <v>1</v>
      </c>
      <c r="I5" s="21">
        <v>5</v>
      </c>
      <c r="J5" s="22">
        <v>0</v>
      </c>
      <c r="K5" s="22">
        <f t="shared" ref="K5:K67" si="24">MAX(I5-J5, 0)</f>
        <v>5</v>
      </c>
      <c r="L5" s="23" t="str">
        <f>IF(SUMPRODUCT($J$71:K$71,$J5:K5)&lt;0.5, "Pending", IF(K5&lt;0.5, "Complete", "In Progress"))</f>
        <v>Pending</v>
      </c>
      <c r="M5" s="22">
        <v>0</v>
      </c>
      <c r="N5" s="22">
        <f t="shared" ref="N5:N67" si="25">MAX(K5-M5,0)</f>
        <v>5</v>
      </c>
      <c r="O5" s="23" t="str">
        <f>IF(SUMPRODUCT($J$71:N$71,$J5:N5)&lt;0.5, "Pending", IF(N5&lt;0.5, "Complete", "In Progress"))</f>
        <v>Pending</v>
      </c>
      <c r="P5" s="22">
        <v>0</v>
      </c>
      <c r="Q5" s="22">
        <f t="shared" ref="Q5:Q67" si="26">MAX(N5-P5,0)</f>
        <v>5</v>
      </c>
      <c r="R5" s="23" t="str">
        <f>IF(SUMPRODUCT($J$71:Q$71,$J5:Q5)&lt;0.5, "Pending", IF(Q5&lt;0.5, "Complete", "In Progress"))</f>
        <v>Pending</v>
      </c>
      <c r="S5" s="22">
        <v>0</v>
      </c>
      <c r="T5" s="22">
        <f t="shared" ref="T5:T67" si="27">MAX(Q5-S5,0)</f>
        <v>5</v>
      </c>
      <c r="U5" s="23" t="str">
        <f>IF(SUMPRODUCT($J$71:T$71,$J5:T5)&lt;0.5, "Pending", IF(T5&lt;0.5, "Complete", "In Progress"))</f>
        <v>Pending</v>
      </c>
      <c r="V5" s="22">
        <v>0</v>
      </c>
      <c r="W5" s="22">
        <f t="shared" ref="W5:W67" si="28">MAX(T5-V5,0)</f>
        <v>5</v>
      </c>
      <c r="X5" s="23" t="str">
        <f>IF(SUMPRODUCT($J$71:W$71,$J5:W5)&lt;0.5, "Pending", IF(W5&lt;0.5, "Complete", "In Progress"))</f>
        <v>Pending</v>
      </c>
      <c r="Y5" s="22">
        <v>0</v>
      </c>
      <c r="Z5" s="22">
        <f t="shared" ref="Z5:Z67" si="29">MAX(W5-Y5,0)</f>
        <v>5</v>
      </c>
      <c r="AA5" s="23" t="str">
        <f>IF(SUMPRODUCT($J$71:Z$71,$J5:Z5)&lt;0.5, "Pending", IF(Z5&lt;0.5, "Complete", "In Progress"))</f>
        <v>Pending</v>
      </c>
      <c r="AB5" s="22">
        <v>0</v>
      </c>
      <c r="AC5" s="22">
        <f t="shared" ref="AC5:AC67" si="30">MAX(Z5-AB5,0)</f>
        <v>5</v>
      </c>
      <c r="AD5" s="23" t="str">
        <f>IF(SUMPRODUCT($J$71:AC$71,$J5:AC5)&lt;0.5, "Pending", IF(AC5&lt;0.5, "Complete", "In Progress"))</f>
        <v>Pending</v>
      </c>
      <c r="AE5" s="22">
        <v>0</v>
      </c>
      <c r="AF5" s="22">
        <f t="shared" ref="AF5:AF67" si="31">MAX(AC5-AE5,0)</f>
        <v>5</v>
      </c>
      <c r="AG5" s="23" t="str">
        <f>IF(SUMPRODUCT($J$71:AF$71,$J5:AF5)&lt;0.5, "Pending", IF(AF5&lt;0.5, "Complete", "In Progress"))</f>
        <v>Pending</v>
      </c>
      <c r="AH5" s="22">
        <v>0</v>
      </c>
      <c r="AI5" s="22">
        <f t="shared" ref="AI5:AI67" si="32">MAX(AF5-AH5,0)</f>
        <v>5</v>
      </c>
      <c r="AJ5" s="23" t="str">
        <f>IF(SUMPRODUCT($J$71:AI$71,$J5:AI5)&lt;0.5, "Pending", IF(AI5&lt;0.5, "Complete", "In Progress"))</f>
        <v>Pending</v>
      </c>
      <c r="AK5" s="22">
        <v>0</v>
      </c>
      <c r="AL5" s="22">
        <f t="shared" ref="AL5:AL67" si="33">MAX(AI5-AK5,0)</f>
        <v>5</v>
      </c>
      <c r="AM5" s="23" t="str">
        <f>IF(SUMPRODUCT($J$71:AL$71,$J5:AL5)&lt;0.5, "Pending", IF(AL5&lt;0.5, "Complete", "In Progress"))</f>
        <v>Pending</v>
      </c>
      <c r="AN5" s="22">
        <v>0</v>
      </c>
      <c r="AO5" s="22">
        <f t="shared" ref="AO5:AO67" si="34">MAX(AL5-AN5,0)</f>
        <v>5</v>
      </c>
      <c r="AP5" s="23" t="str">
        <f>IF(SUMPRODUCT($J$71:AO$71,$J5:AO5)&lt;0.5, "Pending", IF(AO5&lt;0.5, "Complete", "In Progress"))</f>
        <v>Pending</v>
      </c>
      <c r="AQ5" s="22">
        <v>0</v>
      </c>
      <c r="AR5" s="22">
        <f t="shared" ref="AR5:AR67" si="35">MAX(AO5-AQ5,0)</f>
        <v>5</v>
      </c>
      <c r="AS5" s="23" t="str">
        <f>IF(SUMPRODUCT($J$71:AR$71,$J5:AR5)&lt;0.5, "Pending", IF(AR5&lt;0.5, "Complete", "In Progress"))</f>
        <v>Pending</v>
      </c>
      <c r="AT5" s="22">
        <v>0</v>
      </c>
      <c r="AU5" s="22">
        <f t="shared" ref="AU5:AU67" si="36">MAX(AR5-AT5,0)</f>
        <v>5</v>
      </c>
      <c r="AV5" s="23" t="str">
        <f>IF(SUMPRODUCT($J$71:AU$71,$J5:AU5)&lt;0.5, "Pending", IF(AU5&lt;0.5, "Complete", "In Progress"))</f>
        <v>Pending</v>
      </c>
      <c r="AW5" s="22">
        <v>0</v>
      </c>
      <c r="AX5" s="22">
        <f t="shared" ref="AX5:AX67" si="37">MAX(AU5-AW5,0)</f>
        <v>5</v>
      </c>
      <c r="AY5" s="23" t="str">
        <f>IF(SUMPRODUCT($J$71:AX$71,$J5:AX5)&lt;0.5,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ref="BD5:BD67" si="38">MAX(BA5-BC5,0)</f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ref="BG5:BG67" si="39">MAX(BD5-BF5,0)</f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ref="BJ5:BJ67" si="40">MAX(BG5-BI5,0)</f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ref="BM5:BM67" si="41">MAX(BJ5-BL5,0)</f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ref="BP5:BP67" si="42">MAX(BM5-BO5,0)</f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ref="BS5:BS67" si="43">MAX(BP5-BR5,0)</f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ref="BV5:BV67" si="44">MAX(BS5-BU5,0)</f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ref="BY5:BY67" si="45">MAX(BV5-BX5,0)</f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ref="CB5:CB67" si="46">MAX(BY5-CA5,0)</f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0</v>
      </c>
    </row>
    <row r="6" spans="1:83" x14ac:dyDescent="0.2">
      <c r="A6" s="16"/>
      <c r="B6" s="16" t="s">
        <v>126</v>
      </c>
      <c r="C6" s="16" t="s">
        <v>162</v>
      </c>
      <c r="D6" s="17" t="s">
        <v>159</v>
      </c>
      <c r="E6" s="178" t="s">
        <v>155</v>
      </c>
      <c r="F6" s="18" t="s">
        <v>117</v>
      </c>
      <c r="G6" s="19" t="str">
        <f t="shared" ca="1" si="0"/>
        <v>Pending</v>
      </c>
      <c r="H6" s="20">
        <v>1</v>
      </c>
      <c r="I6" s="21">
        <v>13</v>
      </c>
      <c r="J6" s="22">
        <v>0</v>
      </c>
      <c r="K6" s="22">
        <f t="shared" si="24"/>
        <v>13</v>
      </c>
      <c r="L6" s="23" t="str">
        <f>IF(SUMPRODUCT($J$71:K$71,$J6:K6)&lt;0.5, "Pending", IF(K6&lt;0.5, "Complete", "In Progress"))</f>
        <v>Pending</v>
      </c>
      <c r="M6" s="22">
        <v>0</v>
      </c>
      <c r="N6" s="22"/>
      <c r="O6" s="23" t="str">
        <f>IF(SUMPRODUCT($J$71:N$71,$J6:N6)&lt;0.5,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IF(SUMPRODUCT($J$71:Q$71,$J6:Q6)&lt;0.5,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IF(SUMPRODUCT($J$71:T$71,$J6:T6)&lt;0.5,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IF(SUMPRODUCT($J$71:W$71,$J6:W6)&lt;0.5,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IF(SUMPRODUCT($J$71:Z$71,$J6:Z6)&lt;0.5,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IF(SUMPRODUCT($J$71:AC$71,$J6:AC6)&lt;0.5,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IF(SUMPRODUCT($J$71:AF$71,$J6:AF6)&lt;0.5,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IF(SUMPRODUCT($J$71:AI$71,$J6:AI6)&lt;0.5,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IF(SUMPRODUCT($J$71:AL$71,$J6:AL6)&lt;0.5,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IF(SUMPRODUCT($J$71:AO$71,$J6:AO6)&lt;0.5,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IF(SUMPRODUCT($J$71:AR$71,$J6:AR6)&lt;0.5,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IF(SUMPRODUCT($J$71:AU$71,$J6:AU6)&lt;0.5,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IF(SUMPRODUCT($J$71:AX$71,$J6:AX6)&lt;0.5,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0</v>
      </c>
    </row>
    <row r="7" spans="1:83" x14ac:dyDescent="0.2">
      <c r="A7" s="16"/>
      <c r="B7" s="16" t="s">
        <v>129</v>
      </c>
      <c r="C7" s="16" t="s">
        <v>162</v>
      </c>
      <c r="D7" s="17" t="s">
        <v>160</v>
      </c>
      <c r="E7" s="178" t="s">
        <v>156</v>
      </c>
      <c r="F7" s="18" t="s">
        <v>117</v>
      </c>
      <c r="G7" s="19" t="str">
        <f t="shared" ca="1" si="0"/>
        <v>Pending</v>
      </c>
      <c r="H7" s="20">
        <v>1</v>
      </c>
      <c r="I7" s="21">
        <v>2</v>
      </c>
      <c r="J7" s="22">
        <v>0</v>
      </c>
      <c r="K7" s="22">
        <f t="shared" si="24"/>
        <v>2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si="25"/>
        <v>2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si="26"/>
        <v>2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si="27"/>
        <v>2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si="28"/>
        <v>2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si="29"/>
        <v>2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si="30"/>
        <v>2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si="31"/>
        <v>2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si="32"/>
        <v>2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si="33"/>
        <v>2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si="34"/>
        <v>2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si="35"/>
        <v>2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si="36"/>
        <v>2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si="37"/>
        <v>2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 x14ac:dyDescent="0.2">
      <c r="A8" s="16"/>
      <c r="B8" s="16" t="s">
        <v>127</v>
      </c>
      <c r="C8" s="16" t="s">
        <v>162</v>
      </c>
      <c r="D8" s="17" t="s">
        <v>161</v>
      </c>
      <c r="E8" s="178" t="s">
        <v>157</v>
      </c>
      <c r="F8" s="18" t="s">
        <v>117</v>
      </c>
      <c r="G8" s="19" t="str">
        <f t="shared" ca="1" si="0"/>
        <v>Pending</v>
      </c>
      <c r="H8" s="20">
        <v>1</v>
      </c>
      <c r="I8" s="21">
        <v>8</v>
      </c>
      <c r="J8" s="22">
        <v>0</v>
      </c>
      <c r="K8" s="22">
        <f t="shared" si="24"/>
        <v>8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si="25"/>
        <v>8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6"/>
        <v>8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27"/>
        <v>8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28"/>
        <v>8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29"/>
        <v>8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30"/>
        <v>8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31"/>
        <v>8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32"/>
        <v>8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33"/>
        <v>8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34"/>
        <v>8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35"/>
        <v>8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36"/>
        <v>8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37"/>
        <v>8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2">
      <c r="A9" s="16"/>
      <c r="B9" s="16" t="s">
        <v>128</v>
      </c>
      <c r="C9" s="16" t="s">
        <v>162</v>
      </c>
      <c r="D9" s="17" t="s">
        <v>166</v>
      </c>
      <c r="E9" s="178" t="s">
        <v>164</v>
      </c>
      <c r="F9" s="18" t="s">
        <v>117</v>
      </c>
      <c r="G9" s="19" t="str">
        <f t="shared" ca="1" si="0"/>
        <v>Pending</v>
      </c>
      <c r="H9" s="20">
        <v>1</v>
      </c>
      <c r="I9" s="21">
        <v>5</v>
      </c>
      <c r="J9" s="22">
        <v>0</v>
      </c>
      <c r="K9" s="22">
        <f t="shared" si="24"/>
        <v>5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25"/>
        <v>5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6"/>
        <v>5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27"/>
        <v>5</v>
      </c>
      <c r="U9" s="23" t="str">
        <f>IF(SUMPRODUCT($J$71:T$71,$J9:T9)&lt;0.5, "Pending", IF(T9&lt;0.5, "Complete", "In Progress"))</f>
        <v>Pending</v>
      </c>
      <c r="V9" s="22">
        <v>0</v>
      </c>
      <c r="W9" s="22">
        <f t="shared" si="28"/>
        <v>5</v>
      </c>
      <c r="X9" s="23" t="str">
        <f>IF(SUMPRODUCT($J$71:W$71,$J9:W9)&lt;0.5, "Pending", IF(W9&lt;0.5, "Complete", "In Progress"))</f>
        <v>Pending</v>
      </c>
      <c r="Y9" s="22">
        <v>0</v>
      </c>
      <c r="Z9" s="22">
        <f t="shared" si="29"/>
        <v>5</v>
      </c>
      <c r="AA9" s="23" t="str">
        <f>IF(SUMPRODUCT($J$71:Z$71,$J9:Z9)&lt;0.5, "Pending", IF(Z9&lt;0.5, "Complete", "In Progress"))</f>
        <v>Pending</v>
      </c>
      <c r="AB9" s="22">
        <v>0</v>
      </c>
      <c r="AC9" s="22">
        <f t="shared" si="30"/>
        <v>5</v>
      </c>
      <c r="AD9" s="23" t="str">
        <f>IF(SUMPRODUCT($J$71:AC$71,$J9:AC9)&lt;0.5, "Pending", IF(AC9&lt;0.5, "Complete", "In Progress"))</f>
        <v>Pending</v>
      </c>
      <c r="AE9" s="22">
        <v>0</v>
      </c>
      <c r="AF9" s="22">
        <f t="shared" si="31"/>
        <v>5</v>
      </c>
      <c r="AG9" s="23" t="str">
        <f>IF(SUMPRODUCT($J$71:AF$71,$J9:AF9)&lt;0.5, "Pending", IF(AF9&lt;0.5, "Complete", "In Progress"))</f>
        <v>Pending</v>
      </c>
      <c r="AH9" s="22">
        <v>0</v>
      </c>
      <c r="AI9" s="22">
        <f t="shared" si="32"/>
        <v>5</v>
      </c>
      <c r="AJ9" s="23" t="str">
        <f>IF(SUMPRODUCT($J$71:AI$71,$J9:AI9)&lt;0.5, "Pending", IF(AI9&lt;0.5, "Complete", "In Progress"))</f>
        <v>Pending</v>
      </c>
      <c r="AK9" s="22">
        <v>0</v>
      </c>
      <c r="AL9" s="22">
        <f t="shared" si="33"/>
        <v>5</v>
      </c>
      <c r="AM9" s="23" t="str">
        <f>IF(SUMPRODUCT($J$71:AL$71,$J9:AL9)&lt;0.5, "Pending", IF(AL9&lt;0.5, "Complete", "In Progress"))</f>
        <v>Pending</v>
      </c>
      <c r="AN9" s="22">
        <v>0</v>
      </c>
      <c r="AO9" s="22">
        <f t="shared" si="34"/>
        <v>5</v>
      </c>
      <c r="AP9" s="23" t="str">
        <f>IF(SUMPRODUCT($J$71:AO$71,$J9:AO9)&lt;0.5, "Pending", IF(AO9&lt;0.5, "Complete", "In Progress"))</f>
        <v>Pending</v>
      </c>
      <c r="AQ9" s="22">
        <v>0</v>
      </c>
      <c r="AR9" s="22">
        <f t="shared" si="35"/>
        <v>5</v>
      </c>
      <c r="AS9" s="23" t="str">
        <f>IF(SUMPRODUCT($J$71:AR$71,$J9:AR9)&lt;0.5, "Pending", IF(AR9&lt;0.5, "Complete", "In Progress"))</f>
        <v>Pending</v>
      </c>
      <c r="AT9" s="22">
        <v>0</v>
      </c>
      <c r="AU9" s="22">
        <f t="shared" si="36"/>
        <v>5</v>
      </c>
      <c r="AV9" s="23" t="str">
        <f>IF(SUMPRODUCT($J$71:AU$71,$J9:AU9)&lt;0.5, "Pending", IF(AU9&lt;0.5, "Complete", "In Progress"))</f>
        <v>Pending</v>
      </c>
      <c r="AW9" s="22">
        <v>0</v>
      </c>
      <c r="AX9" s="22">
        <f t="shared" si="37"/>
        <v>5</v>
      </c>
      <c r="AY9" s="23" t="str">
        <f>IF(SUMPRODUCT($J$71:AX$71,$J9:AX9)&lt;0.5,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0</v>
      </c>
    </row>
    <row r="10" spans="1:83" x14ac:dyDescent="0.2">
      <c r="A10" s="16"/>
      <c r="B10" s="16" t="s">
        <v>128</v>
      </c>
      <c r="C10" s="16" t="s">
        <v>162</v>
      </c>
      <c r="D10" s="17" t="s">
        <v>167</v>
      </c>
      <c r="E10" s="178" t="s">
        <v>165</v>
      </c>
      <c r="F10" s="18" t="s">
        <v>117</v>
      </c>
      <c r="G10" s="19" t="str">
        <f t="shared" ca="1" si="0"/>
        <v>Pending</v>
      </c>
      <c r="H10" s="20">
        <v>1</v>
      </c>
      <c r="I10" s="21">
        <v>8</v>
      </c>
      <c r="J10" s="22">
        <v>0</v>
      </c>
      <c r="K10" s="22">
        <f t="shared" si="24"/>
        <v>8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25"/>
        <v>8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6"/>
        <v>8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27"/>
        <v>8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28"/>
        <v>8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29"/>
        <v>8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30"/>
        <v>8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31"/>
        <v>8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32"/>
        <v>8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33"/>
        <v>8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34"/>
        <v>8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35"/>
        <v>8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36"/>
        <v>8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37"/>
        <v>8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2">
      <c r="A11" s="16"/>
      <c r="B11" s="16" t="s">
        <v>128</v>
      </c>
      <c r="C11" s="16" t="s">
        <v>162</v>
      </c>
      <c r="D11" s="17" t="s">
        <v>168</v>
      </c>
      <c r="E11" s="178" t="s">
        <v>170</v>
      </c>
      <c r="F11" s="18" t="s">
        <v>117</v>
      </c>
      <c r="G11" s="19" t="str">
        <f t="shared" ca="1" si="0"/>
        <v>Pending</v>
      </c>
      <c r="H11" s="20">
        <v>1</v>
      </c>
      <c r="I11" s="21">
        <v>13</v>
      </c>
      <c r="J11" s="22">
        <v>0</v>
      </c>
      <c r="K11" s="22">
        <f t="shared" si="24"/>
        <v>13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25"/>
        <v>13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6"/>
        <v>13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27"/>
        <v>13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28"/>
        <v>13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29"/>
        <v>13</v>
      </c>
      <c r="AA11" s="23" t="str">
        <f>IF(SUMPRODUCT($J$71:Z$71,$J11:Z11)&lt;0.5, "Pending", IF(Z11&lt;0.5, "Complete", "In Progress"))</f>
        <v>Pending</v>
      </c>
      <c r="AB11" s="22">
        <v>0</v>
      </c>
      <c r="AC11" s="22">
        <f t="shared" si="30"/>
        <v>13</v>
      </c>
      <c r="AD11" s="23" t="str">
        <f>IF(SUMPRODUCT($J$71:AC$71,$J11:AC11)&lt;0.5, "Pending", IF(AC11&lt;0.5, "Complete", "In Progress"))</f>
        <v>Pending</v>
      </c>
      <c r="AE11" s="22">
        <v>0</v>
      </c>
      <c r="AF11" s="22">
        <f t="shared" si="31"/>
        <v>13</v>
      </c>
      <c r="AG11" s="23" t="str">
        <f>IF(SUMPRODUCT($J$71:AF$71,$J11:AF11)&lt;0.5, "Pending", IF(AF11&lt;0.5, "Complete", "In Progress"))</f>
        <v>Pending</v>
      </c>
      <c r="AH11" s="22">
        <v>0</v>
      </c>
      <c r="AI11" s="22">
        <f t="shared" si="32"/>
        <v>13</v>
      </c>
      <c r="AJ11" s="23" t="str">
        <f>IF(SUMPRODUCT($J$71:AI$71,$J11:AI11)&lt;0.5, "Pending", IF(AI11&lt;0.5, "Complete", "In Progress"))</f>
        <v>Pending</v>
      </c>
      <c r="AK11" s="22">
        <v>0</v>
      </c>
      <c r="AL11" s="22">
        <f t="shared" si="33"/>
        <v>13</v>
      </c>
      <c r="AM11" s="23" t="str">
        <f>IF(SUMPRODUCT($J$71:AL$71,$J11:AL11)&lt;0.5, "Pending", IF(AL11&lt;0.5, "Complete", "In Progress"))</f>
        <v>Pending</v>
      </c>
      <c r="AN11" s="22">
        <v>0</v>
      </c>
      <c r="AO11" s="22">
        <f t="shared" si="34"/>
        <v>13</v>
      </c>
      <c r="AP11" s="23" t="str">
        <f>IF(SUMPRODUCT($J$71:AO$71,$J11:AO11)&lt;0.5, "Pending", IF(AO11&lt;0.5, "Complete", "In Progress"))</f>
        <v>Pending</v>
      </c>
      <c r="AQ11" s="22">
        <v>0</v>
      </c>
      <c r="AR11" s="22">
        <f t="shared" si="35"/>
        <v>13</v>
      </c>
      <c r="AS11" s="23" t="str">
        <f>IF(SUMPRODUCT($J$71:AR$71,$J11:AR11)&lt;0.5, "Pending", IF(AR11&lt;0.5, "Complete", "In Progress"))</f>
        <v>Pending</v>
      </c>
      <c r="AT11" s="22">
        <v>0</v>
      </c>
      <c r="AU11" s="22">
        <f t="shared" si="36"/>
        <v>13</v>
      </c>
      <c r="AV11" s="23" t="str">
        <f>IF(SUMPRODUCT($J$71:AU$71,$J11:AU11)&lt;0.5, "Pending", IF(AU11&lt;0.5, "Complete", "In Progress"))</f>
        <v>Pending</v>
      </c>
      <c r="AW11" s="22">
        <v>0</v>
      </c>
      <c r="AX11" s="22">
        <f t="shared" si="37"/>
        <v>13</v>
      </c>
      <c r="AY11" s="23" t="str">
        <f>IF(SUMPRODUCT($J$71:AX$71,$J11:AX11)&lt;0.5,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0</v>
      </c>
    </row>
    <row r="12" spans="1:83" x14ac:dyDescent="0.2">
      <c r="A12" s="16"/>
      <c r="B12" s="16" t="s">
        <v>128</v>
      </c>
      <c r="C12" s="16" t="s">
        <v>162</v>
      </c>
      <c r="D12" s="17" t="s">
        <v>172</v>
      </c>
      <c r="E12" s="178" t="s">
        <v>169</v>
      </c>
      <c r="F12" s="18" t="s">
        <v>117</v>
      </c>
      <c r="G12" s="19" t="str">
        <f t="shared" ca="1" si="0"/>
        <v>Pending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IF(SUMPRODUCT($J$71:Z$71,$J12:Z12)&lt;0.5,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IF(SUMPRODUCT($J$71:AC$71,$J12:AC12)&lt;0.5,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IF(SUMPRODUCT($J$71:AF$71,$J12:AF12)&lt;0.5,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IF(SUMPRODUCT($J$71:AI$71,$J12:AI12)&lt;0.5,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IF(SUMPRODUCT($J$71:AL$71,$J12:AL12)&lt;0.5,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IF(SUMPRODUCT($J$71:AO$71,$J12:AO12)&lt;0.5,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IF(SUMPRODUCT($J$71:AR$71,$J12:AR12)&lt;0.5,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IF(SUMPRODUCT($J$71:AU$71,$J12:AU12)&lt;0.5,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IF(SUMPRODUCT($J$71:AX$71,$J12:AX12)&lt;0.5,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0</v>
      </c>
    </row>
    <row r="13" spans="1:83" x14ac:dyDescent="0.2">
      <c r="A13" s="16"/>
      <c r="B13" s="16" t="s">
        <v>128</v>
      </c>
      <c r="C13" s="16" t="s">
        <v>162</v>
      </c>
      <c r="D13" s="17" t="s">
        <v>173</v>
      </c>
      <c r="E13" s="178" t="s">
        <v>171</v>
      </c>
      <c r="F13" s="18" t="s">
        <v>117</v>
      </c>
      <c r="G13" s="19" t="str">
        <f t="shared" ca="1" si="0"/>
        <v>Pending</v>
      </c>
      <c r="H13" s="20">
        <v>1</v>
      </c>
      <c r="I13" s="21">
        <v>0</v>
      </c>
      <c r="J13" s="22">
        <v>0</v>
      </c>
      <c r="K13" s="22">
        <f t="shared" ref="K13:K15" si="47">MAX(I13-J13, 0)</f>
        <v>0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ref="N13:N15" si="48">MAX(K13-M13,0)</f>
        <v>0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ref="Q13:Q15" si="49">MAX(N13-P13,0)</f>
        <v>0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ref="T13:T15" si="50">MAX(Q13-S13,0)</f>
        <v>0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ref="W13:W15" si="51">MAX(T13-V13,0)</f>
        <v>0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ref="Z13:Z15" si="52">MAX(W13-Y13,0)</f>
        <v>0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ref="AC13:AC15" si="53">MAX(Z13-AB13,0)</f>
        <v>0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ref="AF13:AF15" si="54">MAX(AC13-AE13,0)</f>
        <v>0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ref="AI13:AI15" si="55">MAX(AF13-AH13,0)</f>
        <v>0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ref="AL13:AL15" si="56">MAX(AI13-AK13,0)</f>
        <v>0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ref="AO13:AO15" si="57">MAX(AL13-AN13,0)</f>
        <v>0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ref="AR13:AR15" si="58">MAX(AO13-AQ13,0)</f>
        <v>0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ref="AU13:AU15" si="59">MAX(AR13-AT13,0)</f>
        <v>0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ref="AX13:AX15" si="60">MAX(AU13-AW13,0)</f>
        <v>0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ref="BD13:BD15" si="61">MAX(BA13-BC13,0)</f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ref="BG13:BG15" si="62">MAX(BD13-BF13,0)</f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ref="BJ13:BJ15" si="63">MAX(BG13-BI13,0)</f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ref="BM13:BM15" si="64">MAX(BJ13-BL13,0)</f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ref="BP13:BP15" si="65">MAX(BM13-BO13,0)</f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ref="BS13:BS15" si="66">MAX(BP13-BR13,0)</f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ref="BV13:BV15" si="67">MAX(BS13-BU13,0)</f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ref="BY13:BY15" si="68">MAX(BV13-BX13,0)</f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ref="CB13:CB15" si="69">MAX(BY13-CA13,0)</f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 x14ac:dyDescent="0.2">
      <c r="A14" s="16"/>
      <c r="B14" s="16" t="s">
        <v>190</v>
      </c>
      <c r="C14" s="16" t="s">
        <v>174</v>
      </c>
      <c r="D14" s="17" t="s">
        <v>175</v>
      </c>
      <c r="E14" s="178" t="s">
        <v>191</v>
      </c>
      <c r="F14" s="18" t="s">
        <v>117</v>
      </c>
      <c r="G14" s="19" t="str">
        <f t="shared" ca="1" si="0"/>
        <v>Pending</v>
      </c>
      <c r="H14" s="20">
        <v>1</v>
      </c>
      <c r="I14" s="21">
        <v>0</v>
      </c>
      <c r="J14" s="22">
        <v>0</v>
      </c>
      <c r="K14" s="22">
        <f t="shared" ref="K14" si="70">MAX(I14-J14, 0)</f>
        <v>0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ref="N14" si="71">MAX(K14-M14,0)</f>
        <v>0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ref="Q14" si="72">MAX(N14-P14,0)</f>
        <v>0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ref="T14" si="73">MAX(Q14-S14,0)</f>
        <v>0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ref="W14" si="74">MAX(T14-V14,0)</f>
        <v>0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ref="Z14" si="75">MAX(W14-Y14,0)</f>
        <v>0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ref="AC14" si="76">MAX(Z14-AB14,0)</f>
        <v>0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ref="AF14" si="77">MAX(AC14-AE14,0)</f>
        <v>0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ref="AI14" si="78">MAX(AF14-AH14,0)</f>
        <v>0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ref="AL14" si="79">MAX(AI14-AK14,0)</f>
        <v>0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ref="AO14" si="80">MAX(AL14-AN14,0)</f>
        <v>0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ref="AR14" si="81">MAX(AO14-AQ14,0)</f>
        <v>0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ref="AU14" si="82">MAX(AR14-AT14,0)</f>
        <v>0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ref="AX14" si="83">MAX(AU14-AW14,0)</f>
        <v>0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ref="BD14" si="84">MAX(BA14-BC14,0)</f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ref="BG14" si="85">MAX(BD14-BF14,0)</f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ref="BJ14" si="86">MAX(BG14-BI14,0)</f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ref="BM14" si="87">MAX(BJ14-BL14,0)</f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ref="BP14" si="88">MAX(BM14-BO14,0)</f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ref="BS14" si="89">MAX(BP14-BR14,0)</f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ref="BV14" si="90">MAX(BS14-BU14,0)</f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ref="BY14" si="91">MAX(BV14-BX14,0)</f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ref="CB14" si="92">MAX(BY14-CA14,0)</f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2">
      <c r="A15" s="16"/>
      <c r="B15" s="16" t="s">
        <v>190</v>
      </c>
      <c r="C15" s="16" t="s">
        <v>174</v>
      </c>
      <c r="D15" s="17" t="s">
        <v>178</v>
      </c>
      <c r="E15" s="178" t="s">
        <v>189</v>
      </c>
      <c r="F15" s="18" t="s">
        <v>117</v>
      </c>
      <c r="G15" s="19" t="str">
        <f t="shared" ca="1" si="0"/>
        <v>Pending</v>
      </c>
      <c r="H15" s="20">
        <v>1</v>
      </c>
      <c r="I15" s="21">
        <v>0</v>
      </c>
      <c r="J15" s="22">
        <v>0</v>
      </c>
      <c r="K15" s="22">
        <f t="shared" si="47"/>
        <v>0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8"/>
        <v>0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49"/>
        <v>0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50"/>
        <v>0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51"/>
        <v>0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2"/>
        <v>0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53"/>
        <v>0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54"/>
        <v>0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55"/>
        <v>0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56"/>
        <v>0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57"/>
        <v>0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58"/>
        <v>0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59"/>
        <v>0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60"/>
        <v>0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61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62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63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64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65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66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67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68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69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 x14ac:dyDescent="0.2">
      <c r="A16" s="16"/>
      <c r="B16" s="16" t="s">
        <v>126</v>
      </c>
      <c r="C16" s="16" t="s">
        <v>174</v>
      </c>
      <c r="D16" s="17" t="s">
        <v>179</v>
      </c>
      <c r="E16" s="178" t="s">
        <v>153</v>
      </c>
      <c r="F16" s="18" t="s">
        <v>117</v>
      </c>
      <c r="G16" s="19" t="str">
        <f t="shared" ca="1" si="0"/>
        <v>Pending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2">
      <c r="A17" s="16"/>
      <c r="B17" s="16" t="s">
        <v>126</v>
      </c>
      <c r="C17" s="16" t="s">
        <v>174</v>
      </c>
      <c r="D17" s="17" t="s">
        <v>180</v>
      </c>
      <c r="E17" s="178" t="s">
        <v>154</v>
      </c>
      <c r="F17" s="18" t="s">
        <v>117</v>
      </c>
      <c r="G17" s="19" t="str">
        <f t="shared" ca="1" si="0"/>
        <v>Pending</v>
      </c>
      <c r="H17" s="20">
        <v>1</v>
      </c>
      <c r="I17" s="21">
        <v>2</v>
      </c>
      <c r="J17" s="22">
        <v>0</v>
      </c>
      <c r="K17" s="22">
        <f t="shared" si="24"/>
        <v>2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25"/>
        <v>2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6"/>
        <v>2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27"/>
        <v>2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28"/>
        <v>2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29"/>
        <v>2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30"/>
        <v>2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31"/>
        <v>2</v>
      </c>
      <c r="AG17" s="23" t="str">
        <f>IF(SUMPRODUCT($J$71:AF$71,$J17:AF17)&lt;0.5, "Pending", IF(AF17&lt;0.5, "Complete", "In Progress"))</f>
        <v>Pending</v>
      </c>
      <c r="AH17" s="22">
        <v>0</v>
      </c>
      <c r="AI17" s="22">
        <f t="shared" si="32"/>
        <v>2</v>
      </c>
      <c r="AJ17" s="23" t="str">
        <f>IF(SUMPRODUCT($J$71:AI$71,$J17:AI17)&lt;0.5, "Pending", IF(AI17&lt;0.5, "Complete", "In Progress"))</f>
        <v>Pending</v>
      </c>
      <c r="AK17" s="22">
        <v>0</v>
      </c>
      <c r="AL17" s="22">
        <f t="shared" si="33"/>
        <v>2</v>
      </c>
      <c r="AM17" s="23" t="str">
        <f>IF(SUMPRODUCT($J$71:AL$71,$J17:AL17)&lt;0.5, "Pending", IF(AL17&lt;0.5, "Complete", "In Progress"))</f>
        <v>Pending</v>
      </c>
      <c r="AN17" s="22">
        <v>0</v>
      </c>
      <c r="AO17" s="22">
        <f t="shared" si="34"/>
        <v>2</v>
      </c>
      <c r="AP17" s="23" t="str">
        <f>IF(SUMPRODUCT($J$71:AO$71,$J17:AO17)&lt;0.5, "Pending", IF(AO17&lt;0.5, "Complete", "In Progress"))</f>
        <v>Pending</v>
      </c>
      <c r="AQ17" s="22">
        <v>0</v>
      </c>
      <c r="AR17" s="22">
        <f t="shared" si="35"/>
        <v>2</v>
      </c>
      <c r="AS17" s="23" t="str">
        <f>IF(SUMPRODUCT($J$71:AR$71,$J17:AR17)&lt;0.5, "Pending", IF(AR17&lt;0.5, "Complete", "In Progress"))</f>
        <v>Pending</v>
      </c>
      <c r="AT17" s="22">
        <v>0</v>
      </c>
      <c r="AU17" s="22">
        <f t="shared" si="36"/>
        <v>2</v>
      </c>
      <c r="AV17" s="23" t="str">
        <f>IF(SUMPRODUCT($J$71:AU$71,$J17:AU17)&lt;0.5, "Pending", IF(AU17&lt;0.5, "Complete", "In Progress"))</f>
        <v>Pending</v>
      </c>
      <c r="AW17" s="22">
        <v>0</v>
      </c>
      <c r="AX17" s="22">
        <f t="shared" si="37"/>
        <v>2</v>
      </c>
      <c r="AY17" s="23" t="str">
        <f>IF(SUMPRODUCT($J$71:AX$71,$J17:AX17)&lt;0.5,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0</v>
      </c>
    </row>
    <row r="18" spans="1:83" x14ac:dyDescent="0.2">
      <c r="A18" s="16"/>
      <c r="B18" s="16" t="s">
        <v>126</v>
      </c>
      <c r="C18" s="16" t="s">
        <v>174</v>
      </c>
      <c r="D18" s="17" t="s">
        <v>187</v>
      </c>
      <c r="E18" s="178" t="s">
        <v>155</v>
      </c>
      <c r="F18" s="18" t="s">
        <v>117</v>
      </c>
      <c r="G18" s="19" t="str">
        <f t="shared" ca="1" si="0"/>
        <v>Pending</v>
      </c>
      <c r="H18" s="20">
        <v>1</v>
      </c>
      <c r="I18" s="21">
        <v>5</v>
      </c>
      <c r="J18" s="22">
        <v>0</v>
      </c>
      <c r="K18" s="22">
        <f t="shared" si="24"/>
        <v>5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25"/>
        <v>5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6"/>
        <v>5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27"/>
        <v>5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28"/>
        <v>5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29"/>
        <v>5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30"/>
        <v>5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31"/>
        <v>5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32"/>
        <v>5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33"/>
        <v>5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34"/>
        <v>5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35"/>
        <v>5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36"/>
        <v>5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37"/>
        <v>5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">
      <c r="A19" s="16"/>
      <c r="B19" s="16" t="s">
        <v>129</v>
      </c>
      <c r="C19" s="16" t="s">
        <v>174</v>
      </c>
      <c r="D19" s="17" t="s">
        <v>192</v>
      </c>
      <c r="E19" s="178" t="s">
        <v>156</v>
      </c>
      <c r="F19" s="18" t="s">
        <v>117</v>
      </c>
      <c r="G19" s="19" t="str">
        <f t="shared" ca="1" si="0"/>
        <v>Pending</v>
      </c>
      <c r="H19" s="20">
        <v>1</v>
      </c>
      <c r="I19" s="21">
        <v>13</v>
      </c>
      <c r="J19" s="22">
        <v>0</v>
      </c>
      <c r="K19" s="22">
        <f t="shared" ref="K19" si="93">MAX(I19-J19, 0)</f>
        <v>13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ref="N19" si="94">MAX(K19-M19,0)</f>
        <v>13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ref="Q19" si="95">MAX(N19-P19,0)</f>
        <v>13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ref="T19" si="96">MAX(Q19-S19,0)</f>
        <v>13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ref="W19" si="97">MAX(T19-V19,0)</f>
        <v>13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ref="Z19" si="98">MAX(W19-Y19,0)</f>
        <v>13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ref="AC19" si="99">MAX(Z19-AB19,0)</f>
        <v>13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ref="AF19" si="100">MAX(AC19-AE19,0)</f>
        <v>13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ref="AI19" si="101">MAX(AF19-AH19,0)</f>
        <v>13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ref="AL19" si="102">MAX(AI19-AK19,0)</f>
        <v>13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ref="AO19" si="103">MAX(AL19-AN19,0)</f>
        <v>13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ref="AR19" si="104">MAX(AO19-AQ19,0)</f>
        <v>13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ref="AU19" si="105">MAX(AR19-AT19,0)</f>
        <v>13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ref="AX19" si="106">MAX(AU19-AW19,0)</f>
        <v>13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ref="BD19" si="107">MAX(BA19-BC19,0)</f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ref="BG19" si="108">MAX(BD19-BF19,0)</f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ref="BJ19" si="109">MAX(BG19-BI19,0)</f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ref="BM19" si="110">MAX(BJ19-BL19,0)</f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ref="BP19" si="111">MAX(BM19-BO19,0)</f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ref="BS19" si="112">MAX(BP19-BR19,0)</f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ref="BV19" si="113">MAX(BS19-BU19,0)</f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ref="BY19" si="114">MAX(BV19-BX19,0)</f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ref="CB19" si="115">MAX(BY19-CA19,0)</f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2">
      <c r="A20" s="16"/>
      <c r="B20" s="16" t="s">
        <v>127</v>
      </c>
      <c r="C20" s="16" t="s">
        <v>174</v>
      </c>
      <c r="D20" s="17" t="s">
        <v>193</v>
      </c>
      <c r="E20" s="178" t="s">
        <v>177</v>
      </c>
      <c r="F20" s="18" t="s">
        <v>117</v>
      </c>
      <c r="G20" s="19" t="str">
        <f t="shared" ca="1" si="0"/>
        <v>Pending</v>
      </c>
      <c r="H20" s="20">
        <v>1</v>
      </c>
      <c r="I20" s="21">
        <v>2</v>
      </c>
      <c r="J20" s="22">
        <v>0</v>
      </c>
      <c r="K20" s="22">
        <f t="shared" si="24"/>
        <v>2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25"/>
        <v>2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6"/>
        <v>2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27"/>
        <v>2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28"/>
        <v>2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29"/>
        <v>2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30"/>
        <v>2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31"/>
        <v>2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32"/>
        <v>2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33"/>
        <v>2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34"/>
        <v>2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35"/>
        <v>2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36"/>
        <v>2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37"/>
        <v>2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">
      <c r="A21" s="16"/>
      <c r="B21" s="16" t="s">
        <v>126</v>
      </c>
      <c r="C21" s="16" t="s">
        <v>174</v>
      </c>
      <c r="D21" s="17" t="s">
        <v>182</v>
      </c>
      <c r="E21" s="178" t="s">
        <v>153</v>
      </c>
      <c r="F21" s="18" t="s">
        <v>117</v>
      </c>
      <c r="G21" s="19" t="str">
        <f t="shared" ca="1" si="0"/>
        <v>Pending</v>
      </c>
      <c r="H21" s="20">
        <v>1</v>
      </c>
      <c r="I21" s="21">
        <v>20</v>
      </c>
      <c r="J21" s="22">
        <v>0</v>
      </c>
      <c r="K21" s="22">
        <f t="shared" ref="K21:K22" si="116">MAX(I21-J21, 0)</f>
        <v>20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ref="N21:N22" si="117">MAX(K21-M21,0)</f>
        <v>20</v>
      </c>
      <c r="O21" s="23" t="str">
        <f>IF(SUMPRODUCT($J$71:N$71,$J21:N21)&lt;0.5, "Pending", IF(N21&lt;0.5, "Complete", "In Progress"))</f>
        <v>Pending</v>
      </c>
      <c r="P21" s="22">
        <v>0</v>
      </c>
      <c r="Q21" s="22">
        <f t="shared" ref="Q21:Q22" si="118">MAX(N21-P21,0)</f>
        <v>20</v>
      </c>
      <c r="R21" s="23" t="str">
        <f>IF(SUMPRODUCT($J$71:Q$71,$J21:Q21)&lt;0.5, "Pending", IF(Q21&lt;0.5, "Complete", "In Progress"))</f>
        <v>Pending</v>
      </c>
      <c r="S21" s="22">
        <v>0</v>
      </c>
      <c r="T21" s="22">
        <f t="shared" ref="T21:T22" si="119">MAX(Q21-S21,0)</f>
        <v>20</v>
      </c>
      <c r="U21" s="23" t="str">
        <f>IF(SUMPRODUCT($J$71:T$71,$J21:T21)&lt;0.5, "Pending", IF(T21&lt;0.5, "Complete", "In Progress"))</f>
        <v>Pending</v>
      </c>
      <c r="V21" s="22">
        <v>0</v>
      </c>
      <c r="W21" s="22">
        <f t="shared" ref="W21:W22" si="120">MAX(T21-V21,0)</f>
        <v>20</v>
      </c>
      <c r="X21" s="23" t="str">
        <f>IF(SUMPRODUCT($J$71:W$71,$J21:W21)&lt;0.5, "Pending", IF(W21&lt;0.5, "Complete", "In Progress"))</f>
        <v>Pending</v>
      </c>
      <c r="Y21" s="22">
        <v>0</v>
      </c>
      <c r="Z21" s="22">
        <f t="shared" ref="Z21:Z22" si="121">MAX(W21-Y21,0)</f>
        <v>20</v>
      </c>
      <c r="AA21" s="23" t="str">
        <f>IF(SUMPRODUCT($J$71:Z$71,$J21:Z21)&lt;0.5, "Pending", IF(Z21&lt;0.5, "Complete", "In Progress"))</f>
        <v>Pending</v>
      </c>
      <c r="AB21" s="22">
        <v>0</v>
      </c>
      <c r="AC21" s="22">
        <f t="shared" ref="AC21:AC22" si="122">MAX(Z21-AB21,0)</f>
        <v>20</v>
      </c>
      <c r="AD21" s="23" t="str">
        <f>IF(SUMPRODUCT($J$71:AC$71,$J21:AC21)&lt;0.5, "Pending", IF(AC21&lt;0.5, "Complete", "In Progress"))</f>
        <v>Pending</v>
      </c>
      <c r="AE21" s="22">
        <v>0</v>
      </c>
      <c r="AF21" s="22">
        <f t="shared" ref="AF21:AF22" si="123">MAX(AC21-AE21,0)</f>
        <v>20</v>
      </c>
      <c r="AG21" s="23" t="str">
        <f>IF(SUMPRODUCT($J$71:AF$71,$J21:AF21)&lt;0.5, "Pending", IF(AF21&lt;0.5, "Complete", "In Progress"))</f>
        <v>Pending</v>
      </c>
      <c r="AH21" s="22">
        <v>0</v>
      </c>
      <c r="AI21" s="22">
        <f t="shared" ref="AI21:AI22" si="124">MAX(AF21-AH21,0)</f>
        <v>20</v>
      </c>
      <c r="AJ21" s="23" t="str">
        <f>IF(SUMPRODUCT($J$71:AI$71,$J21:AI21)&lt;0.5, "Pending", IF(AI21&lt;0.5, "Complete", "In Progress"))</f>
        <v>Pending</v>
      </c>
      <c r="AK21" s="22">
        <v>0</v>
      </c>
      <c r="AL21" s="22">
        <f t="shared" ref="AL21:AL22" si="125">MAX(AI21-AK21,0)</f>
        <v>20</v>
      </c>
      <c r="AM21" s="23" t="str">
        <f>IF(SUMPRODUCT($J$71:AL$71,$J21:AL21)&lt;0.5, "Pending", IF(AL21&lt;0.5, "Complete", "In Progress"))</f>
        <v>Pending</v>
      </c>
      <c r="AN21" s="22">
        <v>0</v>
      </c>
      <c r="AO21" s="22">
        <f t="shared" ref="AO21:AO22" si="126">MAX(AL21-AN21,0)</f>
        <v>20</v>
      </c>
      <c r="AP21" s="23" t="str">
        <f>IF(SUMPRODUCT($J$71:AO$71,$J21:AO21)&lt;0.5, "Pending", IF(AO21&lt;0.5, "Complete", "In Progress"))</f>
        <v>Pending</v>
      </c>
      <c r="AQ21" s="22">
        <v>0</v>
      </c>
      <c r="AR21" s="22">
        <f t="shared" ref="AR21:AR22" si="127">MAX(AO21-AQ21,0)</f>
        <v>20</v>
      </c>
      <c r="AS21" s="23" t="str">
        <f>IF(SUMPRODUCT($J$71:AR$71,$J21:AR21)&lt;0.5, "Pending", IF(AR21&lt;0.5, "Complete", "In Progress"))</f>
        <v>Pending</v>
      </c>
      <c r="AT21" s="22">
        <v>0</v>
      </c>
      <c r="AU21" s="22">
        <f t="shared" ref="AU21:AU22" si="128">MAX(AR21-AT21,0)</f>
        <v>20</v>
      </c>
      <c r="AV21" s="23" t="str">
        <f>IF(SUMPRODUCT($J$71:AU$71,$J21:AU21)&lt;0.5, "Pending", IF(AU21&lt;0.5, "Complete", "In Progress"))</f>
        <v>Pending</v>
      </c>
      <c r="AW21" s="22">
        <v>0</v>
      </c>
      <c r="AX21" s="22">
        <f t="shared" ref="AX21:AX22" si="129">MAX(AU21-AW21,0)</f>
        <v>20</v>
      </c>
      <c r="AY21" s="23" t="str">
        <f>IF(SUMPRODUCT($J$71:AX$71,$J21:AX21)&lt;0.5,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ref="BD21:BD22" si="130">MAX(BA21-BC21,0)</f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ref="BG21:BG22" si="131">MAX(BD21-BF21,0)</f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ref="BJ21:BJ22" si="132">MAX(BG21-BI21,0)</f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ref="BM21:BM22" si="133">MAX(BJ21-BL21,0)</f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ref="BP21:BP22" si="134">MAX(BM21-BO21,0)</f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ref="BS21:BS22" si="135">MAX(BP21-BR21,0)</f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ref="BV21:BV22" si="136">MAX(BS21-BU21,0)</f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ref="BY21:BY22" si="137">MAX(BV21-BX21,0)</f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ref="CB21:CB22" si="138">MAX(BY21-CA21,0)</f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0</v>
      </c>
    </row>
    <row r="22" spans="1:83" x14ac:dyDescent="0.2">
      <c r="A22" s="16"/>
      <c r="B22" s="16" t="s">
        <v>127</v>
      </c>
      <c r="C22" s="16" t="s">
        <v>181</v>
      </c>
      <c r="D22" s="17" t="s">
        <v>183</v>
      </c>
      <c r="E22" s="178" t="s">
        <v>194</v>
      </c>
      <c r="F22" s="18" t="s">
        <v>117</v>
      </c>
      <c r="G22" s="19" t="str">
        <f t="shared" ca="1" si="0"/>
        <v>Pending</v>
      </c>
      <c r="H22" s="20">
        <v>1</v>
      </c>
      <c r="I22" s="21">
        <v>20</v>
      </c>
      <c r="J22" s="22">
        <v>0</v>
      </c>
      <c r="K22" s="22">
        <f t="shared" si="116"/>
        <v>20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117"/>
        <v>20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118"/>
        <v>20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119"/>
        <v>20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120"/>
        <v>20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121"/>
        <v>20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122"/>
        <v>20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123"/>
        <v>20</v>
      </c>
      <c r="AG22" s="23" t="str">
        <f>IF(SUMPRODUCT($J$71:AF$71,$J22:AF22)&lt;0.5, "Pending", IF(AF22&lt;0.5, "Complete", "In Progress"))</f>
        <v>Pending</v>
      </c>
      <c r="AH22" s="22">
        <v>0</v>
      </c>
      <c r="AI22" s="22">
        <f t="shared" si="124"/>
        <v>20</v>
      </c>
      <c r="AJ22" s="23" t="str">
        <f>IF(SUMPRODUCT($J$71:AI$71,$J22:AI22)&lt;0.5, "Pending", IF(AI22&lt;0.5, "Complete", "In Progress"))</f>
        <v>Pending</v>
      </c>
      <c r="AK22" s="22">
        <v>0</v>
      </c>
      <c r="AL22" s="22">
        <f t="shared" si="125"/>
        <v>20</v>
      </c>
      <c r="AM22" s="23" t="str">
        <f>IF(SUMPRODUCT($J$71:AL$71,$J22:AL22)&lt;0.5, "Pending", IF(AL22&lt;0.5, "Complete", "In Progress"))</f>
        <v>Pending</v>
      </c>
      <c r="AN22" s="22">
        <v>0</v>
      </c>
      <c r="AO22" s="22">
        <f t="shared" si="126"/>
        <v>20</v>
      </c>
      <c r="AP22" s="23" t="str">
        <f>IF(SUMPRODUCT($J$71:AO$71,$J22:AO22)&lt;0.5, "Pending", IF(AO22&lt;0.5, "Complete", "In Progress"))</f>
        <v>Pending</v>
      </c>
      <c r="AQ22" s="22">
        <v>0</v>
      </c>
      <c r="AR22" s="22">
        <f t="shared" si="127"/>
        <v>20</v>
      </c>
      <c r="AS22" s="23" t="str">
        <f>IF(SUMPRODUCT($J$71:AR$71,$J22:AR22)&lt;0.5, "Pending", IF(AR22&lt;0.5, "Complete", "In Progress"))</f>
        <v>Pending</v>
      </c>
      <c r="AT22" s="22">
        <v>0</v>
      </c>
      <c r="AU22" s="22">
        <f t="shared" si="128"/>
        <v>20</v>
      </c>
      <c r="AV22" s="23" t="str">
        <f>IF(SUMPRODUCT($J$71:AU$71,$J22:AU22)&lt;0.5, "Pending", IF(AU22&lt;0.5, "Complete", "In Progress"))</f>
        <v>Pending</v>
      </c>
      <c r="AW22" s="22">
        <v>0</v>
      </c>
      <c r="AX22" s="22">
        <f t="shared" si="129"/>
        <v>20</v>
      </c>
      <c r="AY22" s="23" t="str">
        <f>IF(SUMPRODUCT($J$71:AX$71,$J22:AX22)&lt;0.5,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30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31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32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33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34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35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136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137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138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0</v>
      </c>
    </row>
    <row r="23" spans="1:83" x14ac:dyDescent="0.2">
      <c r="A23" s="16"/>
      <c r="B23" s="16" t="s">
        <v>127</v>
      </c>
      <c r="C23" s="16" t="s">
        <v>181</v>
      </c>
      <c r="D23" s="17" t="s">
        <v>184</v>
      </c>
      <c r="E23" s="178" t="s">
        <v>195</v>
      </c>
      <c r="F23" s="18" t="s">
        <v>117</v>
      </c>
      <c r="G23" s="19" t="str">
        <f t="shared" ca="1" si="0"/>
        <v>Pending</v>
      </c>
      <c r="H23" s="20">
        <v>1</v>
      </c>
      <c r="I23" s="21">
        <v>20</v>
      </c>
      <c r="J23" s="22">
        <v>0</v>
      </c>
      <c r="K23" s="22">
        <f t="shared" si="24"/>
        <v>20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25"/>
        <v>20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6"/>
        <v>20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27"/>
        <v>20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28"/>
        <v>20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29"/>
        <v>20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30"/>
        <v>20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31"/>
        <v>20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32"/>
        <v>20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33"/>
        <v>20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34"/>
        <v>20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35"/>
        <v>20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36"/>
        <v>20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37"/>
        <v>20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">
      <c r="A24" s="16"/>
      <c r="B24" s="16" t="s">
        <v>126</v>
      </c>
      <c r="C24" s="16" t="s">
        <v>181</v>
      </c>
      <c r="D24" s="17" t="s">
        <v>186</v>
      </c>
      <c r="E24" s="178" t="s">
        <v>154</v>
      </c>
      <c r="F24" s="18" t="s">
        <v>117</v>
      </c>
      <c r="G24" s="19" t="str">
        <f t="shared" ca="1" si="0"/>
        <v>Pending</v>
      </c>
      <c r="H24" s="20">
        <v>1</v>
      </c>
      <c r="I24" s="21">
        <v>2</v>
      </c>
      <c r="J24" s="22">
        <v>0</v>
      </c>
      <c r="K24" s="22">
        <f t="shared" si="24"/>
        <v>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25"/>
        <v>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6"/>
        <v>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27"/>
        <v>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28"/>
        <v>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29"/>
        <v>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30"/>
        <v>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31"/>
        <v>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32"/>
        <v>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33"/>
        <v>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34"/>
        <v>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35"/>
        <v>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36"/>
        <v>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37"/>
        <v>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2">
      <c r="A25" s="16"/>
      <c r="B25" s="16" t="s">
        <v>126</v>
      </c>
      <c r="C25" s="16" t="s">
        <v>181</v>
      </c>
      <c r="D25" s="17" t="s">
        <v>188</v>
      </c>
      <c r="E25" s="178" t="s">
        <v>155</v>
      </c>
      <c r="F25" s="18" t="s">
        <v>117</v>
      </c>
      <c r="G25" s="19" t="str">
        <f t="shared" ca="1" si="0"/>
        <v>Pending</v>
      </c>
      <c r="H25" s="20">
        <v>1</v>
      </c>
      <c r="I25" s="21">
        <v>2</v>
      </c>
      <c r="J25" s="22">
        <v>0</v>
      </c>
      <c r="K25" s="22">
        <f t="shared" si="24"/>
        <v>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25"/>
        <v>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6"/>
        <v>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27"/>
        <v>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28"/>
        <v>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29"/>
        <v>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30"/>
        <v>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31"/>
        <v>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32"/>
        <v>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33"/>
        <v>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34"/>
        <v>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35"/>
        <v>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36"/>
        <v>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37"/>
        <v>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">
      <c r="A26" s="16"/>
      <c r="B26" s="16" t="s">
        <v>129</v>
      </c>
      <c r="C26" s="16" t="s">
        <v>181</v>
      </c>
      <c r="D26" s="17" t="s">
        <v>196</v>
      </c>
      <c r="E26" s="178" t="s">
        <v>156</v>
      </c>
      <c r="F26" s="18" t="s">
        <v>117</v>
      </c>
      <c r="G26" s="19" t="str">
        <f t="shared" ca="1" si="0"/>
        <v>Pending</v>
      </c>
      <c r="H26" s="20">
        <v>1</v>
      </c>
      <c r="I26" s="21">
        <v>5</v>
      </c>
      <c r="J26" s="22">
        <v>0</v>
      </c>
      <c r="K26" s="22">
        <f t="shared" ref="K26" si="139">MAX(I26-J26, 0)</f>
        <v>5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ref="N26" si="140">MAX(K26-M26,0)</f>
        <v>5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ref="Q26" si="141">MAX(N26-P26,0)</f>
        <v>5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ref="T26" si="142">MAX(Q26-S26,0)</f>
        <v>5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ref="W26" si="143">MAX(T26-V26,0)</f>
        <v>5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ref="Z26" si="144">MAX(W26-Y26,0)</f>
        <v>5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ref="AC26" si="145">MAX(Z26-AB26,0)</f>
        <v>5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ref="AF26" si="146">MAX(AC26-AE26,0)</f>
        <v>5</v>
      </c>
      <c r="AG26" s="23" t="str">
        <f>IF(SUMPRODUCT($J$71:AF$71,$J26:AF26)&lt;0.5, "Pending", IF(AF26&lt;0.5, "Complete", "In Progress"))</f>
        <v>Pending</v>
      </c>
      <c r="AH26" s="22">
        <v>0</v>
      </c>
      <c r="AI26" s="22">
        <f t="shared" ref="AI26" si="147">MAX(AF26-AH26,0)</f>
        <v>5</v>
      </c>
      <c r="AJ26" s="23" t="str">
        <f>IF(SUMPRODUCT($J$71:AI$71,$J26:AI26)&lt;0.5, "Pending", IF(AI26&lt;0.5, "Complete", "In Progress"))</f>
        <v>Pending</v>
      </c>
      <c r="AK26" s="22">
        <v>0</v>
      </c>
      <c r="AL26" s="22">
        <f t="shared" ref="AL26" si="148">MAX(AI26-AK26,0)</f>
        <v>5</v>
      </c>
      <c r="AM26" s="23" t="str">
        <f>IF(SUMPRODUCT($J$71:AL$71,$J26:AL26)&lt;0.5, "Pending", IF(AL26&lt;0.5, "Complete", "In Progress"))</f>
        <v>Pending</v>
      </c>
      <c r="AN26" s="22">
        <v>0</v>
      </c>
      <c r="AO26" s="22">
        <f t="shared" ref="AO26" si="149">MAX(AL26-AN26,0)</f>
        <v>5</v>
      </c>
      <c r="AP26" s="23" t="str">
        <f>IF(SUMPRODUCT($J$71:AO$71,$J26:AO26)&lt;0.5, "Pending", IF(AO26&lt;0.5, "Complete", "In Progress"))</f>
        <v>Pending</v>
      </c>
      <c r="AQ26" s="22">
        <v>0</v>
      </c>
      <c r="AR26" s="22">
        <f t="shared" ref="AR26" si="150">MAX(AO26-AQ26,0)</f>
        <v>5</v>
      </c>
      <c r="AS26" s="23" t="str">
        <f>IF(SUMPRODUCT($J$71:AR$71,$J26:AR26)&lt;0.5, "Pending", IF(AR26&lt;0.5, "Complete", "In Progress"))</f>
        <v>Pending</v>
      </c>
      <c r="AT26" s="22">
        <v>0</v>
      </c>
      <c r="AU26" s="22">
        <f t="shared" ref="AU26" si="151">MAX(AR26-AT26,0)</f>
        <v>5</v>
      </c>
      <c r="AV26" s="23" t="str">
        <f>IF(SUMPRODUCT($J$71:AU$71,$J26:AU26)&lt;0.5, "Pending", IF(AU26&lt;0.5, "Complete", "In Progress"))</f>
        <v>Pending</v>
      </c>
      <c r="AW26" s="22">
        <v>0</v>
      </c>
      <c r="AX26" s="22">
        <f t="shared" ref="AX26" si="152">MAX(AU26-AW26,0)</f>
        <v>5</v>
      </c>
      <c r="AY26" s="23" t="str">
        <f>IF(SUMPRODUCT($J$71:AX$71,$J26:AX26)&lt;0.5,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ref="BD26" si="153">MAX(BA26-BC26,0)</f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ref="BG26" si="154">MAX(BD26-BF26,0)</f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ref="BJ26" si="155">MAX(BG26-BI26,0)</f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ref="BM26" si="156">MAX(BJ26-BL26,0)</f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ref="BP26" si="157">MAX(BM26-BO26,0)</f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ref="BS26" si="158">MAX(BP26-BR26,0)</f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ref="BV26" si="159">MAX(BS26-BU26,0)</f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ref="BY26" si="160">MAX(BV26-BX26,0)</f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ref="CB26" si="161">MAX(BY26-CA26,0)</f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0</v>
      </c>
    </row>
    <row r="27" spans="1:83" x14ac:dyDescent="0.2">
      <c r="A27" s="16"/>
      <c r="B27" s="16" t="s">
        <v>127</v>
      </c>
      <c r="C27" s="16" t="s">
        <v>181</v>
      </c>
      <c r="D27" s="17" t="s">
        <v>197</v>
      </c>
      <c r="E27" s="178" t="s">
        <v>185</v>
      </c>
      <c r="F27" s="18" t="s">
        <v>117</v>
      </c>
      <c r="G27" s="19" t="str">
        <f t="shared" ca="1" si="0"/>
        <v>Pending</v>
      </c>
      <c r="H27" s="20">
        <v>1</v>
      </c>
      <c r="I27" s="21">
        <v>2</v>
      </c>
      <c r="J27" s="22">
        <v>0</v>
      </c>
      <c r="K27" s="22">
        <f t="shared" si="24"/>
        <v>2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25"/>
        <v>2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6"/>
        <v>2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27"/>
        <v>2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28"/>
        <v>2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29"/>
        <v>2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30"/>
        <v>2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31"/>
        <v>2</v>
      </c>
      <c r="AG27" s="23" t="str">
        <f>IF(SUMPRODUCT($J$71:AF$71,$J27:AF27)&lt;0.5, "Pending", IF(AF27&lt;0.5, "Complete", "In Progress"))</f>
        <v>Pending</v>
      </c>
      <c r="AH27" s="22">
        <v>0</v>
      </c>
      <c r="AI27" s="22">
        <f t="shared" si="32"/>
        <v>2</v>
      </c>
      <c r="AJ27" s="23" t="str">
        <f>IF(SUMPRODUCT($J$71:AI$71,$J27:AI27)&lt;0.5, "Pending", IF(AI27&lt;0.5, "Complete", "In Progress"))</f>
        <v>Pending</v>
      </c>
      <c r="AK27" s="22">
        <v>0</v>
      </c>
      <c r="AL27" s="22">
        <f t="shared" si="33"/>
        <v>2</v>
      </c>
      <c r="AM27" s="23" t="str">
        <f>IF(SUMPRODUCT($J$71:AL$71,$J27:AL27)&lt;0.5, "Pending", IF(AL27&lt;0.5, "Complete", "In Progress"))</f>
        <v>Pending</v>
      </c>
      <c r="AN27" s="22">
        <v>0</v>
      </c>
      <c r="AO27" s="22">
        <f t="shared" si="34"/>
        <v>2</v>
      </c>
      <c r="AP27" s="23" t="str">
        <f>IF(SUMPRODUCT($J$71:AO$71,$J27:AO27)&lt;0.5, "Pending", IF(AO27&lt;0.5, "Complete", "In Progress"))</f>
        <v>Pending</v>
      </c>
      <c r="AQ27" s="22">
        <v>0</v>
      </c>
      <c r="AR27" s="22">
        <f t="shared" si="35"/>
        <v>2</v>
      </c>
      <c r="AS27" s="23" t="str">
        <f>IF(SUMPRODUCT($J$71:AR$71,$J27:AR27)&lt;0.5, "Pending", IF(AR27&lt;0.5, "Complete", "In Progress"))</f>
        <v>Pending</v>
      </c>
      <c r="AT27" s="22">
        <v>0</v>
      </c>
      <c r="AU27" s="22">
        <f t="shared" si="36"/>
        <v>2</v>
      </c>
      <c r="AV27" s="23" t="str">
        <f>IF(SUMPRODUCT($J$71:AU$71,$J27:AU27)&lt;0.5, "Pending", IF(AU27&lt;0.5, "Complete", "In Progress"))</f>
        <v>Pending</v>
      </c>
      <c r="AW27" s="22">
        <v>0</v>
      </c>
      <c r="AX27" s="22">
        <f t="shared" si="37"/>
        <v>2</v>
      </c>
      <c r="AY27" s="23" t="str">
        <f>IF(SUMPRODUCT($J$71:AX$71,$J27:AX27)&lt;0.5,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0</v>
      </c>
    </row>
    <row r="28" spans="1:83" x14ac:dyDescent="0.2">
      <c r="A28" s="16"/>
      <c r="C28" s="16"/>
      <c r="D28" s="17"/>
      <c r="F28" s="18" t="s">
        <v>117</v>
      </c>
      <c r="G28" s="19" t="str">
        <f t="shared" ca="1" si="0"/>
        <v>Pending</v>
      </c>
      <c r="H28" s="20">
        <v>1</v>
      </c>
      <c r="I28" s="21">
        <v>40</v>
      </c>
      <c r="J28" s="22">
        <v>0</v>
      </c>
      <c r="K28" s="22">
        <f t="shared" si="24"/>
        <v>40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25"/>
        <v>40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6"/>
        <v>40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27"/>
        <v>40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28"/>
        <v>40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29"/>
        <v>40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30"/>
        <v>40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31"/>
        <v>40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32"/>
        <v>40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33"/>
        <v>40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34"/>
        <v>40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35"/>
        <v>40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36"/>
        <v>40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37"/>
        <v>40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117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117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117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117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117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117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117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117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117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117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117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117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117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117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117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117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117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117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117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117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117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117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117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117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117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117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117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117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117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117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117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117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117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117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117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117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117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117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117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/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62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63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64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65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66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67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68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69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70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71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72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73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74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75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76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77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78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79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80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81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82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83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84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193" t="s">
        <v>9</v>
      </c>
      <c r="K70" s="194"/>
      <c r="L70" s="30">
        <v>1</v>
      </c>
      <c r="M70" s="191" t="s">
        <v>9</v>
      </c>
      <c r="N70" s="195"/>
      <c r="O70" s="30">
        <f>L70+1</f>
        <v>2</v>
      </c>
      <c r="P70" s="191" t="s">
        <v>9</v>
      </c>
      <c r="Q70" s="195"/>
      <c r="R70" s="30">
        <f>O70+1</f>
        <v>3</v>
      </c>
      <c r="S70" s="191" t="s">
        <v>9</v>
      </c>
      <c r="T70" s="195"/>
      <c r="U70" s="30">
        <f>R70+1</f>
        <v>4</v>
      </c>
      <c r="V70" s="191" t="s">
        <v>9</v>
      </c>
      <c r="W70" s="195"/>
      <c r="X70" s="30">
        <f>U70+1</f>
        <v>5</v>
      </c>
      <c r="Y70" s="191" t="s">
        <v>9</v>
      </c>
      <c r="Z70" s="191"/>
      <c r="AA70" s="30">
        <f>X70+1</f>
        <v>6</v>
      </c>
      <c r="AB70" s="191" t="s">
        <v>9</v>
      </c>
      <c r="AC70" s="191"/>
      <c r="AD70" s="30">
        <f>AA70+1</f>
        <v>7</v>
      </c>
      <c r="AE70" s="191" t="s">
        <v>9</v>
      </c>
      <c r="AF70" s="191"/>
      <c r="AG70" s="30">
        <f>AD70+1</f>
        <v>8</v>
      </c>
      <c r="AH70" s="191" t="s">
        <v>9</v>
      </c>
      <c r="AI70" s="191"/>
      <c r="AJ70" s="30">
        <f>AG70+1</f>
        <v>9</v>
      </c>
      <c r="AK70" s="191" t="s">
        <v>9</v>
      </c>
      <c r="AL70" s="191"/>
      <c r="AM70" s="30">
        <f>AJ70+1</f>
        <v>10</v>
      </c>
      <c r="AN70" s="191" t="s">
        <v>9</v>
      </c>
      <c r="AO70" s="191"/>
      <c r="AP70" s="30">
        <f>AM70+1</f>
        <v>11</v>
      </c>
      <c r="AQ70" s="191" t="s">
        <v>9</v>
      </c>
      <c r="AR70" s="191"/>
      <c r="AS70" s="30">
        <f>AP70+1</f>
        <v>12</v>
      </c>
      <c r="AT70" s="191" t="s">
        <v>9</v>
      </c>
      <c r="AU70" s="191"/>
      <c r="AV70" s="30">
        <f>AS70+1</f>
        <v>13</v>
      </c>
      <c r="AW70" s="191" t="s">
        <v>9</v>
      </c>
      <c r="AX70" s="191"/>
      <c r="AY70" s="30">
        <f>AV70+1</f>
        <v>14</v>
      </c>
      <c r="AZ70" s="191" t="s">
        <v>9</v>
      </c>
      <c r="BA70" s="195"/>
      <c r="BB70" s="30" t="e">
        <f>#REF!+1</f>
        <v>#REF!</v>
      </c>
      <c r="BC70" s="191" t="s">
        <v>9</v>
      </c>
      <c r="BD70" s="195"/>
      <c r="BE70" s="30" t="e">
        <f>BB70+1</f>
        <v>#REF!</v>
      </c>
      <c r="BF70" s="191" t="s">
        <v>9</v>
      </c>
      <c r="BG70" s="195"/>
      <c r="BH70" s="30" t="e">
        <f>BE70+1</f>
        <v>#REF!</v>
      </c>
      <c r="BI70" s="191" t="s">
        <v>9</v>
      </c>
      <c r="BJ70" s="195"/>
      <c r="BK70" s="30" t="e">
        <f>BH70+1</f>
        <v>#REF!</v>
      </c>
      <c r="BL70" s="191" t="s">
        <v>9</v>
      </c>
      <c r="BM70" s="195"/>
      <c r="BN70" s="30" t="e">
        <f>BK70+1</f>
        <v>#REF!</v>
      </c>
      <c r="BO70" s="191" t="s">
        <v>9</v>
      </c>
      <c r="BP70" s="195"/>
      <c r="BQ70" s="30" t="e">
        <f>BN70+1</f>
        <v>#REF!</v>
      </c>
      <c r="BR70" s="191" t="s">
        <v>9</v>
      </c>
      <c r="BS70" s="195"/>
      <c r="BT70" s="30" t="e">
        <f>BQ70+1</f>
        <v>#REF!</v>
      </c>
      <c r="BU70" s="191" t="s">
        <v>9</v>
      </c>
      <c r="BV70" s="195"/>
      <c r="BW70" s="30" t="e">
        <f>BT70+1</f>
        <v>#REF!</v>
      </c>
      <c r="BX70" s="191" t="s">
        <v>9</v>
      </c>
      <c r="BY70" s="195"/>
      <c r="BZ70" s="30" t="e">
        <f>BW70+1</f>
        <v>#REF!</v>
      </c>
      <c r="CA70" s="191" t="s">
        <v>9</v>
      </c>
      <c r="CB70" s="195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189</v>
      </c>
      <c r="J74" s="156">
        <f>SUBTOTAL(109,J$4:J$69)</f>
        <v>2</v>
      </c>
      <c r="K74" s="156">
        <f>SUBTOTAL(109,K$4:K$68)</f>
        <v>187</v>
      </c>
      <c r="L74" s="39"/>
      <c r="M74" s="39">
        <f>SUBTOTAL(109,M$4:M$69)</f>
        <v>0</v>
      </c>
      <c r="N74" s="39">
        <f>SUBTOTAL(109,N$4:N$68)</f>
        <v>174</v>
      </c>
      <c r="O74" s="39"/>
      <c r="P74" s="39">
        <f>SUBTOTAL(109,P$4:P$69)</f>
        <v>0</v>
      </c>
      <c r="Q74" s="39">
        <f>SUBTOTAL(109,Q$4:Q$68)</f>
        <v>174</v>
      </c>
      <c r="R74" s="39"/>
      <c r="S74" s="39">
        <f>SUBTOTAL(109,S$4:S$69)</f>
        <v>0</v>
      </c>
      <c r="T74" s="39">
        <f>SUBTOTAL(109,T$4:T$68)</f>
        <v>174</v>
      </c>
      <c r="U74" s="39"/>
      <c r="V74" s="39">
        <f>SUBTOTAL(109,V$4:V$69)</f>
        <v>0</v>
      </c>
      <c r="W74" s="39">
        <f>SUBTOTAL(109,W$4:W$68)</f>
        <v>174</v>
      </c>
      <c r="X74" s="39"/>
      <c r="Y74" s="39">
        <f>SUBTOTAL(109,Y$4:Y$69)</f>
        <v>0</v>
      </c>
      <c r="Z74" s="39">
        <f>SUBTOTAL(109,Z$4:Z$68)</f>
        <v>174</v>
      </c>
      <c r="AA74" s="39"/>
      <c r="AB74" s="39">
        <f>SUBTOTAL(109,AB$4:AB$69)</f>
        <v>0</v>
      </c>
      <c r="AC74" s="39">
        <f>SUBTOTAL(109,AC$4:AC$68)</f>
        <v>174</v>
      </c>
      <c r="AD74" s="39"/>
      <c r="AE74" s="39">
        <f>SUBTOTAL(109,AE$4:AE$69)</f>
        <v>0</v>
      </c>
      <c r="AF74" s="39">
        <f>SUBTOTAL(109,AF$4:AF$68)</f>
        <v>174</v>
      </c>
      <c r="AG74" s="39"/>
      <c r="AH74" s="39">
        <f>SUBTOTAL(109,AH$4:AH$69)</f>
        <v>0</v>
      </c>
      <c r="AI74" s="39">
        <f>SUBTOTAL(109,AI$4:AI$68)</f>
        <v>174</v>
      </c>
      <c r="AJ74" s="39"/>
      <c r="AK74" s="39">
        <f>SUBTOTAL(109,AK$4:AK$69)</f>
        <v>0</v>
      </c>
      <c r="AL74" s="39">
        <f>SUBTOTAL(109,AL$4:AL$68)</f>
        <v>174</v>
      </c>
      <c r="AM74" s="39"/>
      <c r="AN74" s="39">
        <f>SUBTOTAL(109,AN$4:AN$69)</f>
        <v>0</v>
      </c>
      <c r="AO74" s="39">
        <f>SUBTOTAL(109,AO$4:AO$68)</f>
        <v>174</v>
      </c>
      <c r="AP74" s="39"/>
      <c r="AQ74" s="39">
        <f>SUBTOTAL(109,AQ$4:AQ$69)</f>
        <v>0</v>
      </c>
      <c r="AR74" s="39">
        <f>SUBTOTAL(109,AR$4:AR$68)</f>
        <v>174</v>
      </c>
      <c r="AS74" s="39"/>
      <c r="AT74" s="39">
        <f>SUBTOTAL(109,AT$4:AT$69)</f>
        <v>0</v>
      </c>
      <c r="AU74" s="39">
        <f>SUBTOTAL(109,AU$4:AU$68)</f>
        <v>174</v>
      </c>
      <c r="AV74" s="39"/>
      <c r="AW74" s="39">
        <f>SUBTOTAL(109,AW$4:AW$69)</f>
        <v>0</v>
      </c>
      <c r="AX74" s="39">
        <f>SUBTOTAL(109,AX$4:AX$68)</f>
        <v>174</v>
      </c>
      <c r="AY74" s="39"/>
      <c r="AZ74" s="39">
        <f t="shared" ref="AZ74:CC74" si="185">SUBTOTAL(109,AZ$4:AZ$68)</f>
        <v>0</v>
      </c>
      <c r="BA74" s="39" t="e">
        <f t="shared" si="185"/>
        <v>#REF!</v>
      </c>
      <c r="BB74" s="39" t="e">
        <f t="shared" si="185"/>
        <v>#REF!</v>
      </c>
      <c r="BC74" s="39">
        <f t="shared" si="185"/>
        <v>0</v>
      </c>
      <c r="BD74" s="39" t="e">
        <f t="shared" si="185"/>
        <v>#REF!</v>
      </c>
      <c r="BE74" s="39" t="e">
        <f t="shared" si="185"/>
        <v>#REF!</v>
      </c>
      <c r="BF74" s="39">
        <f t="shared" si="185"/>
        <v>0</v>
      </c>
      <c r="BG74" s="39" t="e">
        <f t="shared" si="185"/>
        <v>#REF!</v>
      </c>
      <c r="BH74" s="39" t="e">
        <f t="shared" si="185"/>
        <v>#REF!</v>
      </c>
      <c r="BI74" s="39">
        <f t="shared" si="185"/>
        <v>0</v>
      </c>
      <c r="BJ74" s="39" t="e">
        <f t="shared" si="185"/>
        <v>#REF!</v>
      </c>
      <c r="BK74" s="39" t="e">
        <f t="shared" si="185"/>
        <v>#REF!</v>
      </c>
      <c r="BL74" s="39">
        <f t="shared" si="185"/>
        <v>0</v>
      </c>
      <c r="BM74" s="39" t="e">
        <f t="shared" si="185"/>
        <v>#REF!</v>
      </c>
      <c r="BN74" s="39" t="e">
        <f t="shared" si="185"/>
        <v>#REF!</v>
      </c>
      <c r="BO74" s="39">
        <f t="shared" si="185"/>
        <v>0</v>
      </c>
      <c r="BP74" s="39" t="e">
        <f t="shared" si="185"/>
        <v>#REF!</v>
      </c>
      <c r="BQ74" s="39" t="e">
        <f t="shared" si="185"/>
        <v>#REF!</v>
      </c>
      <c r="BR74" s="39">
        <f t="shared" si="185"/>
        <v>0</v>
      </c>
      <c r="BS74" s="39" t="e">
        <f t="shared" si="185"/>
        <v>#REF!</v>
      </c>
      <c r="BT74" s="39" t="e">
        <f t="shared" si="185"/>
        <v>#REF!</v>
      </c>
      <c r="BU74" s="39">
        <f t="shared" si="185"/>
        <v>0</v>
      </c>
      <c r="BV74" s="39" t="e">
        <f t="shared" si="185"/>
        <v>#REF!</v>
      </c>
      <c r="BW74" s="39" t="e">
        <f t="shared" si="185"/>
        <v>#REF!</v>
      </c>
      <c r="BX74" s="39">
        <f t="shared" si="185"/>
        <v>0</v>
      </c>
      <c r="BY74" s="39" t="e">
        <f t="shared" si="185"/>
        <v>#REF!</v>
      </c>
      <c r="BZ74" s="39" t="e">
        <f t="shared" si="185"/>
        <v>#REF!</v>
      </c>
      <c r="CA74" s="39">
        <f t="shared" si="185"/>
        <v>0</v>
      </c>
      <c r="CB74" s="39" t="e">
        <f t="shared" si="185"/>
        <v>#REF!</v>
      </c>
      <c r="CC74" s="39" t="e">
        <f t="shared" si="185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E70:AF70"/>
    <mergeCell ref="AB70:AC70"/>
    <mergeCell ref="Y70:Z70"/>
    <mergeCell ref="AE1:AG1"/>
    <mergeCell ref="AB1:AD1"/>
    <mergeCell ref="Y1:AA1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70:AU70"/>
    <mergeCell ref="AW70:AX70"/>
    <mergeCell ref="AH70:AI70"/>
    <mergeCell ref="AK70:AL70"/>
    <mergeCell ref="AN70:AO70"/>
    <mergeCell ref="AQ70:AR70"/>
  </mergeCells>
  <phoneticPr fontId="2" type="noConversion"/>
  <conditionalFormatting sqref="I74">
    <cfRule type="cellIs" dxfId="96" priority="97" stopIfTrue="1" operator="lessThan">
      <formula>C74*0.75</formula>
    </cfRule>
    <cfRule type="cellIs" dxfId="95" priority="97" stopIfTrue="1" operator="between">
      <formula>C74*0.75</formula>
      <formula>#REF!</formula>
    </cfRule>
    <cfRule type="cellIs" dxfId="94" priority="97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3" priority="89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2" priority="90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1" priority="91" stopIfTrue="1">
      <formula>J$1=TODAY()+DailyScrumDateModifier</formula>
    </cfRule>
  </conditionalFormatting>
  <conditionalFormatting sqref="S4:S12 AW4:AW12 AT4:AT12 AQ4:AQ12 AN4:AN12 AK4:AK12 AH4:AH12 AE4:AE12 AB4:AB12 Y4:Y12 V4:V12 CA4:CA12 BX4:BX12 BU4:BU12 BR4:BR12 BO4:BO12 BL4:BL12 BI4:BI12 BF4:BF12 BC4:BC12 AZ4:AZ12 M4:M12 J4:J12 P4:P12 P20 J20 M20 AZ20 BC20 BF20 BI20 BL20 BO20 BR20 BU20 BX20 CA20 V20 Y20 AB20 AE20 AH20 AK20 AN20 AQ20 AT20 AW20 S20 S27:S68 AW27:AW68 AT27:AT68 AQ27:AQ68 AN27:AN68 AK27:AK68 AH27:AH68 AE27:AE68 AB27:AB68 Y27:Y68 V27:V68 CA27:CA68 BX27:BX68 BU27:BU68 BR27:BR68 BO27:BO68 BL27:BL68 BI27:BI68 BF27:BF68 BC27:BC68 AZ27:AZ68 M27:M68 J27:J68 P27:P68 P16:P18 J16:J18 M16:M18 AZ16:AZ18 BC16:BC18 BF16:BF18 BI16:BI18 BL16:BL18 BO16:BO18 BR16:BR18 BU16:BU18 BX16:BX18 CA16:CA18 V16:V18 Y16:Y18 AB16:AB18 AE16:AE18 AH16:AH18 AK16:AK18 AN16:AN18 AQ16:AQ18 AT16:AT18 AW16:AW18 S16:S18 S23:S25 AW23:AW25 AT23:AT25 AQ23:AQ25 AN23:AN25 AK23:AK25 AH23:AH25 AE23:AE25 AB23:AB25 Y23:Y25 V23:V25 CA23:CA25 BX23:BX25 BU23:BU25 BR23:BR25 BO23:BO25 BL23:BL25 BI23:BI25 BF23:BF25 BC23:BC25 AZ23:AZ25 M23:M25 J23:J25 P23:P25">
    <cfRule type="expression" dxfId="90" priority="100" stopIfTrue="1">
      <formula>J$1=TODAY()+DailyScrumDateModifier</formula>
    </cfRule>
    <cfRule type="expression" dxfId="89" priority="100" stopIfTrue="1">
      <formula>MOD(ROW(),2)</formula>
    </cfRule>
  </conditionalFormatting>
  <conditionalFormatting sqref="N4:N12 AX4:AX12 AU4:AU12 AR4:AR12 AL4:AL12 AF4:AF12 AC4:AC12 Z4:Z12 W4:W12 Q4:Q12 CB4:CB12 BY4:BY12 BV4:BV12 BS4:BS12 BP4:BP12 BM4:BM12 BJ4:BJ12 BG4:BG12 BD4:BD12 BA4:BA12 K4:K12 T4:T12 AI4:AI12 AO4:AO12 AO20 AI20 T20 K20 BA20 BD20 BG20 BJ20 BM20 BP20 BS20 BV20 BY20 CB20 Q20 W20 Z20 AC20 AF20 AL20 AR20 AU20 AX20 N20 N27:N68 AX27:AX68 AU27:AU68 AR27:AR68 AL27:AL68 AF27:AF68 AC27:AC68 Z27:Z68 W27:W68 Q27:Q68 CB27:CB68 BY27:BY68 BV27:BV68 BS27:BS68 BP27:BP68 BM27:BM68 BJ27:BJ68 BG27:BG68 BD27:BD68 BA27:BA68 K27:K68 T27:T68 AI27:AI68 AO27:AO68 AO16:AO18 AI16:AI18 T16:T18 K16:K18 BA16:BA18 BD16:BD18 BG16:BG18 BJ16:BJ18 BM16:BM18 BP16:BP18 BS16:BS18 BV16:BV18 BY16:BY18 CB16:CB18 Q16:Q18 W16:W18 Z16:Z18 AC16:AC18 AF16:AF18 AL16:AL18 AR16:AR18 AU16:AU18 AX16:AX18 N16:N18 N23:N25 AX23:AX25 AU23:AU25 AR23:AR25 AL23:AL25 AF23:AF25 AC23:AC25 Z23:Z25 W23:W25 Q23:Q25 CB23:CB25 BY23:BY25 BV23:BV25 BS23:BS25 BP23:BP25 BM23:BM25 BJ23:BJ25 BG23:BG25 BD23:BD25 BA23:BA25 K23:K25 T23:T25 AI23:AI25 AO23:AO25">
    <cfRule type="expression" dxfId="88" priority="102" stopIfTrue="1">
      <formula>J$1=TODAY()+DailyScrumDateModifier</formula>
    </cfRule>
    <cfRule type="expression" dxfId="87" priority="102" stopIfTrue="1">
      <formula>MOD(ROW(),2)</formula>
    </cfRule>
  </conditionalFormatting>
  <conditionalFormatting sqref="CE4:CE12 A29:E68 A4:E12 H4:I12 H20:I20 CE20 A20:C20 CE27:CE69 H27:I68 E27 H16:I18 CE16:CE18 A16:C18 A23:A28 C23:C28 B23:B27 E16:E20 CE23:CE25 H23:I25">
    <cfRule type="expression" dxfId="86" priority="104" stopIfTrue="1">
      <formula>MOD(ROW(),2)</formula>
    </cfRule>
  </conditionalFormatting>
  <conditionalFormatting sqref="CC4:CC12 BZ4:BZ12 BW4:BW12 BT4:BT12 BQ4:BQ12 BN4:BN12 BK4:BK12 BH4:BH12 BE4:BE12 BB4:BB12 X4:X12 U4:U12 R4:R12 O4:O12 AY4:AY12 AV4:AV12 AS4:AS12 AP4:AP12 AM4:AM12 AJ4:AJ12 AG4:AG12 AD4:AD12 AA4:AA12 L4:L12 L20 AA20 AD20 AG20 AJ20 AM20 AP20 AS20 AV20 AY20 O20 R20 U20 X20 BB20 BE20 BH20 BK20 BN20 BQ20 BT20 BW20 BZ20 CC20 CC27:CC68 BZ27:BZ68 BW27:BW68 BT27:BT68 BQ27:BQ68 BN27:BN68 BK27:BK68 BH27:BH68 BE27:BE68 BB27:BB68 X27:X68 U27:U68 R27:R68 O27:O68 AY27:AY68 AV27:AV68 AS27:AS68 AP27:AP68 AM27:AM68 AJ27:AJ68 AG27:AG68 AD27:AD68 AA27:AA68 L27:L68 L16:L18 AA16:AA18 AD16:AD18 AG16:AG18 AJ16:AJ18 AM16:AM18 AP16:AP18 AS16:AS18 AV16:AV18 AY16:AY18 O16:O18 R16:R18 U16:U18 X16:X18 BB16:BB18 BE16:BE18 BH16:BH18 BK16:BK18 BN16:BN18 BQ16:BQ18 BT16:BT18 BW16:BW18 BZ16:BZ18 CC16:CC18 CC23:CC25 BZ23:BZ25 BW23:BW25 BT23:BT25 BQ23:BQ25 BN23:BN25 BK23:BK25 BH23:BH25 BE23:BE25 BB23:BB25 X23:X25 U23:U25 R23:R25 O23:O25 AY23:AY25 AV23:AV25 AS23:AS25 AP23:AP25 AM23:AM25 AJ23:AJ25 AG23:AG25 AD23:AD25 AA23:AA25 L23:L25">
    <cfRule type="cellIs" dxfId="85" priority="105" stopIfTrue="1" operator="equal">
      <formula>"Pending"</formula>
    </cfRule>
    <cfRule type="cellIs" dxfId="84" priority="105" stopIfTrue="1" operator="equal">
      <formula>"In Progress"</formula>
    </cfRule>
    <cfRule type="cellIs" dxfId="83" priority="105" stopIfTrue="1" operator="equal">
      <formula>"Complete"</formula>
    </cfRule>
  </conditionalFormatting>
  <conditionalFormatting sqref="J1:CC1">
    <cfRule type="expression" dxfId="82" priority="92" stopIfTrue="1">
      <formula>J$1=TODAY()+DailyScrumDateModifier</formula>
    </cfRule>
    <cfRule type="expression" dxfId="81" priority="92" stopIfTrue="1">
      <formula>J$1=TODAY()</formula>
    </cfRule>
  </conditionalFormatting>
  <conditionalFormatting sqref="J75:K76 M75:N76">
    <cfRule type="expression" dxfId="80" priority="94" stopIfTrue="1">
      <formula>"I1=TODAY()"</formula>
    </cfRule>
  </conditionalFormatting>
  <conditionalFormatting sqref="G70">
    <cfRule type="cellIs" dxfId="79" priority="95" stopIfTrue="1" operator="equal">
      <formula>"Complete"</formula>
    </cfRule>
    <cfRule type="cellIs" dxfId="78" priority="95" stopIfTrue="1" operator="equal">
      <formula>"In Progress"</formula>
    </cfRule>
  </conditionalFormatting>
  <conditionalFormatting sqref="G4:G12 G20 G27:G68 G16:G18 G23:G25">
    <cfRule type="cellIs" dxfId="77" priority="108" stopIfTrue="1" operator="equal">
      <formula>"Complete"</formula>
    </cfRule>
    <cfRule type="cellIs" dxfId="76" priority="108" stopIfTrue="1" operator="equal">
      <formula>"In Progress"</formula>
    </cfRule>
    <cfRule type="cellIs" dxfId="75" priority="108" stopIfTrue="1" operator="equal">
      <formula>"Pending"</formula>
    </cfRule>
  </conditionalFormatting>
  <conditionalFormatting sqref="E23:E24">
    <cfRule type="expression" dxfId="74" priority="86" stopIfTrue="1">
      <formula>MOD(ROW(),2)</formula>
    </cfRule>
  </conditionalFormatting>
  <conditionalFormatting sqref="P19 J19 M19 AZ19 BC19 BF19 BI19 BL19 BO19 BR19 BU19 BX19 CA19 V19 Y19 AB19 AE19 AH19 AK19 AN19 AQ19 AT19 AW19 S19">
    <cfRule type="expression" dxfId="73" priority="75" stopIfTrue="1">
      <formula>J$1=TODAY()+DailyScrumDateModifier</formula>
    </cfRule>
  </conditionalFormatting>
  <conditionalFormatting sqref="AO19 AI19 T19 K19 BA19 BD19 BG19 BJ19 BM19 BP19 BS19 BV19 BY19 CB19 Q19 W19 Z19 AC19 AF19 AL19 AR19 AU19 AX19 N19">
    <cfRule type="expression" dxfId="72" priority="76" stopIfTrue="1">
      <formula>J$1=TODAY()+DailyScrumDateModifier</formula>
    </cfRule>
  </conditionalFormatting>
  <conditionalFormatting sqref="H19:I19 A19:C19 CE19">
    <cfRule type="expression" dxfId="71" priority="77" stopIfTrue="1">
      <formula>MOD(ROW(),2)</formula>
    </cfRule>
  </conditionalFormatting>
  <conditionalFormatting sqref="L19 AA19 AD19 AG19 AJ19 AM19 AP19 AS19 AV19 AY19 O19 R19 U19 X19 BB19 BE19 BH19 BK19 BN19 BQ19 BT19 BW19 BZ19 CC19">
    <cfRule type="cellIs" dxfId="70" priority="78" stopIfTrue="1" operator="equal">
      <formula>"Pending"</formula>
    </cfRule>
  </conditionalFormatting>
  <conditionalFormatting sqref="G19">
    <cfRule type="cellIs" dxfId="69" priority="79" stopIfTrue="1" operator="equal">
      <formula>"Complete"</formula>
    </cfRule>
  </conditionalFormatting>
  <conditionalFormatting sqref="S26 AW26 AT26 AQ26 AN26 AK26 AH26 AE26 AB26 Y26 V26 CA26 BX26 BU26 BR26 BO26 BL26 BI26 BF26 BC26 AZ26 M26 J26 P26">
    <cfRule type="expression" dxfId="68" priority="64" stopIfTrue="1">
      <formula>J$1=TODAY()+DailyScrumDateModifier</formula>
    </cfRule>
  </conditionalFormatting>
  <conditionalFormatting sqref="N26 AX26 AU26 AR26 AL26 AF26 AC26 Z26 W26 Q26 CB26 BY26 BV26 BS26 BP26 BM26 BJ26 BG26 BD26 BA26 K26 T26 AI26 AO26">
    <cfRule type="expression" dxfId="67" priority="65" stopIfTrue="1">
      <formula>J$1=TODAY()+DailyScrumDateModifier</formula>
    </cfRule>
  </conditionalFormatting>
  <conditionalFormatting sqref="CE26 H26:I26 D28">
    <cfRule type="expression" dxfId="66" priority="66" stopIfTrue="1">
      <formula>MOD(ROW(),2)</formula>
    </cfRule>
  </conditionalFormatting>
  <conditionalFormatting sqref="CC26 BZ26 BW26 BT26 BQ26 BN26 BK26 BH26 BE26 BB26 X26 U26 R26 O26 AY26 AV26 AS26 AP26 AM26 AJ26 AG26 AD26 AA26 L26">
    <cfRule type="cellIs" dxfId="65" priority="67" stopIfTrue="1" operator="equal">
      <formula>"Pending"</formula>
    </cfRule>
  </conditionalFormatting>
  <conditionalFormatting sqref="G26">
    <cfRule type="cellIs" dxfId="64" priority="68" stopIfTrue="1" operator="equal">
      <formula>"Complete"</formula>
    </cfRule>
  </conditionalFormatting>
  <conditionalFormatting sqref="E25">
    <cfRule type="expression" dxfId="63" priority="63" stopIfTrue="1">
      <formula>MOD(ROW(),2)</formula>
    </cfRule>
  </conditionalFormatting>
  <conditionalFormatting sqref="E26">
    <cfRule type="expression" dxfId="62" priority="62" stopIfTrue="1">
      <formula>MOD(ROW(),2)</formula>
    </cfRule>
  </conditionalFormatting>
  <conditionalFormatting sqref="P13 J13 M13 AZ13 BC13 BF13 BI13 BL13 BO13 BR13 BU13 BX13 CA13 V13 Y13 AB13 AE13 AH13 AK13 AN13 AQ13 AT13 AW13 S13">
    <cfRule type="expression" dxfId="61" priority="51" stopIfTrue="1">
      <formula>J$1=TODAY()+DailyScrumDateModifier</formula>
    </cfRule>
  </conditionalFormatting>
  <conditionalFormatting sqref="AO13 AI13 T13 K13 BA13 BD13 BG13 BJ13 BM13 BP13 BS13 BV13 BY13 CB13 Q13 W13 Z13 AC13 AF13 AL13 AR13 AU13 AX13 N13">
    <cfRule type="expression" dxfId="60" priority="52" stopIfTrue="1">
      <formula>J$1=TODAY()+DailyScrumDateModifier</formula>
    </cfRule>
  </conditionalFormatting>
  <conditionalFormatting sqref="H13:I13 A13:E13 CE13">
    <cfRule type="expression" dxfId="59" priority="53" stopIfTrue="1">
      <formula>MOD(ROW(),2)</formula>
    </cfRule>
  </conditionalFormatting>
  <conditionalFormatting sqref="L13 AA13 AD13 AG13 AJ13 AM13 AP13 AS13 AV13 AY13 O13 R13 U13 X13 BB13 BE13 BH13 BK13 BN13 BQ13 BT13 BW13 BZ13 CC13">
    <cfRule type="cellIs" dxfId="58" priority="54" stopIfTrue="1" operator="equal">
      <formula>"Pending"</formula>
    </cfRule>
  </conditionalFormatting>
  <conditionalFormatting sqref="G13">
    <cfRule type="cellIs" dxfId="57" priority="55" stopIfTrue="1" operator="equal">
      <formula>"Complete"</formula>
    </cfRule>
  </conditionalFormatting>
  <conditionalFormatting sqref="P15 J15 M15 AZ15 BC15 BF15 BI15 BL15 BO15 BR15 BU15 BX15 CA15 V15 Y15 AB15 AE15 AH15 AK15 AN15 AQ15 AT15 AW15 S15">
    <cfRule type="expression" dxfId="56" priority="40" stopIfTrue="1">
      <formula>J$1=TODAY()+DailyScrumDateModifier</formula>
    </cfRule>
  </conditionalFormatting>
  <conditionalFormatting sqref="AO15 AI15 T15 K15 BA15 BD15 BG15 BJ15 BM15 BP15 BS15 BV15 BY15 CB15 Q15 W15 Z15 AC15 AF15 AL15 AR15 AU15 AX15 N15">
    <cfRule type="expression" dxfId="55" priority="41" stopIfTrue="1">
      <formula>J$1=TODAY()+DailyScrumDateModifier</formula>
    </cfRule>
  </conditionalFormatting>
  <conditionalFormatting sqref="H15:I15 A15:D15 CE15 D16:D20">
    <cfRule type="expression" dxfId="54" priority="42" stopIfTrue="1">
      <formula>MOD(ROW(),2)</formula>
    </cfRule>
  </conditionalFormatting>
  <conditionalFormatting sqref="L15 AA15 AD15 AG15 AJ15 AM15 AP15 AS15 AV15 AY15 O15 R15 U15 X15 BB15 BE15 BH15 BK15 BN15 BQ15 BT15 BW15 BZ15 CC15">
    <cfRule type="cellIs" dxfId="53" priority="43" stopIfTrue="1" operator="equal">
      <formula>"Pending"</formula>
    </cfRule>
  </conditionalFormatting>
  <conditionalFormatting sqref="G15">
    <cfRule type="cellIs" dxfId="52" priority="44" stopIfTrue="1" operator="equal">
      <formula>"Complete"</formula>
    </cfRule>
  </conditionalFormatting>
  <conditionalFormatting sqref="P14 J14 M14 AZ14 BC14 BF14 BI14 BL14 BO14 BR14 BU14 BX14 CA14 V14 Y14 AB14 AE14 AH14 AK14 AN14 AQ14 AT14 AW14 S14">
    <cfRule type="expression" dxfId="51" priority="29" stopIfTrue="1">
      <formula>J$1=TODAY()+DailyScrumDateModifier</formula>
    </cfRule>
    <cfRule type="expression" dxfId="50" priority="38" stopIfTrue="1">
      <formula>MOD(ROW(),2)</formula>
    </cfRule>
  </conditionalFormatting>
  <conditionalFormatting sqref="AO14 AI14 T14 K14 BA14 BD14 BG14 BJ14 BM14 BP14 BS14 BV14 BY14 CB14 Q14 W14 Z14 AC14 AF14 AL14 AR14 AU14 AX14 N14">
    <cfRule type="expression" dxfId="49" priority="30" stopIfTrue="1">
      <formula>J$1=TODAY()+DailyScrumDateModifier</formula>
    </cfRule>
    <cfRule type="expression" dxfId="48" priority="36" stopIfTrue="1">
      <formula>MOD(ROW(),2)</formula>
    </cfRule>
  </conditionalFormatting>
  <conditionalFormatting sqref="H14:I14 A14:E14 CE14">
    <cfRule type="expression" dxfId="47" priority="31" stopIfTrue="1">
      <formula>MOD(ROW(),2)</formula>
    </cfRule>
  </conditionalFormatting>
  <conditionalFormatting sqref="L14 AA14 AD14 AG14 AJ14 AM14 AP14 AS14 AV14 AY14 O14 R14 U14 X14 BB14 BE14 BH14 BK14 BN14 BQ14 BT14 BW14 BZ14 CC14">
    <cfRule type="cellIs" dxfId="46" priority="32" stopIfTrue="1" operator="equal">
      <formula>"In Progress"</formula>
    </cfRule>
    <cfRule type="cellIs" dxfId="45" priority="32" stopIfTrue="1" operator="equal">
      <formula>"Pending"</formula>
    </cfRule>
    <cfRule type="cellIs" dxfId="44" priority="33" stopIfTrue="1" operator="equal">
      <formula>"Complete"</formula>
    </cfRule>
  </conditionalFormatting>
  <conditionalFormatting sqref="G14">
    <cfRule type="cellIs" dxfId="43" priority="109" stopIfTrue="1" operator="equal">
      <formula>"In Progress"</formula>
    </cfRule>
    <cfRule type="cellIs" dxfId="42" priority="109" stopIfTrue="1" operator="equal">
      <formula>"Pending"</formula>
    </cfRule>
    <cfRule type="cellIs" dxfId="41" priority="109" stopIfTrue="1" operator="equal">
      <formula>"Complete"</formula>
    </cfRule>
  </conditionalFormatting>
  <conditionalFormatting sqref="E15">
    <cfRule type="expression" dxfId="40" priority="28" stopIfTrue="1">
      <formula>MOD(ROW(),2)</formula>
    </cfRule>
  </conditionalFormatting>
  <conditionalFormatting sqref="E18">
    <cfRule type="expression" dxfId="39" priority="27" stopIfTrue="1">
      <formula>MOD(ROW(),2)</formula>
    </cfRule>
  </conditionalFormatting>
  <conditionalFormatting sqref="S21 AW21 AT21 AQ21 AN21 AK21 AH21 AE21 AB21 Y21 V21 CA21 BX21 BU21 BR21 BO21 BL21 BI21 BF21 BC21 AZ21 M21 J21 P21">
    <cfRule type="expression" dxfId="38" priority="16" stopIfTrue="1">
      <formula>J$1=TODAY()+DailyScrumDateModifier</formula>
    </cfRule>
  </conditionalFormatting>
  <conditionalFormatting sqref="N21 AX21 AU21 AR21 AL21 AF21 AC21 Z21 W21 Q21 CB21 BY21 BV21 BS21 BP21 BM21 BJ21 BG21 BD21 BA21 K21 T21 AI21 AO21">
    <cfRule type="expression" dxfId="37" priority="17" stopIfTrue="1">
      <formula>J$1=TODAY()+DailyScrumDateModifier</formula>
    </cfRule>
  </conditionalFormatting>
  <conditionalFormatting sqref="A21:C21 CE21 H21:I21">
    <cfRule type="expression" dxfId="36" priority="18" stopIfTrue="1">
      <formula>MOD(ROW(),2)</formula>
    </cfRule>
  </conditionalFormatting>
  <conditionalFormatting sqref="CC21 BZ21 BW21 BT21 BQ21 BN21 BK21 BH21 BE21 BB21 X21 U21 R21 O21 AY21 AV21 AS21 AP21 AM21 AJ21 AG21 AD21 AA21 L21">
    <cfRule type="cellIs" dxfId="35" priority="19" stopIfTrue="1" operator="equal">
      <formula>"Pending"</formula>
    </cfRule>
  </conditionalFormatting>
  <conditionalFormatting sqref="G21">
    <cfRule type="cellIs" dxfId="34" priority="20" stopIfTrue="1" operator="equal">
      <formula>"Complete"</formula>
    </cfRule>
  </conditionalFormatting>
  <conditionalFormatting sqref="E21">
    <cfRule type="expression" dxfId="33" priority="15" stopIfTrue="1">
      <formula>MOD(ROW(),2)</formula>
    </cfRule>
  </conditionalFormatting>
  <conditionalFormatting sqref="D21:D27">
    <cfRule type="expression" dxfId="32" priority="14" stopIfTrue="1">
      <formula>MOD(ROW(),2)</formula>
    </cfRule>
  </conditionalFormatting>
  <conditionalFormatting sqref="S22 AW22 AT22 AQ22 AN22 AK22 AH22 AE22 AB22 Y22 V22 CA22 BX22 BU22 BR22 BO22 BL22 BI22 BF22 BC22 AZ22 M22 J22 P22">
    <cfRule type="expression" dxfId="31" priority="3" stopIfTrue="1">
      <formula>J$1=TODAY()+DailyScrumDateModifier</formula>
    </cfRule>
  </conditionalFormatting>
  <conditionalFormatting sqref="N22 AX22 AU22 AR22 AL22 AF22 AC22 Z22 W22 Q22 CB22 BY22 BV22 BS22 BP22 BM22 BJ22 BG22 BD22 BA22 K22 T22 AI22 AO22">
    <cfRule type="expression" dxfId="30" priority="4" stopIfTrue="1">
      <formula>J$1=TODAY()+DailyScrumDateModifier</formula>
    </cfRule>
  </conditionalFormatting>
  <conditionalFormatting sqref="A22:C22 CE22 H22:I22">
    <cfRule type="expression" dxfId="29" priority="5" stopIfTrue="1">
      <formula>MOD(ROW(),2)</formula>
    </cfRule>
  </conditionalFormatting>
  <conditionalFormatting sqref="CC22 BZ22 BW22 BT22 BQ22 BN22 BK22 BH22 BE22 BB22 X22 U22 R22 O22 AY22 AV22 AS22 AP22 AM22 AJ22 AG22 AD22 AA22 L22">
    <cfRule type="cellIs" dxfId="28" priority="6" stopIfTrue="1" operator="equal">
      <formula>"Pending"</formula>
    </cfRule>
  </conditionalFormatting>
  <conditionalFormatting sqref="G22">
    <cfRule type="cellIs" dxfId="27" priority="7" stopIfTrue="1" operator="equal">
      <formula>"Complete"</formula>
    </cfRule>
  </conditionalFormatting>
  <conditionalFormatting sqref="E22">
    <cfRule type="expression" dxfId="26" priority="2" stopIfTrue="1">
      <formula>MOD(ROW(),2)</formula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29:B68 B4:B27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23" workbookViewId="0">
      <selection activeCell="E41" sqref="E4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187</v>
      </c>
      <c r="F22" s="162">
        <f t="shared" ca="1" si="1"/>
        <v>174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>
        <f t="shared" ca="1" si="2"/>
        <v>0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>
        <f ca="1">IF(F20&gt;TODAY(), #N/A, SUM($E23:F23))</f>
        <v>2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189</v>
      </c>
      <c r="F25" s="163">
        <f t="shared" ca="1" si="3"/>
        <v>176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>
        <f t="shared" ca="1" si="4"/>
        <v>1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40961.5</v>
      </c>
      <c r="F28" s="169">
        <f t="shared" ca="1" si="5"/>
        <v>41043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40961.5</v>
      </c>
      <c r="F29" s="169">
        <f t="shared" ca="1" si="6"/>
        <v>41043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187</v>
      </c>
      <c r="F31" s="165">
        <f t="shared" ca="1" si="7"/>
        <v>174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2</v>
      </c>
      <c r="F33" s="165">
        <f t="shared" ca="1" si="9"/>
        <v>2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64</v>
      </c>
      <c r="F35" s="165">
        <f t="shared" ca="1" si="10"/>
        <v>64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</v>
      </c>
      <c r="F37" s="165">
        <f t="shared" ca="1" si="12"/>
        <v>1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ter</v>
      </c>
      <c r="E2" s="48">
        <f ca="1">TODAY()</f>
        <v>40869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9" t="s">
        <v>47</v>
      </c>
      <c r="C5" s="200"/>
      <c r="D5" s="200"/>
      <c r="E5" s="200"/>
      <c r="F5" s="200"/>
      <c r="G5" s="201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202"/>
      <c r="X6" s="203"/>
      <c r="Y6" s="203"/>
      <c r="Z6" s="203"/>
      <c r="AA6" s="203"/>
      <c r="AB6" s="204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SUMIF(Sprint!$F$3:$F$1861,E8,Sprint!$AX$4:$AX$1861)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196">
        <f t="shared" ref="W8:W25" si="5">IF(E8="unassigned",0,(COUNTIF(I8:V8,1)*$C$6)*F8)</f>
        <v>0</v>
      </c>
      <c r="X8" s="197"/>
      <c r="Y8" s="197"/>
      <c r="Z8" s="197"/>
      <c r="AA8" s="197"/>
      <c r="AB8" s="198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SUMIF(Sprint!$F$3:$F$1861,E9,Sprint!$AX$4:$AX$1861)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196">
        <f t="shared" si="5"/>
        <v>0</v>
      </c>
      <c r="X9" s="197"/>
      <c r="Y9" s="197"/>
      <c r="Z9" s="197"/>
      <c r="AA9" s="197"/>
      <c r="AB9" s="198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SUMIF(Sprint!$F$3:$F$1861,E10,Sprint!$AX$4:$AX$1861)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196">
        <f t="shared" si="5"/>
        <v>0</v>
      </c>
      <c r="X10" s="197"/>
      <c r="Y10" s="197"/>
      <c r="Z10" s="197"/>
      <c r="AA10" s="197"/>
      <c r="AB10" s="198"/>
    </row>
    <row r="11" spans="2:28" ht="13.5" thickBot="1" x14ac:dyDescent="0.25">
      <c r="B11" s="96"/>
      <c r="D11" s="97"/>
      <c r="E11" s="18"/>
      <c r="F11" s="89">
        <v>1</v>
      </c>
      <c r="G11" s="83">
        <f ca="1">SUMIF(Sprint!$F$3:$F$1861,E11,Sprint!$AX$4:$AX$1861)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196">
        <f t="shared" si="5"/>
        <v>0</v>
      </c>
      <c r="X11" s="197"/>
      <c r="Y11" s="197"/>
      <c r="Z11" s="197"/>
      <c r="AA11" s="197"/>
      <c r="AB11" s="198"/>
    </row>
    <row r="12" spans="2:28" ht="13.5" thickBot="1" x14ac:dyDescent="0.25">
      <c r="B12" s="96"/>
      <c r="D12" s="97"/>
      <c r="E12" s="18"/>
      <c r="F12" s="89"/>
      <c r="G12" s="83">
        <f ca="1">SUMIF(Sprint!$F$3:$F$1861,E12,Sprint!$AX$4:$AX$1861)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196">
        <f t="shared" si="5"/>
        <v>0</v>
      </c>
      <c r="X12" s="197"/>
      <c r="Y12" s="197"/>
      <c r="Z12" s="197"/>
      <c r="AA12" s="197"/>
      <c r="AB12" s="198"/>
    </row>
    <row r="13" spans="2:28" ht="13.5" thickBot="1" x14ac:dyDescent="0.25">
      <c r="B13" s="96"/>
      <c r="D13" s="98"/>
      <c r="E13" s="18"/>
      <c r="F13" s="89"/>
      <c r="G13" s="83">
        <f ca="1">SUMIF(Sprint!$F$3:$F$1861,E13,Sprint!$AX$4:$AX$1861)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196">
        <f t="shared" si="5"/>
        <v>0</v>
      </c>
      <c r="X13" s="197"/>
      <c r="Y13" s="197"/>
      <c r="Z13" s="197"/>
      <c r="AA13" s="197"/>
      <c r="AB13" s="198"/>
    </row>
    <row r="14" spans="2:28" ht="13.5" thickBot="1" x14ac:dyDescent="0.25">
      <c r="B14" s="96"/>
      <c r="D14" s="62"/>
      <c r="E14" s="18"/>
      <c r="F14" s="89"/>
      <c r="G14" s="83">
        <f ca="1">SUMIF(Sprint!$F$3:$F$1861,E14,Sprint!$AX$4:$AX$1861)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196">
        <f t="shared" si="5"/>
        <v>0</v>
      </c>
      <c r="X14" s="197"/>
      <c r="Y14" s="197"/>
      <c r="Z14" s="197"/>
      <c r="AA14" s="197"/>
      <c r="AB14" s="198"/>
    </row>
    <row r="15" spans="2:28" ht="13.5" thickBot="1" x14ac:dyDescent="0.25">
      <c r="B15" s="96"/>
      <c r="D15" s="62"/>
      <c r="E15" s="18"/>
      <c r="F15" s="89"/>
      <c r="G15" s="83">
        <f ca="1">SUMIF(Sprint!$F$3:$F$1861,E15,Sprint!$AX$4:$AX$1861)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196">
        <f t="shared" si="5"/>
        <v>0</v>
      </c>
      <c r="X15" s="197"/>
      <c r="Y15" s="197"/>
      <c r="Z15" s="197"/>
      <c r="AA15" s="197"/>
      <c r="AB15" s="198"/>
    </row>
    <row r="16" spans="2:28" ht="13.5" thickBot="1" x14ac:dyDescent="0.25">
      <c r="B16" s="96"/>
      <c r="D16" s="98"/>
      <c r="E16" s="18"/>
      <c r="F16" s="89"/>
      <c r="G16" s="83">
        <f ca="1">SUMIF(Sprint!$F$3:$F$1861,E16,Sprint!$AX$4:$AX$1861)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196">
        <f t="shared" si="5"/>
        <v>0</v>
      </c>
      <c r="X16" s="197"/>
      <c r="Y16" s="197"/>
      <c r="Z16" s="197"/>
      <c r="AA16" s="197"/>
      <c r="AB16" s="198"/>
    </row>
    <row r="17" spans="2:28" ht="13.5" thickBot="1" x14ac:dyDescent="0.25">
      <c r="B17" s="96"/>
      <c r="D17" s="98"/>
      <c r="E17" s="18"/>
      <c r="F17" s="89"/>
      <c r="G17" s="83">
        <f ca="1">SUMIF(Sprint!$F$3:$F$1861,E17,Sprint!$AX$4:$AX$1861)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196">
        <f t="shared" si="5"/>
        <v>0</v>
      </c>
      <c r="X17" s="197"/>
      <c r="Y17" s="197"/>
      <c r="Z17" s="197"/>
      <c r="AA17" s="197"/>
      <c r="AB17" s="198"/>
    </row>
    <row r="18" spans="2:28" ht="13.5" thickBot="1" x14ac:dyDescent="0.25">
      <c r="B18" s="96"/>
      <c r="D18" s="98"/>
      <c r="E18" s="18"/>
      <c r="F18" s="89"/>
      <c r="G18" s="83">
        <f ca="1">SUMIF(Sprint!$F$3:$F$1861,E18,Sprint!$AX$4:$AX$1861)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196">
        <f t="shared" si="5"/>
        <v>0</v>
      </c>
      <c r="X18" s="197"/>
      <c r="Y18" s="197"/>
      <c r="Z18" s="197"/>
      <c r="AA18" s="197"/>
      <c r="AB18" s="198"/>
    </row>
    <row r="19" spans="2:28" ht="13.5" thickBot="1" x14ac:dyDescent="0.25">
      <c r="B19" s="96"/>
      <c r="D19" s="98"/>
      <c r="E19" s="18"/>
      <c r="F19" s="89"/>
      <c r="G19" s="83">
        <f ca="1">SUMIF(Sprint!$F$3:$F$1861,E19,Sprint!$AX$4:$AX$1861)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6">
        <f t="shared" si="5"/>
        <v>0</v>
      </c>
      <c r="X19" s="197"/>
      <c r="Y19" s="197"/>
      <c r="Z19" s="197"/>
      <c r="AA19" s="197"/>
      <c r="AB19" s="198"/>
    </row>
    <row r="20" spans="2:28" ht="13.5" thickBot="1" x14ac:dyDescent="0.25">
      <c r="B20" s="96"/>
      <c r="D20" s="98"/>
      <c r="E20" s="18"/>
      <c r="F20" s="89"/>
      <c r="G20" s="83">
        <f ca="1">SUMIF(Sprint!$F$3:$F$1861,E20,Sprint!$AX$4:$AX$1861)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6">
        <f t="shared" si="5"/>
        <v>0</v>
      </c>
      <c r="X20" s="197"/>
      <c r="Y20" s="197"/>
      <c r="Z20" s="197"/>
      <c r="AA20" s="197"/>
      <c r="AB20" s="198"/>
    </row>
    <row r="21" spans="2:28" ht="13.5" thickBot="1" x14ac:dyDescent="0.25">
      <c r="B21" s="96"/>
      <c r="C21" s="100"/>
      <c r="D21" s="98"/>
      <c r="E21" s="18"/>
      <c r="F21" s="89"/>
      <c r="G21" s="83">
        <f ca="1">SUMIF(Sprint!$F$3:$F$1861,E21,Sprint!$AX$4:$AX$1861)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6">
        <f t="shared" si="5"/>
        <v>0</v>
      </c>
      <c r="X21" s="197"/>
      <c r="Y21" s="197"/>
      <c r="Z21" s="197"/>
      <c r="AA21" s="197"/>
      <c r="AB21" s="198"/>
    </row>
    <row r="22" spans="2:28" ht="13.5" thickBot="1" x14ac:dyDescent="0.25">
      <c r="B22" s="70"/>
      <c r="C22" s="101"/>
      <c r="D22" s="98"/>
      <c r="E22" s="18"/>
      <c r="F22" s="102"/>
      <c r="G22" s="83">
        <f ca="1">SUMIF(Sprint!$F$3:$F$1861,E22,Sprint!$AX$4:$AX$1861)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6">
        <f t="shared" si="5"/>
        <v>0</v>
      </c>
      <c r="X22" s="197"/>
      <c r="Y22" s="197"/>
      <c r="Z22" s="197"/>
      <c r="AA22" s="197"/>
      <c r="AB22" s="198"/>
    </row>
    <row r="23" spans="2:28" ht="13.5" thickBot="1" x14ac:dyDescent="0.25">
      <c r="B23" s="70"/>
      <c r="D23" s="98"/>
      <c r="E23" s="18"/>
      <c r="F23" s="102"/>
      <c r="G23" s="83">
        <f ca="1">SUMIF(Sprint!$F$3:$F$1861,E23,Sprint!$AX$4:$AX$1861)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6">
        <f t="shared" si="5"/>
        <v>0</v>
      </c>
      <c r="X23" s="197"/>
      <c r="Y23" s="197"/>
      <c r="Z23" s="197"/>
      <c r="AA23" s="197"/>
      <c r="AB23" s="198"/>
    </row>
    <row r="24" spans="2:28" ht="13.5" thickBot="1" x14ac:dyDescent="0.25">
      <c r="B24" s="96"/>
      <c r="D24" s="98"/>
      <c r="E24" s="18"/>
      <c r="F24" s="102"/>
      <c r="G24" s="83">
        <f ca="1">SUMIF(Sprint!$F$3:$F$1861,E24,Sprint!$AX$4:$AX$1861)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6">
        <f t="shared" si="5"/>
        <v>0</v>
      </c>
      <c r="X24" s="197"/>
      <c r="Y24" s="197"/>
      <c r="Z24" s="197"/>
      <c r="AA24" s="197"/>
      <c r="AB24" s="198"/>
    </row>
    <row r="25" spans="2:28" ht="13.5" thickBot="1" x14ac:dyDescent="0.25">
      <c r="B25" s="96"/>
      <c r="D25" s="98"/>
      <c r="E25" s="103"/>
      <c r="F25" s="104"/>
      <c r="G25" s="83">
        <f ca="1">SUMIF(Sprint!$F$3:$F$1861,E25,Sprint!$AX$4:$AX$1861)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6">
        <f t="shared" si="5"/>
        <v>0</v>
      </c>
      <c r="X25" s="197"/>
      <c r="Y25" s="197"/>
      <c r="Z25" s="197"/>
      <c r="AA25" s="197"/>
      <c r="AB25" s="198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A17" sqref="A17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  <c r="C4" s="43" t="s">
        <v>125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118</v>
      </c>
      <c r="D8" s="140" t="s">
        <v>118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119</v>
      </c>
      <c r="D9" s="140" t="s">
        <v>119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120</v>
      </c>
      <c r="D10" s="140" t="s">
        <v>120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121</v>
      </c>
      <c r="D11" s="140" t="s">
        <v>121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122</v>
      </c>
      <c r="D12" s="140" t="s">
        <v>122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176</v>
      </c>
      <c r="D13" s="140" t="s">
        <v>176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123</v>
      </c>
      <c r="D14" s="140" t="s">
        <v>123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124</v>
      </c>
      <c r="D15" s="140" t="s">
        <v>124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A14" sqref="A1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COUNTIF(Sprint!$A$4:$A$99, "Feature")</f>
        <v>1</v>
      </c>
      <c r="C2" s="181">
        <f>B2/$B$6</f>
        <v>1</v>
      </c>
    </row>
    <row r="3" spans="1:3" ht="15" x14ac:dyDescent="0.25">
      <c r="A3" s="174" t="s">
        <v>106</v>
      </c>
      <c r="B3" s="175">
        <f>COUNTIF(Sprint!$A$4:$A$99,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COUNTIF(Sprint!$A$4:$A$99, "Precondition")</f>
        <v>0</v>
      </c>
      <c r="C4" s="181">
        <f t="shared" si="0"/>
        <v>0</v>
      </c>
    </row>
    <row r="5" spans="1:3" ht="15" x14ac:dyDescent="0.25">
      <c r="A5" s="174" t="s">
        <v>108</v>
      </c>
      <c r="B5" s="175">
        <f>COUNTIF(Sprint!$A$4:$A$99, "Spike")</f>
        <v>0</v>
      </c>
      <c r="C5" s="181">
        <f t="shared" si="0"/>
        <v>0</v>
      </c>
    </row>
    <row r="6" spans="1:3" ht="15" x14ac:dyDescent="0.25">
      <c r="A6" s="176" t="s">
        <v>112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126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127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128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129</v>
      </c>
      <c r="B12" s="175">
        <f>COUNTIF(Sprint!$B$4:$B$216, "Data Conversions")</f>
        <v>0</v>
      </c>
      <c r="C12" s="181" t="e">
        <f>B12/$B$25</f>
        <v>#DIV/0!</v>
      </c>
    </row>
    <row r="13" spans="1:3" ht="15" x14ac:dyDescent="0.25">
      <c r="A13" s="174" t="s">
        <v>190</v>
      </c>
      <c r="B13" s="175">
        <f>COUNTIF(Sprint!$B$4:$B$216, "Security")</f>
        <v>0</v>
      </c>
      <c r="C13" s="181" t="e">
        <f t="shared" ref="C13:C24" si="1">B13/$B$25</f>
        <v>#DIV/0!</v>
      </c>
    </row>
    <row r="14" spans="1:3" ht="15" x14ac:dyDescent="0.25">
      <c r="A14" s="174" t="s">
        <v>130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130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130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130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 t="s">
        <v>130</v>
      </c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 t="s">
        <v>130</v>
      </c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 t="s">
        <v>130</v>
      </c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 t="s">
        <v>130</v>
      </c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 t="s">
        <v>130</v>
      </c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 t="s">
        <v>130</v>
      </c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 t="s">
        <v>130</v>
      </c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112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111</v>
      </c>
    </row>
    <row r="28" spans="1:3" ht="15" x14ac:dyDescent="0.25">
      <c r="A28" s="174" t="s">
        <v>113</v>
      </c>
      <c r="B28" s="175">
        <f ca="1">COUNTIF(Sprint!$G$4:$G$99, "Complete")</f>
        <v>1</v>
      </c>
      <c r="C28" s="181">
        <f ca="1">B28/$B$33</f>
        <v>1.5384615384615385E-2</v>
      </c>
    </row>
    <row r="29" spans="1:3" ht="15" x14ac:dyDescent="0.25">
      <c r="A29" s="174" t="s">
        <v>114</v>
      </c>
      <c r="B29" s="175">
        <f ca="1">COUNTIF(Sprint!$G$4:$G$99,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115</v>
      </c>
      <c r="B30" s="175">
        <f ca="1">COUNTIF(Sprint!$G$4:$G$99, "Pending")</f>
        <v>64</v>
      </c>
      <c r="C30" s="181">
        <f t="shared" ca="1" si="2"/>
        <v>0.98461538461538467</v>
      </c>
    </row>
    <row r="31" spans="1:3" ht="15" x14ac:dyDescent="0.25">
      <c r="A31" s="174" t="s">
        <v>110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116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112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>
      <selection activeCell="B5" sqref="B5"/>
    </sheetView>
  </sheetViews>
  <sheetFormatPr defaultRowHeight="12.75" x14ac:dyDescent="0.2"/>
  <cols>
    <col min="1" max="1" width="4.5703125" bestFit="1" customWidth="1"/>
    <col min="2" max="2" width="88.28515625" customWidth="1"/>
  </cols>
  <sheetData>
    <row r="1" spans="1:2" x14ac:dyDescent="0.2">
      <c r="B1" s="188" t="s">
        <v>163</v>
      </c>
    </row>
    <row r="2" spans="1:2" x14ac:dyDescent="0.2">
      <c r="A2" s="187" t="s">
        <v>131</v>
      </c>
      <c r="B2" t="s">
        <v>132</v>
      </c>
    </row>
    <row r="3" spans="1:2" x14ac:dyDescent="0.2">
      <c r="A3">
        <v>1</v>
      </c>
      <c r="B3" t="s">
        <v>133</v>
      </c>
    </row>
    <row r="4" spans="1:2" x14ac:dyDescent="0.2">
      <c r="A4">
        <v>2</v>
      </c>
      <c r="B4" t="s">
        <v>134</v>
      </c>
    </row>
    <row r="5" spans="1:2" x14ac:dyDescent="0.2">
      <c r="A5">
        <v>3</v>
      </c>
      <c r="B5" t="s">
        <v>135</v>
      </c>
    </row>
    <row r="6" spans="1:2" x14ac:dyDescent="0.2">
      <c r="A6">
        <v>4</v>
      </c>
      <c r="B6" t="s">
        <v>136</v>
      </c>
    </row>
    <row r="7" spans="1:2" x14ac:dyDescent="0.2">
      <c r="A7">
        <v>5</v>
      </c>
      <c r="B7" t="s">
        <v>139</v>
      </c>
    </row>
    <row r="8" spans="1:2" x14ac:dyDescent="0.2">
      <c r="A8">
        <v>6</v>
      </c>
      <c r="B8" t="s">
        <v>137</v>
      </c>
    </row>
    <row r="9" spans="1:2" x14ac:dyDescent="0.2">
      <c r="A9">
        <v>7</v>
      </c>
      <c r="B9" t="s">
        <v>138</v>
      </c>
    </row>
    <row r="11" spans="1:2" x14ac:dyDescent="0.2">
      <c r="B11" s="188" t="s">
        <v>140</v>
      </c>
    </row>
    <row r="12" spans="1:2" x14ac:dyDescent="0.2">
      <c r="A12" t="s">
        <v>141</v>
      </c>
      <c r="B12" t="s">
        <v>142</v>
      </c>
    </row>
    <row r="13" spans="1:2" x14ac:dyDescent="0.2">
      <c r="A13" t="s">
        <v>143</v>
      </c>
      <c r="B13" t="s">
        <v>144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sqref="A1:A9"/>
    </sheetView>
  </sheetViews>
  <sheetFormatPr defaultRowHeight="12.75" x14ac:dyDescent="0.2"/>
  <cols>
    <col min="1" max="1" width="21.85546875" customWidth="1"/>
    <col min="2" max="2" width="11.7109375" customWidth="1"/>
  </cols>
  <sheetData>
    <row r="1" spans="1:7" ht="13.5" thickBot="1" x14ac:dyDescent="0.25">
      <c r="A1" t="s">
        <v>151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ht="15.75" thickBot="1" x14ac:dyDescent="0.25">
      <c r="A2" s="189" t="s">
        <v>145</v>
      </c>
    </row>
    <row r="3" spans="1:7" ht="15.75" thickBot="1" x14ac:dyDescent="0.25">
      <c r="A3" s="190" t="s">
        <v>119</v>
      </c>
    </row>
    <row r="4" spans="1:7" ht="15.75" thickBot="1" x14ac:dyDescent="0.25">
      <c r="A4" s="190" t="s">
        <v>120</v>
      </c>
    </row>
    <row r="5" spans="1:7" ht="15.75" thickBot="1" x14ac:dyDescent="0.25">
      <c r="A5" s="190" t="s">
        <v>146</v>
      </c>
    </row>
    <row r="6" spans="1:7" ht="15.75" thickBot="1" x14ac:dyDescent="0.25">
      <c r="A6" s="190" t="s">
        <v>147</v>
      </c>
    </row>
    <row r="7" spans="1:7" ht="15.75" thickBot="1" x14ac:dyDescent="0.25">
      <c r="A7" s="190" t="s">
        <v>148</v>
      </c>
    </row>
    <row r="8" spans="1:7" ht="15.75" thickBot="1" x14ac:dyDescent="0.25">
      <c r="A8" s="190" t="s">
        <v>149</v>
      </c>
    </row>
    <row r="9" spans="1:7" ht="15.75" thickBot="1" x14ac:dyDescent="0.25">
      <c r="A9" s="190" t="s">
        <v>150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29</vt:i4>
      </vt:variant>
    </vt:vector>
  </HeadingPairs>
  <TitlesOfParts>
    <vt:vector size="36" baseType="lpstr">
      <vt:lpstr>Sprint</vt:lpstr>
      <vt:lpstr>Analysis</vt:lpstr>
      <vt:lpstr>Capacity</vt:lpstr>
      <vt:lpstr>Team Roster</vt:lpstr>
      <vt:lpstr>Project Specific Reports</vt:lpstr>
      <vt:lpstr>Product Backlog</vt:lpstr>
      <vt:lpstr>planning poker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Vinicius</cp:lastModifiedBy>
  <cp:revision>1</cp:revision>
  <cp:lastPrinted>2005-08-15T09:18:22Z</cp:lastPrinted>
  <dcterms:created xsi:type="dcterms:W3CDTF">2005-01-26T21:50:47Z</dcterms:created>
  <dcterms:modified xsi:type="dcterms:W3CDTF">2011-11-22T17:59:49Z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