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3820"/>
  <bookViews>
    <workbookView xWindow="15" yWindow="45" windowWidth="14640" windowHeight="9495" tabRatio="620"/>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Sprint!$C$3:$CE$73</definedName>
    <definedName name="_xlnm.Print_Area" localSheetId="2">Capacity!$A$4:$AB$33</definedName>
    <definedName name="Burndown" localSheetId="1">Sprint!$J$4:$CD$74</definedName>
    <definedName name="Burndown">Sprint!$J$4:$CD$74</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Sprint!$CE$4:$CE$74</definedName>
    <definedName name="TotalEffort">Sprint!$CE$4:$CE$74</definedName>
    <definedName name="Worktype">'Project Specific Reports'!$A$2:$A$5</definedName>
  </definedNames>
  <calcPr calcId="125725"/>
</workbook>
</file>

<file path=xl/calcChain.xml><?xml version="1.0" encoding="utf-8"?>
<calcChain xmlns="http://schemas.openxmlformats.org/spreadsheetml/2006/main">
  <c r="BA34" i="7"/>
  <c r="BD34" s="1"/>
  <c r="BG34" s="1"/>
  <c r="BJ34" s="1"/>
  <c r="BM34" s="1"/>
  <c r="BP34" s="1"/>
  <c r="BS34" s="1"/>
  <c r="BV34" s="1"/>
  <c r="BY34" s="1"/>
  <c r="L34"/>
  <c r="K34"/>
  <c r="N34" s="1"/>
  <c r="Q34" s="1"/>
  <c r="T34" s="1"/>
  <c r="W34" s="1"/>
  <c r="Z34" s="1"/>
  <c r="AC34" s="1"/>
  <c r="AF34" s="1"/>
  <c r="AI34" s="1"/>
  <c r="AL34" s="1"/>
  <c r="AO34" s="1"/>
  <c r="AR34" s="1"/>
  <c r="AU34" s="1"/>
  <c r="AX34" s="1"/>
  <c r="BA33"/>
  <c r="BD33" s="1"/>
  <c r="BG33" s="1"/>
  <c r="BJ33" s="1"/>
  <c r="BM33" s="1"/>
  <c r="BP33" s="1"/>
  <c r="BS33" s="1"/>
  <c r="BV33" s="1"/>
  <c r="BY33" s="1"/>
  <c r="K33"/>
  <c r="BA32"/>
  <c r="BD32" s="1"/>
  <c r="BG32" s="1"/>
  <c r="BJ32" s="1"/>
  <c r="BM32" s="1"/>
  <c r="BP32" s="1"/>
  <c r="BS32" s="1"/>
  <c r="BV32" s="1"/>
  <c r="BY32" s="1"/>
  <c r="L32"/>
  <c r="K32"/>
  <c r="N32" s="1"/>
  <c r="Q32" s="1"/>
  <c r="T32" s="1"/>
  <c r="W32" s="1"/>
  <c r="Z32" s="1"/>
  <c r="AC32" s="1"/>
  <c r="AF32" s="1"/>
  <c r="AI32" s="1"/>
  <c r="AL32" s="1"/>
  <c r="AO32" s="1"/>
  <c r="AR32" s="1"/>
  <c r="AU32" s="1"/>
  <c r="AX32" s="1"/>
  <c r="BA31"/>
  <c r="BD31" s="1"/>
  <c r="BG31" s="1"/>
  <c r="BJ31" s="1"/>
  <c r="BM31" s="1"/>
  <c r="BP31" s="1"/>
  <c r="BS31" s="1"/>
  <c r="BV31" s="1"/>
  <c r="BY31" s="1"/>
  <c r="K31"/>
  <c r="BA39"/>
  <c r="BD39" s="1"/>
  <c r="BG39" s="1"/>
  <c r="BJ39" s="1"/>
  <c r="BM39" s="1"/>
  <c r="BP39" s="1"/>
  <c r="BS39" s="1"/>
  <c r="BV39" s="1"/>
  <c r="BY39" s="1"/>
  <c r="L39"/>
  <c r="K39"/>
  <c r="N39" s="1"/>
  <c r="Q39" s="1"/>
  <c r="T39" s="1"/>
  <c r="W39" s="1"/>
  <c r="Z39" s="1"/>
  <c r="AC39" s="1"/>
  <c r="AF39" s="1"/>
  <c r="AI39" s="1"/>
  <c r="AL39" s="1"/>
  <c r="AO39" s="1"/>
  <c r="AR39" s="1"/>
  <c r="AU39" s="1"/>
  <c r="AX39" s="1"/>
  <c r="BA38"/>
  <c r="BD38" s="1"/>
  <c r="BG38" s="1"/>
  <c r="BJ38" s="1"/>
  <c r="BM38" s="1"/>
  <c r="BP38" s="1"/>
  <c r="BS38" s="1"/>
  <c r="BV38" s="1"/>
  <c r="BY38" s="1"/>
  <c r="K38"/>
  <c r="BA37"/>
  <c r="BD37" s="1"/>
  <c r="BG37" s="1"/>
  <c r="BJ37" s="1"/>
  <c r="BM37" s="1"/>
  <c r="BP37" s="1"/>
  <c r="BS37" s="1"/>
  <c r="BV37" s="1"/>
  <c r="BY37" s="1"/>
  <c r="L37"/>
  <c r="K37"/>
  <c r="N37" s="1"/>
  <c r="Q37" s="1"/>
  <c r="T37" s="1"/>
  <c r="W37" s="1"/>
  <c r="Z37" s="1"/>
  <c r="AC37" s="1"/>
  <c r="AF37" s="1"/>
  <c r="AI37" s="1"/>
  <c r="AL37" s="1"/>
  <c r="AO37" s="1"/>
  <c r="AR37" s="1"/>
  <c r="AU37" s="1"/>
  <c r="AX37" s="1"/>
  <c r="BA36"/>
  <c r="BD36" s="1"/>
  <c r="BG36" s="1"/>
  <c r="BJ36" s="1"/>
  <c r="BM36" s="1"/>
  <c r="BP36" s="1"/>
  <c r="BS36" s="1"/>
  <c r="BV36" s="1"/>
  <c r="BY36" s="1"/>
  <c r="L36"/>
  <c r="K36"/>
  <c r="BA41"/>
  <c r="BD41" s="1"/>
  <c r="BG41" s="1"/>
  <c r="BJ41" s="1"/>
  <c r="BM41" s="1"/>
  <c r="BP41" s="1"/>
  <c r="BS41" s="1"/>
  <c r="BV41" s="1"/>
  <c r="BY41" s="1"/>
  <c r="CB41" s="1"/>
  <c r="L41"/>
  <c r="K41"/>
  <c r="BA40"/>
  <c r="BD40" s="1"/>
  <c r="BG40" s="1"/>
  <c r="BJ40" s="1"/>
  <c r="BM40" s="1"/>
  <c r="BP40" s="1"/>
  <c r="BS40" s="1"/>
  <c r="BV40" s="1"/>
  <c r="BY40" s="1"/>
  <c r="CB40" s="1"/>
  <c r="L40"/>
  <c r="K40"/>
  <c r="BA42"/>
  <c r="BD42" s="1"/>
  <c r="BG42" s="1"/>
  <c r="BJ42" s="1"/>
  <c r="BM42" s="1"/>
  <c r="BP42" s="1"/>
  <c r="BS42" s="1"/>
  <c r="BV42" s="1"/>
  <c r="BY42" s="1"/>
  <c r="CB42" s="1"/>
  <c r="L42"/>
  <c r="K42"/>
  <c r="G1"/>
  <c r="N31" l="1"/>
  <c r="Q31" s="1"/>
  <c r="T31" s="1"/>
  <c r="W31" s="1"/>
  <c r="Z31" s="1"/>
  <c r="AC31" s="1"/>
  <c r="AF31" s="1"/>
  <c r="AI31" s="1"/>
  <c r="AL31" s="1"/>
  <c r="AO31" s="1"/>
  <c r="AR31" s="1"/>
  <c r="AU31" s="1"/>
  <c r="AX31" s="1"/>
  <c r="O32"/>
  <c r="N33"/>
  <c r="Q33" s="1"/>
  <c r="T33" s="1"/>
  <c r="W33" s="1"/>
  <c r="Z33" s="1"/>
  <c r="AC33" s="1"/>
  <c r="AF33" s="1"/>
  <c r="AI33" s="1"/>
  <c r="AL33" s="1"/>
  <c r="AO33" s="1"/>
  <c r="AR33" s="1"/>
  <c r="AU33" s="1"/>
  <c r="AX33" s="1"/>
  <c r="O34"/>
  <c r="L31"/>
  <c r="O31"/>
  <c r="R31" s="1"/>
  <c r="L33"/>
  <c r="O33"/>
  <c r="R33" s="1"/>
  <c r="N36"/>
  <c r="Q36" s="1"/>
  <c r="T36" s="1"/>
  <c r="W36" s="1"/>
  <c r="Z36" s="1"/>
  <c r="AC36" s="1"/>
  <c r="AF36" s="1"/>
  <c r="AI36" s="1"/>
  <c r="AL36" s="1"/>
  <c r="AO36" s="1"/>
  <c r="AR36" s="1"/>
  <c r="AU36" s="1"/>
  <c r="AX36" s="1"/>
  <c r="O37"/>
  <c r="N38"/>
  <c r="Q38" s="1"/>
  <c r="T38" s="1"/>
  <c r="W38" s="1"/>
  <c r="Z38" s="1"/>
  <c r="AC38" s="1"/>
  <c r="AF38" s="1"/>
  <c r="AI38" s="1"/>
  <c r="AL38" s="1"/>
  <c r="AO38" s="1"/>
  <c r="AR38" s="1"/>
  <c r="AU38" s="1"/>
  <c r="AX38" s="1"/>
  <c r="O39"/>
  <c r="O36"/>
  <c r="R36"/>
  <c r="U36" s="1"/>
  <c r="L38"/>
  <c r="N41"/>
  <c r="Q41" s="1"/>
  <c r="T41" s="1"/>
  <c r="W41" s="1"/>
  <c r="Z41" s="1"/>
  <c r="AC41" s="1"/>
  <c r="AF41" s="1"/>
  <c r="AI41" s="1"/>
  <c r="AL41" s="1"/>
  <c r="AO41" s="1"/>
  <c r="AR41" s="1"/>
  <c r="AU41" s="1"/>
  <c r="AX41" s="1"/>
  <c r="N40"/>
  <c r="Q40" s="1"/>
  <c r="T40" s="1"/>
  <c r="W40" s="1"/>
  <c r="Z40" s="1"/>
  <c r="AC40" s="1"/>
  <c r="AF40" s="1"/>
  <c r="AI40" s="1"/>
  <c r="AL40" s="1"/>
  <c r="AO40" s="1"/>
  <c r="AR40" s="1"/>
  <c r="AU40" s="1"/>
  <c r="AX40" s="1"/>
  <c r="N42"/>
  <c r="Q42" s="1"/>
  <c r="T42" s="1"/>
  <c r="W42" s="1"/>
  <c r="Z42" s="1"/>
  <c r="AC42" s="1"/>
  <c r="AF42" s="1"/>
  <c r="AI42" s="1"/>
  <c r="AL42" s="1"/>
  <c r="AO42" s="1"/>
  <c r="AR42" s="1"/>
  <c r="AU42" s="1"/>
  <c r="AX42" s="1"/>
  <c r="B6" i="13"/>
  <c r="U33" i="7" l="1"/>
  <c r="AA33" s="1"/>
  <c r="U31"/>
  <c r="X33"/>
  <c r="X31"/>
  <c r="R34"/>
  <c r="R32"/>
  <c r="X36"/>
  <c r="AD36" s="1"/>
  <c r="O38"/>
  <c r="AA36"/>
  <c r="R39"/>
  <c r="R37"/>
  <c r="O41"/>
  <c r="O40"/>
  <c r="O42"/>
  <c r="BA29"/>
  <c r="BD29" s="1"/>
  <c r="BG29" s="1"/>
  <c r="BJ29" s="1"/>
  <c r="BM29" s="1"/>
  <c r="BP29" s="1"/>
  <c r="BS29" s="1"/>
  <c r="BV29" s="1"/>
  <c r="BY29" s="1"/>
  <c r="CB29" s="1"/>
  <c r="K29"/>
  <c r="L29" s="1"/>
  <c r="AA31" l="1"/>
  <c r="U34"/>
  <c r="U32"/>
  <c r="X34"/>
  <c r="AD33"/>
  <c r="AG36"/>
  <c r="AP36" s="1"/>
  <c r="AJ36"/>
  <c r="U37"/>
  <c r="X37" s="1"/>
  <c r="U39"/>
  <c r="R38"/>
  <c r="AM36"/>
  <c r="G36" s="1"/>
  <c r="R41"/>
  <c r="R40"/>
  <c r="R42"/>
  <c r="N29"/>
  <c r="Q29" s="1"/>
  <c r="T29" s="1"/>
  <c r="W29" s="1"/>
  <c r="Z29" s="1"/>
  <c r="AC29" s="1"/>
  <c r="AF29" s="1"/>
  <c r="AI29" s="1"/>
  <c r="AL29" s="1"/>
  <c r="AO29" s="1"/>
  <c r="AR29" s="1"/>
  <c r="AU29" s="1"/>
  <c r="AX29" s="1"/>
  <c r="BA28"/>
  <c r="BD28" s="1"/>
  <c r="BG28" s="1"/>
  <c r="BJ28" s="1"/>
  <c r="BM28" s="1"/>
  <c r="BP28" s="1"/>
  <c r="BS28" s="1"/>
  <c r="BV28" s="1"/>
  <c r="BY28" s="1"/>
  <c r="CB28" s="1"/>
  <c r="K28"/>
  <c r="L28" s="1"/>
  <c r="BA27"/>
  <c r="BD27" s="1"/>
  <c r="BG27" s="1"/>
  <c r="BJ27" s="1"/>
  <c r="BM27" s="1"/>
  <c r="BP27" s="1"/>
  <c r="BS27" s="1"/>
  <c r="BV27" s="1"/>
  <c r="BY27" s="1"/>
  <c r="CB27" s="1"/>
  <c r="K27"/>
  <c r="L27" s="1"/>
  <c r="X32" l="1"/>
  <c r="AD31"/>
  <c r="AA34"/>
  <c r="AG33"/>
  <c r="AD34"/>
  <c r="AA32"/>
  <c r="AJ33"/>
  <c r="AG31"/>
  <c r="AA37"/>
  <c r="U38"/>
  <c r="AS36"/>
  <c r="X39"/>
  <c r="U41"/>
  <c r="U40"/>
  <c r="U42"/>
  <c r="O29"/>
  <c r="N28"/>
  <c r="Q28" s="1"/>
  <c r="T28" s="1"/>
  <c r="W28" s="1"/>
  <c r="Z28" s="1"/>
  <c r="AC28" s="1"/>
  <c r="AF28" s="1"/>
  <c r="AI28" s="1"/>
  <c r="AL28" s="1"/>
  <c r="AO28" s="1"/>
  <c r="AR28" s="1"/>
  <c r="AU28" s="1"/>
  <c r="AX28" s="1"/>
  <c r="N27"/>
  <c r="Q27" s="1"/>
  <c r="T27" s="1"/>
  <c r="W27" s="1"/>
  <c r="Z27" s="1"/>
  <c r="AC27" s="1"/>
  <c r="AF27" s="1"/>
  <c r="AI27" s="1"/>
  <c r="AL27" s="1"/>
  <c r="AO27" s="1"/>
  <c r="AR27" s="1"/>
  <c r="AU27" s="1"/>
  <c r="AX27" s="1"/>
  <c r="B40" i="13"/>
  <c r="B5"/>
  <c r="B39"/>
  <c r="B10" s="1"/>
  <c r="B41" s="1"/>
  <c r="AM33" i="7" l="1"/>
  <c r="G33" s="1"/>
  <c r="AP33"/>
  <c r="AJ31"/>
  <c r="AS33"/>
  <c r="AV33"/>
  <c r="AD32"/>
  <c r="AM31"/>
  <c r="G31" s="1"/>
  <c r="AP31"/>
  <c r="AG34"/>
  <c r="AD39"/>
  <c r="AG39" s="1"/>
  <c r="AA39"/>
  <c r="AV36"/>
  <c r="X38"/>
  <c r="AY36"/>
  <c r="BB36" s="1"/>
  <c r="BE36" s="1"/>
  <c r="BH36" s="1"/>
  <c r="AD37"/>
  <c r="AG37"/>
  <c r="X41"/>
  <c r="X40"/>
  <c r="X42"/>
  <c r="AA42"/>
  <c r="R29"/>
  <c r="O28"/>
  <c r="O27"/>
  <c r="B42" i="13"/>
  <c r="C39"/>
  <c r="D39" s="1"/>
  <c r="B7"/>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C10"/>
  <c r="C41" s="1"/>
  <c r="BA22" i="7"/>
  <c r="BD22" s="1"/>
  <c r="BG22" s="1"/>
  <c r="BJ22" s="1"/>
  <c r="BM22" s="1"/>
  <c r="BP22" s="1"/>
  <c r="BS22" s="1"/>
  <c r="BV22" s="1"/>
  <c r="BY22" s="1"/>
  <c r="CB22" s="1"/>
  <c r="K22"/>
  <c r="L22" s="1"/>
  <c r="BA21"/>
  <c r="BD21" s="1"/>
  <c r="BG21" s="1"/>
  <c r="BJ21" s="1"/>
  <c r="BM21" s="1"/>
  <c r="BP21" s="1"/>
  <c r="BS21" s="1"/>
  <c r="BV21" s="1"/>
  <c r="BY21" s="1"/>
  <c r="CB21" s="1"/>
  <c r="K21"/>
  <c r="L21" s="1"/>
  <c r="BA14"/>
  <c r="BD14" s="1"/>
  <c r="BG14" s="1"/>
  <c r="BJ14" s="1"/>
  <c r="BM14" s="1"/>
  <c r="BP14" s="1"/>
  <c r="BS14" s="1"/>
  <c r="BV14" s="1"/>
  <c r="BY14" s="1"/>
  <c r="CB14" s="1"/>
  <c r="K14"/>
  <c r="L14" s="1"/>
  <c r="BA15"/>
  <c r="BD15" s="1"/>
  <c r="BG15" s="1"/>
  <c r="BJ15" s="1"/>
  <c r="BM15" s="1"/>
  <c r="BP15" s="1"/>
  <c r="BS15" s="1"/>
  <c r="BV15" s="1"/>
  <c r="BY15" s="1"/>
  <c r="CB15" s="1"/>
  <c r="K15"/>
  <c r="L15" s="1"/>
  <c r="BA13"/>
  <c r="BD13" s="1"/>
  <c r="BG13" s="1"/>
  <c r="BJ13" s="1"/>
  <c r="BM13" s="1"/>
  <c r="BP13" s="1"/>
  <c r="BS13" s="1"/>
  <c r="BV13" s="1"/>
  <c r="BY13" s="1"/>
  <c r="CB13" s="1"/>
  <c r="K13"/>
  <c r="L13" s="1"/>
  <c r="AJ34" l="1"/>
  <c r="AG32"/>
  <c r="AM34"/>
  <c r="AS31"/>
  <c r="AY33"/>
  <c r="BB33" s="1"/>
  <c r="BE33" s="1"/>
  <c r="BH33" s="1"/>
  <c r="AV31"/>
  <c r="AY31" s="1"/>
  <c r="BB31" s="1"/>
  <c r="BE31" s="1"/>
  <c r="BH31" s="1"/>
  <c r="BK31" s="1"/>
  <c r="BN31" s="1"/>
  <c r="BQ31" s="1"/>
  <c r="BT31" s="1"/>
  <c r="BW31" s="1"/>
  <c r="BZ31" s="1"/>
  <c r="BK33"/>
  <c r="BN33" s="1"/>
  <c r="BQ33" s="1"/>
  <c r="BT33" s="1"/>
  <c r="BW33" s="1"/>
  <c r="BZ33" s="1"/>
  <c r="AJ39"/>
  <c r="BK36"/>
  <c r="BN36" s="1"/>
  <c r="BQ36" s="1"/>
  <c r="BT36"/>
  <c r="BW36" s="1"/>
  <c r="BZ36" s="1"/>
  <c r="AJ37"/>
  <c r="AA38"/>
  <c r="AP39"/>
  <c r="AM39"/>
  <c r="G39" s="1"/>
  <c r="AA41"/>
  <c r="AA40"/>
  <c r="AD42"/>
  <c r="U29"/>
  <c r="R28"/>
  <c r="R27"/>
  <c r="C42" i="13"/>
  <c r="D10"/>
  <c r="D41" s="1"/>
  <c r="E39"/>
  <c r="N22" i="7"/>
  <c r="Q22" s="1"/>
  <c r="T22" s="1"/>
  <c r="W22" s="1"/>
  <c r="Z22" s="1"/>
  <c r="AC22" s="1"/>
  <c r="AF22" s="1"/>
  <c r="AI22" s="1"/>
  <c r="AL22" s="1"/>
  <c r="AO22" s="1"/>
  <c r="AR22" s="1"/>
  <c r="AU22" s="1"/>
  <c r="AX22" s="1"/>
  <c r="N21"/>
  <c r="Q21" s="1"/>
  <c r="T21" s="1"/>
  <c r="W21" s="1"/>
  <c r="Z21" s="1"/>
  <c r="AC21" s="1"/>
  <c r="AF21" s="1"/>
  <c r="AI21" s="1"/>
  <c r="AL21" s="1"/>
  <c r="AO21" s="1"/>
  <c r="AR21" s="1"/>
  <c r="AU21" s="1"/>
  <c r="AX21" s="1"/>
  <c r="N14"/>
  <c r="Q14" s="1"/>
  <c r="T14" s="1"/>
  <c r="W14" s="1"/>
  <c r="Z14" s="1"/>
  <c r="AC14" s="1"/>
  <c r="AF14" s="1"/>
  <c r="AI14" s="1"/>
  <c r="AL14" s="1"/>
  <c r="AO14" s="1"/>
  <c r="AR14" s="1"/>
  <c r="AU14" s="1"/>
  <c r="AX14" s="1"/>
  <c r="N15"/>
  <c r="Q15" s="1"/>
  <c r="T15" s="1"/>
  <c r="W15" s="1"/>
  <c r="Z15" s="1"/>
  <c r="AC15" s="1"/>
  <c r="AF15" s="1"/>
  <c r="AI15" s="1"/>
  <c r="AL15" s="1"/>
  <c r="AO15" s="1"/>
  <c r="AR15" s="1"/>
  <c r="AU15" s="1"/>
  <c r="AX15" s="1"/>
  <c r="N13"/>
  <c r="Q13" s="1"/>
  <c r="T13" s="1"/>
  <c r="W13" s="1"/>
  <c r="Z13" s="1"/>
  <c r="AC13" s="1"/>
  <c r="AF13" s="1"/>
  <c r="AI13" s="1"/>
  <c r="AL13" s="1"/>
  <c r="AO13" s="1"/>
  <c r="AR13" s="1"/>
  <c r="AU13" s="1"/>
  <c r="AX13" s="1"/>
  <c r="BA26"/>
  <c r="BD26" s="1"/>
  <c r="BG26" s="1"/>
  <c r="BJ26" s="1"/>
  <c r="BM26" s="1"/>
  <c r="BP26" s="1"/>
  <c r="BS26" s="1"/>
  <c r="BV26" s="1"/>
  <c r="BY26" s="1"/>
  <c r="CB26" s="1"/>
  <c r="K26"/>
  <c r="BA19"/>
  <c r="BD19" s="1"/>
  <c r="BG19" s="1"/>
  <c r="BJ19" s="1"/>
  <c r="BM19" s="1"/>
  <c r="BP19" s="1"/>
  <c r="BS19" s="1"/>
  <c r="BV19" s="1"/>
  <c r="BY19" s="1"/>
  <c r="CB19" s="1"/>
  <c r="K19"/>
  <c r="L19" s="1"/>
  <c r="G34" l="1"/>
  <c r="AP34"/>
  <c r="AJ32"/>
  <c r="AV34"/>
  <c r="AY34" s="1"/>
  <c r="BB34" s="1"/>
  <c r="AS34"/>
  <c r="BH34"/>
  <c r="BK34" s="1"/>
  <c r="BN34" s="1"/>
  <c r="BQ34" s="1"/>
  <c r="BE34"/>
  <c r="BT34"/>
  <c r="BW34" s="1"/>
  <c r="BZ34" s="1"/>
  <c r="AS39"/>
  <c r="AD38"/>
  <c r="AM37"/>
  <c r="AD41"/>
  <c r="AJ41" s="1"/>
  <c r="AM41" s="1"/>
  <c r="AG41"/>
  <c r="AD40"/>
  <c r="AG42"/>
  <c r="X29"/>
  <c r="U28"/>
  <c r="X28" s="1"/>
  <c r="AA28" s="1"/>
  <c r="U27"/>
  <c r="D42" i="13"/>
  <c r="E10"/>
  <c r="E41" s="1"/>
  <c r="F39"/>
  <c r="O22" i="7"/>
  <c r="O21"/>
  <c r="O14"/>
  <c r="O15"/>
  <c r="O13"/>
  <c r="N26"/>
  <c r="Q26" s="1"/>
  <c r="T26" s="1"/>
  <c r="W26" s="1"/>
  <c r="Z26" s="1"/>
  <c r="AC26" s="1"/>
  <c r="AF26" s="1"/>
  <c r="AI26" s="1"/>
  <c r="AL26" s="1"/>
  <c r="AO26" s="1"/>
  <c r="AR26" s="1"/>
  <c r="AU26" s="1"/>
  <c r="AX26" s="1"/>
  <c r="L26"/>
  <c r="N19"/>
  <c r="Q19" s="1"/>
  <c r="T19" s="1"/>
  <c r="W19" s="1"/>
  <c r="Z19" s="1"/>
  <c r="AC19" s="1"/>
  <c r="AF19" s="1"/>
  <c r="AI19" s="1"/>
  <c r="AL19" s="1"/>
  <c r="AO19" s="1"/>
  <c r="AR19" s="1"/>
  <c r="AU19" s="1"/>
  <c r="AX19" s="1"/>
  <c r="B13" i="9"/>
  <c r="B14"/>
  <c r="B15"/>
  <c r="B16"/>
  <c r="B17"/>
  <c r="B18"/>
  <c r="B19"/>
  <c r="B20"/>
  <c r="B21"/>
  <c r="B22"/>
  <c r="B23"/>
  <c r="B24"/>
  <c r="E2" i="6"/>
  <c r="BA72" i="7"/>
  <c r="BD72" s="1"/>
  <c r="BG72" s="1"/>
  <c r="BJ72" s="1"/>
  <c r="BM72" s="1"/>
  <c r="BP72" s="1"/>
  <c r="BS72" s="1"/>
  <c r="BV72" s="1"/>
  <c r="BY72" s="1"/>
  <c r="CB72" s="1"/>
  <c r="K72"/>
  <c r="L72" s="1"/>
  <c r="BA71"/>
  <c r="BD71" s="1"/>
  <c r="BG71" s="1"/>
  <c r="BJ71" s="1"/>
  <c r="BM71" s="1"/>
  <c r="BP71" s="1"/>
  <c r="BS71" s="1"/>
  <c r="BV71" s="1"/>
  <c r="BY71" s="1"/>
  <c r="CB71" s="1"/>
  <c r="K71"/>
  <c r="L71" s="1"/>
  <c r="BA70"/>
  <c r="BD70" s="1"/>
  <c r="BG70" s="1"/>
  <c r="BJ70" s="1"/>
  <c r="BM70" s="1"/>
  <c r="BP70" s="1"/>
  <c r="BS70" s="1"/>
  <c r="BV70" s="1"/>
  <c r="BY70" s="1"/>
  <c r="CB70" s="1"/>
  <c r="K70"/>
  <c r="L70" s="1"/>
  <c r="BA69"/>
  <c r="BD69" s="1"/>
  <c r="BG69" s="1"/>
  <c r="BJ69" s="1"/>
  <c r="BM69" s="1"/>
  <c r="BP69" s="1"/>
  <c r="BS69" s="1"/>
  <c r="BV69" s="1"/>
  <c r="BY69" s="1"/>
  <c r="CB69" s="1"/>
  <c r="K69"/>
  <c r="L69" s="1"/>
  <c r="BA68"/>
  <c r="BD68" s="1"/>
  <c r="BG68" s="1"/>
  <c r="BJ68" s="1"/>
  <c r="BM68" s="1"/>
  <c r="BP68" s="1"/>
  <c r="BS68" s="1"/>
  <c r="BV68" s="1"/>
  <c r="BY68" s="1"/>
  <c r="CB68" s="1"/>
  <c r="K68"/>
  <c r="L68" s="1"/>
  <c r="BA67"/>
  <c r="BD67" s="1"/>
  <c r="BG67" s="1"/>
  <c r="BJ67" s="1"/>
  <c r="BM67" s="1"/>
  <c r="BP67" s="1"/>
  <c r="BS67" s="1"/>
  <c r="BV67" s="1"/>
  <c r="BY67" s="1"/>
  <c r="CB67" s="1"/>
  <c r="K67"/>
  <c r="L67" s="1"/>
  <c r="BA66"/>
  <c r="BD66" s="1"/>
  <c r="BG66" s="1"/>
  <c r="BJ66" s="1"/>
  <c r="BM66" s="1"/>
  <c r="BP66" s="1"/>
  <c r="BS66" s="1"/>
  <c r="BV66" s="1"/>
  <c r="BY66" s="1"/>
  <c r="CB66" s="1"/>
  <c r="K66"/>
  <c r="L66" s="1"/>
  <c r="BA65"/>
  <c r="BD65" s="1"/>
  <c r="BG65" s="1"/>
  <c r="BJ65" s="1"/>
  <c r="BM65" s="1"/>
  <c r="BP65" s="1"/>
  <c r="BS65" s="1"/>
  <c r="BV65" s="1"/>
  <c r="BY65" s="1"/>
  <c r="CB65" s="1"/>
  <c r="K65"/>
  <c r="L65" s="1"/>
  <c r="BA64"/>
  <c r="BD64" s="1"/>
  <c r="BG64" s="1"/>
  <c r="BJ64" s="1"/>
  <c r="BM64" s="1"/>
  <c r="BP64" s="1"/>
  <c r="BS64" s="1"/>
  <c r="BV64" s="1"/>
  <c r="BY64" s="1"/>
  <c r="CB64" s="1"/>
  <c r="K64"/>
  <c r="L64" s="1"/>
  <c r="BA63"/>
  <c r="BD63" s="1"/>
  <c r="BG63" s="1"/>
  <c r="BJ63" s="1"/>
  <c r="BM63" s="1"/>
  <c r="BP63" s="1"/>
  <c r="BS63" s="1"/>
  <c r="BV63" s="1"/>
  <c r="BY63" s="1"/>
  <c r="CB63" s="1"/>
  <c r="K63"/>
  <c r="L63" s="1"/>
  <c r="BA62"/>
  <c r="BD62" s="1"/>
  <c r="BG62" s="1"/>
  <c r="BJ62" s="1"/>
  <c r="BM62" s="1"/>
  <c r="BP62" s="1"/>
  <c r="BS62" s="1"/>
  <c r="BV62" s="1"/>
  <c r="BY62" s="1"/>
  <c r="CB62" s="1"/>
  <c r="K62"/>
  <c r="L62" s="1"/>
  <c r="BA61"/>
  <c r="BD61" s="1"/>
  <c r="BG61" s="1"/>
  <c r="BJ61" s="1"/>
  <c r="BM61" s="1"/>
  <c r="BP61" s="1"/>
  <c r="BS61" s="1"/>
  <c r="BV61" s="1"/>
  <c r="BY61" s="1"/>
  <c r="CB61" s="1"/>
  <c r="K61"/>
  <c r="L61" s="1"/>
  <c r="BA60"/>
  <c r="BD60" s="1"/>
  <c r="BG60" s="1"/>
  <c r="BJ60" s="1"/>
  <c r="BM60" s="1"/>
  <c r="BP60" s="1"/>
  <c r="BS60" s="1"/>
  <c r="BV60" s="1"/>
  <c r="BY60" s="1"/>
  <c r="CB60" s="1"/>
  <c r="K60"/>
  <c r="L60" s="1"/>
  <c r="BA59"/>
  <c r="BD59" s="1"/>
  <c r="BG59" s="1"/>
  <c r="BJ59" s="1"/>
  <c r="BM59" s="1"/>
  <c r="BP59" s="1"/>
  <c r="BS59" s="1"/>
  <c r="BV59" s="1"/>
  <c r="BY59" s="1"/>
  <c r="CB59" s="1"/>
  <c r="K59"/>
  <c r="L59" s="1"/>
  <c r="BA58"/>
  <c r="BD58" s="1"/>
  <c r="BG58" s="1"/>
  <c r="BJ58" s="1"/>
  <c r="BM58" s="1"/>
  <c r="BP58" s="1"/>
  <c r="BS58" s="1"/>
  <c r="BV58" s="1"/>
  <c r="BY58" s="1"/>
  <c r="CB58" s="1"/>
  <c r="K58"/>
  <c r="L58" s="1"/>
  <c r="BA57"/>
  <c r="BD57" s="1"/>
  <c r="BG57" s="1"/>
  <c r="BJ57" s="1"/>
  <c r="BM57" s="1"/>
  <c r="BP57" s="1"/>
  <c r="BS57" s="1"/>
  <c r="BV57" s="1"/>
  <c r="BY57" s="1"/>
  <c r="CB57" s="1"/>
  <c r="K57"/>
  <c r="L57" s="1"/>
  <c r="BA56"/>
  <c r="BD56" s="1"/>
  <c r="BG56" s="1"/>
  <c r="BJ56" s="1"/>
  <c r="BM56" s="1"/>
  <c r="BP56" s="1"/>
  <c r="BS56" s="1"/>
  <c r="BV56" s="1"/>
  <c r="BY56" s="1"/>
  <c r="CB56" s="1"/>
  <c r="K56"/>
  <c r="L56" s="1"/>
  <c r="BA55"/>
  <c r="BD55" s="1"/>
  <c r="BG55" s="1"/>
  <c r="BJ55" s="1"/>
  <c r="BM55" s="1"/>
  <c r="BP55" s="1"/>
  <c r="BS55" s="1"/>
  <c r="BV55" s="1"/>
  <c r="BY55" s="1"/>
  <c r="CB55" s="1"/>
  <c r="K55"/>
  <c r="L55" s="1"/>
  <c r="BA54"/>
  <c r="BD54" s="1"/>
  <c r="BG54" s="1"/>
  <c r="BJ54" s="1"/>
  <c r="BM54" s="1"/>
  <c r="BP54" s="1"/>
  <c r="BS54" s="1"/>
  <c r="BV54" s="1"/>
  <c r="BY54" s="1"/>
  <c r="CB54" s="1"/>
  <c r="K54"/>
  <c r="L54" s="1"/>
  <c r="BA53"/>
  <c r="BD53" s="1"/>
  <c r="BG53" s="1"/>
  <c r="BJ53" s="1"/>
  <c r="BM53" s="1"/>
  <c r="BP53" s="1"/>
  <c r="BS53" s="1"/>
  <c r="BV53" s="1"/>
  <c r="BY53" s="1"/>
  <c r="CB53" s="1"/>
  <c r="K53"/>
  <c r="L53" s="1"/>
  <c r="BA52"/>
  <c r="BD52" s="1"/>
  <c r="BG52" s="1"/>
  <c r="BJ52" s="1"/>
  <c r="BM52" s="1"/>
  <c r="BP52" s="1"/>
  <c r="BS52" s="1"/>
  <c r="BV52" s="1"/>
  <c r="BY52" s="1"/>
  <c r="CB52" s="1"/>
  <c r="K52"/>
  <c r="L52" s="1"/>
  <c r="BA51"/>
  <c r="BD51" s="1"/>
  <c r="BG51" s="1"/>
  <c r="BJ51" s="1"/>
  <c r="BM51" s="1"/>
  <c r="BP51" s="1"/>
  <c r="BS51" s="1"/>
  <c r="BV51" s="1"/>
  <c r="BY51" s="1"/>
  <c r="CB51" s="1"/>
  <c r="K51"/>
  <c r="L51" s="1"/>
  <c r="BA50"/>
  <c r="BD50" s="1"/>
  <c r="BG50" s="1"/>
  <c r="BJ50" s="1"/>
  <c r="BM50" s="1"/>
  <c r="BP50" s="1"/>
  <c r="BS50" s="1"/>
  <c r="BV50" s="1"/>
  <c r="BY50" s="1"/>
  <c r="CB50" s="1"/>
  <c r="K50"/>
  <c r="L50" s="1"/>
  <c r="BA49"/>
  <c r="BD49" s="1"/>
  <c r="BG49" s="1"/>
  <c r="BJ49" s="1"/>
  <c r="BM49" s="1"/>
  <c r="BP49" s="1"/>
  <c r="BS49" s="1"/>
  <c r="BV49" s="1"/>
  <c r="BY49" s="1"/>
  <c r="CB49" s="1"/>
  <c r="K49"/>
  <c r="L49" s="1"/>
  <c r="BA48"/>
  <c r="BD48" s="1"/>
  <c r="BG48" s="1"/>
  <c r="BJ48" s="1"/>
  <c r="BM48" s="1"/>
  <c r="BP48" s="1"/>
  <c r="BS48" s="1"/>
  <c r="BV48" s="1"/>
  <c r="BY48" s="1"/>
  <c r="CB48" s="1"/>
  <c r="K48"/>
  <c r="L48" s="1"/>
  <c r="BA47"/>
  <c r="BD47" s="1"/>
  <c r="BG47" s="1"/>
  <c r="BJ47" s="1"/>
  <c r="BM47" s="1"/>
  <c r="BP47" s="1"/>
  <c r="BS47" s="1"/>
  <c r="BV47" s="1"/>
  <c r="BY47" s="1"/>
  <c r="CB47" s="1"/>
  <c r="K47"/>
  <c r="L47" s="1"/>
  <c r="BA46"/>
  <c r="BD46" s="1"/>
  <c r="BG46" s="1"/>
  <c r="BJ46" s="1"/>
  <c r="BM46" s="1"/>
  <c r="BP46" s="1"/>
  <c r="BS46" s="1"/>
  <c r="BV46" s="1"/>
  <c r="BY46" s="1"/>
  <c r="CB46" s="1"/>
  <c r="K46"/>
  <c r="L46" s="1"/>
  <c r="BA45"/>
  <c r="BD45" s="1"/>
  <c r="BG45" s="1"/>
  <c r="BJ45" s="1"/>
  <c r="BM45" s="1"/>
  <c r="BP45" s="1"/>
  <c r="BS45" s="1"/>
  <c r="BV45" s="1"/>
  <c r="BY45" s="1"/>
  <c r="CB45" s="1"/>
  <c r="K45"/>
  <c r="L45" s="1"/>
  <c r="BA44"/>
  <c r="BD44" s="1"/>
  <c r="BG44" s="1"/>
  <c r="BJ44" s="1"/>
  <c r="BM44" s="1"/>
  <c r="BP44" s="1"/>
  <c r="BS44" s="1"/>
  <c r="BV44" s="1"/>
  <c r="BY44" s="1"/>
  <c r="CB44" s="1"/>
  <c r="K44"/>
  <c r="BA43"/>
  <c r="BD43" s="1"/>
  <c r="BG43" s="1"/>
  <c r="BJ43" s="1"/>
  <c r="BM43" s="1"/>
  <c r="BP43" s="1"/>
  <c r="BS43" s="1"/>
  <c r="BV43" s="1"/>
  <c r="BY43" s="1"/>
  <c r="CB43" s="1"/>
  <c r="K43"/>
  <c r="L43" s="1"/>
  <c r="CB39"/>
  <c r="BA35"/>
  <c r="BD35" s="1"/>
  <c r="BG35" s="1"/>
  <c r="BJ35" s="1"/>
  <c r="BM35" s="1"/>
  <c r="BP35" s="1"/>
  <c r="BS35" s="1"/>
  <c r="BV35" s="1"/>
  <c r="BY35" s="1"/>
  <c r="CB35" s="1"/>
  <c r="K35"/>
  <c r="L35" s="1"/>
  <c r="BA30"/>
  <c r="BD30" s="1"/>
  <c r="BG30" s="1"/>
  <c r="BJ30" s="1"/>
  <c r="BM30" s="1"/>
  <c r="BP30" s="1"/>
  <c r="BS30" s="1"/>
  <c r="BV30" s="1"/>
  <c r="BY30" s="1"/>
  <c r="CB30" s="1"/>
  <c r="K30"/>
  <c r="L30" s="1"/>
  <c r="BA25"/>
  <c r="BD25" s="1"/>
  <c r="BG25" s="1"/>
  <c r="BJ25" s="1"/>
  <c r="BM25" s="1"/>
  <c r="BP25" s="1"/>
  <c r="BS25" s="1"/>
  <c r="BV25" s="1"/>
  <c r="BY25" s="1"/>
  <c r="CB25" s="1"/>
  <c r="K25"/>
  <c r="L25" s="1"/>
  <c r="BA24"/>
  <c r="BD24" s="1"/>
  <c r="BG24" s="1"/>
  <c r="BJ24" s="1"/>
  <c r="BM24" s="1"/>
  <c r="BP24" s="1"/>
  <c r="BS24" s="1"/>
  <c r="BV24" s="1"/>
  <c r="BY24" s="1"/>
  <c r="CB24" s="1"/>
  <c r="K24"/>
  <c r="L24" s="1"/>
  <c r="BA23"/>
  <c r="BD23" s="1"/>
  <c r="BG23" s="1"/>
  <c r="BJ23" s="1"/>
  <c r="BM23" s="1"/>
  <c r="BP23" s="1"/>
  <c r="BS23" s="1"/>
  <c r="BV23" s="1"/>
  <c r="BY23" s="1"/>
  <c r="CB23" s="1"/>
  <c r="K23"/>
  <c r="L23" s="1"/>
  <c r="BA20"/>
  <c r="BD20" s="1"/>
  <c r="BG20" s="1"/>
  <c r="BJ20" s="1"/>
  <c r="BM20" s="1"/>
  <c r="BP20" s="1"/>
  <c r="BS20" s="1"/>
  <c r="BV20" s="1"/>
  <c r="BY20" s="1"/>
  <c r="CB20" s="1"/>
  <c r="K20"/>
  <c r="L20" s="1"/>
  <c r="BA18"/>
  <c r="BD18" s="1"/>
  <c r="BG18" s="1"/>
  <c r="BJ18" s="1"/>
  <c r="BM18" s="1"/>
  <c r="BP18" s="1"/>
  <c r="BS18" s="1"/>
  <c r="BV18" s="1"/>
  <c r="BY18" s="1"/>
  <c r="CB18" s="1"/>
  <c r="K18"/>
  <c r="L18" s="1"/>
  <c r="BA17"/>
  <c r="BD17" s="1"/>
  <c r="BG17" s="1"/>
  <c r="BJ17" s="1"/>
  <c r="BM17" s="1"/>
  <c r="BP17" s="1"/>
  <c r="BS17" s="1"/>
  <c r="BV17" s="1"/>
  <c r="BY17" s="1"/>
  <c r="CB17" s="1"/>
  <c r="K17"/>
  <c r="L17" s="1"/>
  <c r="BA16"/>
  <c r="BD16" s="1"/>
  <c r="BG16" s="1"/>
  <c r="BJ16" s="1"/>
  <c r="BM16" s="1"/>
  <c r="BP16" s="1"/>
  <c r="BS16" s="1"/>
  <c r="BV16" s="1"/>
  <c r="BY16" s="1"/>
  <c r="CB16" s="1"/>
  <c r="K16"/>
  <c r="L16" s="1"/>
  <c r="BA12"/>
  <c r="BD12" s="1"/>
  <c r="BG12" s="1"/>
  <c r="BJ12" s="1"/>
  <c r="BM12" s="1"/>
  <c r="BP12" s="1"/>
  <c r="BS12" s="1"/>
  <c r="BV12" s="1"/>
  <c r="BY12" s="1"/>
  <c r="CB12" s="1"/>
  <c r="K12"/>
  <c r="BA11"/>
  <c r="BD11" s="1"/>
  <c r="BG11" s="1"/>
  <c r="BJ11" s="1"/>
  <c r="BM11" s="1"/>
  <c r="BP11" s="1"/>
  <c r="BS11" s="1"/>
  <c r="BV11" s="1"/>
  <c r="BY11" s="1"/>
  <c r="CB11" s="1"/>
  <c r="K11"/>
  <c r="L11" s="1"/>
  <c r="BA10"/>
  <c r="BD10" s="1"/>
  <c r="BG10" s="1"/>
  <c r="BJ10" s="1"/>
  <c r="BM10" s="1"/>
  <c r="BP10" s="1"/>
  <c r="BS10" s="1"/>
  <c r="BV10" s="1"/>
  <c r="BY10" s="1"/>
  <c r="CB10" s="1"/>
  <c r="K10"/>
  <c r="L10" s="1"/>
  <c r="BA9"/>
  <c r="BD9" s="1"/>
  <c r="BG9" s="1"/>
  <c r="BJ9" s="1"/>
  <c r="BM9" s="1"/>
  <c r="BP9" s="1"/>
  <c r="BS9" s="1"/>
  <c r="BV9" s="1"/>
  <c r="BY9" s="1"/>
  <c r="CB9" s="1"/>
  <c r="K9"/>
  <c r="L9" s="1"/>
  <c r="BA8"/>
  <c r="BD8" s="1"/>
  <c r="BG8" s="1"/>
  <c r="BJ8" s="1"/>
  <c r="BM8" s="1"/>
  <c r="BP8" s="1"/>
  <c r="BS8" s="1"/>
  <c r="BV8" s="1"/>
  <c r="BY8" s="1"/>
  <c r="CB8" s="1"/>
  <c r="K8"/>
  <c r="L8" s="1"/>
  <c r="BA7"/>
  <c r="BD7" s="1"/>
  <c r="BG7" s="1"/>
  <c r="BJ7" s="1"/>
  <c r="BM7" s="1"/>
  <c r="BP7" s="1"/>
  <c r="BS7" s="1"/>
  <c r="BV7" s="1"/>
  <c r="BY7" s="1"/>
  <c r="CB7" s="1"/>
  <c r="K7"/>
  <c r="L7" s="1"/>
  <c r="BA6"/>
  <c r="BD6" s="1"/>
  <c r="BG6" s="1"/>
  <c r="BJ6" s="1"/>
  <c r="BM6" s="1"/>
  <c r="BP6" s="1"/>
  <c r="BS6" s="1"/>
  <c r="BV6" s="1"/>
  <c r="BY6" s="1"/>
  <c r="CB6" s="1"/>
  <c r="L6"/>
  <c r="BA5"/>
  <c r="BD5" s="1"/>
  <c r="BG5" s="1"/>
  <c r="BJ5" s="1"/>
  <c r="BM5" s="1"/>
  <c r="BP5" s="1"/>
  <c r="BS5" s="1"/>
  <c r="BV5" s="1"/>
  <c r="BY5" s="1"/>
  <c r="CB5" s="1"/>
  <c r="K5"/>
  <c r="BA73"/>
  <c r="BD73" s="1"/>
  <c r="BG73" s="1"/>
  <c r="BJ73" s="1"/>
  <c r="BM73" s="1"/>
  <c r="BP73" s="1"/>
  <c r="BS73" s="1"/>
  <c r="BV73" s="1"/>
  <c r="BY73" s="1"/>
  <c r="CB73" s="1"/>
  <c r="K73"/>
  <c r="L73" s="1"/>
  <c r="AM32" l="1"/>
  <c r="AV39"/>
  <c r="AY39" s="1"/>
  <c r="BB39" s="1"/>
  <c r="BE39" s="1"/>
  <c r="BH39" s="1"/>
  <c r="BK39"/>
  <c r="BN39" s="1"/>
  <c r="BQ39" s="1"/>
  <c r="BT39" s="1"/>
  <c r="BW39" s="1"/>
  <c r="BZ39" s="1"/>
  <c r="G37"/>
  <c r="AP37"/>
  <c r="AS37" s="1"/>
  <c r="AV37" s="1"/>
  <c r="AY37" s="1"/>
  <c r="BB37" s="1"/>
  <c r="BE37" s="1"/>
  <c r="BH37" s="1"/>
  <c r="BK37" s="1"/>
  <c r="BN37" s="1"/>
  <c r="BQ37" s="1"/>
  <c r="BT37" s="1"/>
  <c r="BW37" s="1"/>
  <c r="BZ37" s="1"/>
  <c r="AG38"/>
  <c r="AJ38" s="1"/>
  <c r="AM38" s="1"/>
  <c r="G41"/>
  <c r="AP41"/>
  <c r="AS41" s="1"/>
  <c r="AV41"/>
  <c r="AY41" s="1"/>
  <c r="CE41" s="1"/>
  <c r="AG40"/>
  <c r="AJ40" s="1"/>
  <c r="AM40" s="1"/>
  <c r="AJ42"/>
  <c r="AM42" s="1"/>
  <c r="AA29"/>
  <c r="AD29" s="1"/>
  <c r="AD28"/>
  <c r="AG28" s="1"/>
  <c r="AJ28" s="1"/>
  <c r="AM28" s="1"/>
  <c r="AP28" s="1"/>
  <c r="AS28" s="1"/>
  <c r="AV28" s="1"/>
  <c r="AY28" s="1"/>
  <c r="X27"/>
  <c r="L5"/>
  <c r="E42" i="13"/>
  <c r="F10"/>
  <c r="F41" s="1"/>
  <c r="G39"/>
  <c r="R22" i="7"/>
  <c r="R21"/>
  <c r="R14"/>
  <c r="R15"/>
  <c r="R13"/>
  <c r="O26"/>
  <c r="R26" s="1"/>
  <c r="U26" s="1"/>
  <c r="O19"/>
  <c r="L12"/>
  <c r="N5"/>
  <c r="Q5" s="1"/>
  <c r="T5" s="1"/>
  <c r="W5" s="1"/>
  <c r="Z5" s="1"/>
  <c r="AC5" s="1"/>
  <c r="AF5" s="1"/>
  <c r="AI5" s="1"/>
  <c r="AL5" s="1"/>
  <c r="AO5" s="1"/>
  <c r="AR5" s="1"/>
  <c r="AU5" s="1"/>
  <c r="AX5" s="1"/>
  <c r="Q6"/>
  <c r="T6" s="1"/>
  <c r="W6" s="1"/>
  <c r="Z6" s="1"/>
  <c r="AC6" s="1"/>
  <c r="AF6" s="1"/>
  <c r="AI6" s="1"/>
  <c r="AL6" s="1"/>
  <c r="AO6" s="1"/>
  <c r="AR6" s="1"/>
  <c r="AU6" s="1"/>
  <c r="AX6" s="1"/>
  <c r="N7"/>
  <c r="Q7" s="1"/>
  <c r="T7" s="1"/>
  <c r="W7" s="1"/>
  <c r="Z7" s="1"/>
  <c r="AC7" s="1"/>
  <c r="AF7" s="1"/>
  <c r="AI7" s="1"/>
  <c r="AL7" s="1"/>
  <c r="AO7" s="1"/>
  <c r="AR7" s="1"/>
  <c r="AU7" s="1"/>
  <c r="AX7" s="1"/>
  <c r="N8"/>
  <c r="Q8" s="1"/>
  <c r="T8" s="1"/>
  <c r="W8" s="1"/>
  <c r="Z8" s="1"/>
  <c r="AC8" s="1"/>
  <c r="AF8" s="1"/>
  <c r="AI8" s="1"/>
  <c r="AL8" s="1"/>
  <c r="AO8" s="1"/>
  <c r="AR8" s="1"/>
  <c r="AU8" s="1"/>
  <c r="AX8" s="1"/>
  <c r="N9"/>
  <c r="Q9" s="1"/>
  <c r="T9" s="1"/>
  <c r="W9" s="1"/>
  <c r="Z9" s="1"/>
  <c r="AC9" s="1"/>
  <c r="AF9" s="1"/>
  <c r="AI9" s="1"/>
  <c r="AL9" s="1"/>
  <c r="AO9" s="1"/>
  <c r="AR9" s="1"/>
  <c r="AU9" s="1"/>
  <c r="AX9" s="1"/>
  <c r="N10"/>
  <c r="Q10" s="1"/>
  <c r="T10" s="1"/>
  <c r="W10" s="1"/>
  <c r="Z10" s="1"/>
  <c r="AC10" s="1"/>
  <c r="AF10" s="1"/>
  <c r="AI10" s="1"/>
  <c r="AL10" s="1"/>
  <c r="AO10" s="1"/>
  <c r="AR10" s="1"/>
  <c r="AU10" s="1"/>
  <c r="AX10" s="1"/>
  <c r="N11"/>
  <c r="Q11" s="1"/>
  <c r="T11" s="1"/>
  <c r="W11" s="1"/>
  <c r="Z11" s="1"/>
  <c r="AC11" s="1"/>
  <c r="AF11" s="1"/>
  <c r="AI11" s="1"/>
  <c r="AL11" s="1"/>
  <c r="AO11" s="1"/>
  <c r="AR11" s="1"/>
  <c r="AU11" s="1"/>
  <c r="AX11" s="1"/>
  <c r="N12"/>
  <c r="Q12" s="1"/>
  <c r="T12" s="1"/>
  <c r="W12" s="1"/>
  <c r="Z12" s="1"/>
  <c r="AC12" s="1"/>
  <c r="AF12" s="1"/>
  <c r="AI12" s="1"/>
  <c r="AL12" s="1"/>
  <c r="AO12" s="1"/>
  <c r="AR12" s="1"/>
  <c r="AU12" s="1"/>
  <c r="AX12" s="1"/>
  <c r="L44"/>
  <c r="N44"/>
  <c r="Q44" s="1"/>
  <c r="T44" s="1"/>
  <c r="W44" s="1"/>
  <c r="Z44" s="1"/>
  <c r="AC44" s="1"/>
  <c r="AF44" s="1"/>
  <c r="AI44" s="1"/>
  <c r="AL44" s="1"/>
  <c r="AO44" s="1"/>
  <c r="AR44" s="1"/>
  <c r="AU44" s="1"/>
  <c r="AX44" s="1"/>
  <c r="N16"/>
  <c r="N17"/>
  <c r="Q17" s="1"/>
  <c r="T17" s="1"/>
  <c r="W17" s="1"/>
  <c r="Z17" s="1"/>
  <c r="AC17" s="1"/>
  <c r="AF17" s="1"/>
  <c r="AI17" s="1"/>
  <c r="AL17" s="1"/>
  <c r="AO17" s="1"/>
  <c r="AR17" s="1"/>
  <c r="AU17" s="1"/>
  <c r="AX17" s="1"/>
  <c r="N18"/>
  <c r="N20"/>
  <c r="Q20" s="1"/>
  <c r="T20" s="1"/>
  <c r="W20" s="1"/>
  <c r="Z20" s="1"/>
  <c r="AC20" s="1"/>
  <c r="AF20" s="1"/>
  <c r="AI20" s="1"/>
  <c r="AL20" s="1"/>
  <c r="AO20" s="1"/>
  <c r="AR20" s="1"/>
  <c r="AU20" s="1"/>
  <c r="AX20" s="1"/>
  <c r="N23"/>
  <c r="N24"/>
  <c r="Q24" s="1"/>
  <c r="T24" s="1"/>
  <c r="W24" s="1"/>
  <c r="Z24" s="1"/>
  <c r="AC24" s="1"/>
  <c r="AF24" s="1"/>
  <c r="AI24" s="1"/>
  <c r="AL24" s="1"/>
  <c r="AO24" s="1"/>
  <c r="AR24" s="1"/>
  <c r="AU24" s="1"/>
  <c r="AX24" s="1"/>
  <c r="N25"/>
  <c r="N30"/>
  <c r="Q30" s="1"/>
  <c r="T30" s="1"/>
  <c r="W30" s="1"/>
  <c r="Z30" s="1"/>
  <c r="AC30" s="1"/>
  <c r="AF30" s="1"/>
  <c r="AI30" s="1"/>
  <c r="AL30" s="1"/>
  <c r="AO30" s="1"/>
  <c r="AR30" s="1"/>
  <c r="AU30" s="1"/>
  <c r="AX30" s="1"/>
  <c r="N35"/>
  <c r="Q35" s="1"/>
  <c r="T35" s="1"/>
  <c r="W35" s="1"/>
  <c r="Z35" s="1"/>
  <c r="AC35" s="1"/>
  <c r="AF35" s="1"/>
  <c r="AI35" s="1"/>
  <c r="AL35" s="1"/>
  <c r="AO35" s="1"/>
  <c r="AR35" s="1"/>
  <c r="AU35" s="1"/>
  <c r="AX35" s="1"/>
  <c r="N43"/>
  <c r="Q43" s="1"/>
  <c r="T43" s="1"/>
  <c r="W43" s="1"/>
  <c r="Z43" s="1"/>
  <c r="AC43" s="1"/>
  <c r="AF43" s="1"/>
  <c r="AI43" s="1"/>
  <c r="AL43" s="1"/>
  <c r="AO43" s="1"/>
  <c r="AR43" s="1"/>
  <c r="AU43" s="1"/>
  <c r="AX43" s="1"/>
  <c r="N45"/>
  <c r="Q45" s="1"/>
  <c r="T45" s="1"/>
  <c r="W45" s="1"/>
  <c r="Z45" s="1"/>
  <c r="AC45" s="1"/>
  <c r="AF45" s="1"/>
  <c r="AI45" s="1"/>
  <c r="AL45" s="1"/>
  <c r="AO45" s="1"/>
  <c r="AR45" s="1"/>
  <c r="AU45" s="1"/>
  <c r="AX45" s="1"/>
  <c r="N46"/>
  <c r="N47"/>
  <c r="N48"/>
  <c r="Q48" s="1"/>
  <c r="T48" s="1"/>
  <c r="W48" s="1"/>
  <c r="Z48" s="1"/>
  <c r="AC48" s="1"/>
  <c r="AF48" s="1"/>
  <c r="AI48" s="1"/>
  <c r="AL48" s="1"/>
  <c r="AO48" s="1"/>
  <c r="AR48" s="1"/>
  <c r="AU48" s="1"/>
  <c r="AX48" s="1"/>
  <c r="N49"/>
  <c r="N50"/>
  <c r="Q50" s="1"/>
  <c r="T50" s="1"/>
  <c r="W50" s="1"/>
  <c r="Z50" s="1"/>
  <c r="AC50" s="1"/>
  <c r="AF50" s="1"/>
  <c r="AI50" s="1"/>
  <c r="AL50" s="1"/>
  <c r="AO50" s="1"/>
  <c r="AR50" s="1"/>
  <c r="AU50" s="1"/>
  <c r="AX50" s="1"/>
  <c r="N51"/>
  <c r="N52"/>
  <c r="Q52" s="1"/>
  <c r="T52" s="1"/>
  <c r="W52" s="1"/>
  <c r="Z52" s="1"/>
  <c r="AC52" s="1"/>
  <c r="AF52" s="1"/>
  <c r="AI52" s="1"/>
  <c r="AL52" s="1"/>
  <c r="AO52" s="1"/>
  <c r="AR52" s="1"/>
  <c r="AU52" s="1"/>
  <c r="AX52" s="1"/>
  <c r="N53"/>
  <c r="N54"/>
  <c r="Q54" s="1"/>
  <c r="T54" s="1"/>
  <c r="W54" s="1"/>
  <c r="Z54" s="1"/>
  <c r="AC54" s="1"/>
  <c r="AF54" s="1"/>
  <c r="AI54" s="1"/>
  <c r="AL54" s="1"/>
  <c r="AO54" s="1"/>
  <c r="AR54" s="1"/>
  <c r="AU54" s="1"/>
  <c r="AX54" s="1"/>
  <c r="N55"/>
  <c r="Q55" s="1"/>
  <c r="T55" s="1"/>
  <c r="W55" s="1"/>
  <c r="Z55" s="1"/>
  <c r="AC55" s="1"/>
  <c r="AF55" s="1"/>
  <c r="AI55" s="1"/>
  <c r="AL55" s="1"/>
  <c r="AO55" s="1"/>
  <c r="AR55" s="1"/>
  <c r="AU55" s="1"/>
  <c r="AX55" s="1"/>
  <c r="N56"/>
  <c r="Q56" s="1"/>
  <c r="T56" s="1"/>
  <c r="W56" s="1"/>
  <c r="Z56" s="1"/>
  <c r="AC56" s="1"/>
  <c r="AF56" s="1"/>
  <c r="AI56" s="1"/>
  <c r="AL56" s="1"/>
  <c r="AO56" s="1"/>
  <c r="AR56" s="1"/>
  <c r="AU56" s="1"/>
  <c r="AX56" s="1"/>
  <c r="N57"/>
  <c r="N58"/>
  <c r="Q58" s="1"/>
  <c r="T58" s="1"/>
  <c r="W58" s="1"/>
  <c r="Z58" s="1"/>
  <c r="AC58" s="1"/>
  <c r="AF58" s="1"/>
  <c r="AI58" s="1"/>
  <c r="AL58" s="1"/>
  <c r="AO58" s="1"/>
  <c r="AR58" s="1"/>
  <c r="AU58" s="1"/>
  <c r="AX58" s="1"/>
  <c r="N59"/>
  <c r="N60"/>
  <c r="Q60" s="1"/>
  <c r="T60" s="1"/>
  <c r="W60" s="1"/>
  <c r="Z60" s="1"/>
  <c r="AC60" s="1"/>
  <c r="AF60" s="1"/>
  <c r="AI60" s="1"/>
  <c r="AL60" s="1"/>
  <c r="AO60" s="1"/>
  <c r="AR60" s="1"/>
  <c r="AU60" s="1"/>
  <c r="AX60" s="1"/>
  <c r="N61"/>
  <c r="N62"/>
  <c r="Q62" s="1"/>
  <c r="T62" s="1"/>
  <c r="W62" s="1"/>
  <c r="Z62" s="1"/>
  <c r="AC62" s="1"/>
  <c r="AF62" s="1"/>
  <c r="AI62" s="1"/>
  <c r="AL62" s="1"/>
  <c r="AO62" s="1"/>
  <c r="AR62" s="1"/>
  <c r="AU62" s="1"/>
  <c r="AX62" s="1"/>
  <c r="N63"/>
  <c r="Q63" s="1"/>
  <c r="T63" s="1"/>
  <c r="W63" s="1"/>
  <c r="Z63" s="1"/>
  <c r="AC63" s="1"/>
  <c r="AF63" s="1"/>
  <c r="AI63" s="1"/>
  <c r="AL63" s="1"/>
  <c r="AO63" s="1"/>
  <c r="AR63" s="1"/>
  <c r="AU63" s="1"/>
  <c r="AX63" s="1"/>
  <c r="N64"/>
  <c r="Q64" s="1"/>
  <c r="T64" s="1"/>
  <c r="W64" s="1"/>
  <c r="Z64" s="1"/>
  <c r="AC64" s="1"/>
  <c r="AF64" s="1"/>
  <c r="AI64" s="1"/>
  <c r="AL64" s="1"/>
  <c r="AO64" s="1"/>
  <c r="AR64" s="1"/>
  <c r="AU64" s="1"/>
  <c r="AX64" s="1"/>
  <c r="N65"/>
  <c r="Q65" s="1"/>
  <c r="T65" s="1"/>
  <c r="W65" s="1"/>
  <c r="Z65" s="1"/>
  <c r="AC65" s="1"/>
  <c r="AF65" s="1"/>
  <c r="AI65" s="1"/>
  <c r="AL65" s="1"/>
  <c r="AO65" s="1"/>
  <c r="AR65" s="1"/>
  <c r="AU65" s="1"/>
  <c r="AX65" s="1"/>
  <c r="N66"/>
  <c r="Q66" s="1"/>
  <c r="T66" s="1"/>
  <c r="W66" s="1"/>
  <c r="Z66" s="1"/>
  <c r="AC66" s="1"/>
  <c r="AF66" s="1"/>
  <c r="AI66" s="1"/>
  <c r="AL66" s="1"/>
  <c r="AO66" s="1"/>
  <c r="AR66" s="1"/>
  <c r="AU66" s="1"/>
  <c r="AX66" s="1"/>
  <c r="N67"/>
  <c r="Q67" s="1"/>
  <c r="T67" s="1"/>
  <c r="W67" s="1"/>
  <c r="Z67" s="1"/>
  <c r="AC67" s="1"/>
  <c r="AF67" s="1"/>
  <c r="AI67" s="1"/>
  <c r="AL67" s="1"/>
  <c r="AO67" s="1"/>
  <c r="AR67" s="1"/>
  <c r="AU67" s="1"/>
  <c r="AX67" s="1"/>
  <c r="N68"/>
  <c r="Q68" s="1"/>
  <c r="T68" s="1"/>
  <c r="W68" s="1"/>
  <c r="Z68" s="1"/>
  <c r="AC68" s="1"/>
  <c r="AF68" s="1"/>
  <c r="AI68" s="1"/>
  <c r="AL68" s="1"/>
  <c r="AO68" s="1"/>
  <c r="AR68" s="1"/>
  <c r="AU68" s="1"/>
  <c r="AX68" s="1"/>
  <c r="N69"/>
  <c r="Q69" s="1"/>
  <c r="T69" s="1"/>
  <c r="W69" s="1"/>
  <c r="Z69" s="1"/>
  <c r="AC69" s="1"/>
  <c r="AF69" s="1"/>
  <c r="AI69" s="1"/>
  <c r="AL69" s="1"/>
  <c r="AO69" s="1"/>
  <c r="AR69" s="1"/>
  <c r="AU69" s="1"/>
  <c r="AX69" s="1"/>
  <c r="N70"/>
  <c r="Q70" s="1"/>
  <c r="T70" s="1"/>
  <c r="W70" s="1"/>
  <c r="Z70" s="1"/>
  <c r="AC70" s="1"/>
  <c r="AF70" s="1"/>
  <c r="AI70" s="1"/>
  <c r="AL70" s="1"/>
  <c r="AO70" s="1"/>
  <c r="AR70" s="1"/>
  <c r="AU70" s="1"/>
  <c r="AX70" s="1"/>
  <c r="N71"/>
  <c r="Q71" s="1"/>
  <c r="T71" s="1"/>
  <c r="W71" s="1"/>
  <c r="Z71" s="1"/>
  <c r="AC71" s="1"/>
  <c r="AF71" s="1"/>
  <c r="AI71" s="1"/>
  <c r="AL71" s="1"/>
  <c r="AO71" s="1"/>
  <c r="AR71" s="1"/>
  <c r="AU71" s="1"/>
  <c r="AX71" s="1"/>
  <c r="N72"/>
  <c r="Q72" s="1"/>
  <c r="T72" s="1"/>
  <c r="W72" s="1"/>
  <c r="Z72" s="1"/>
  <c r="AC72" s="1"/>
  <c r="AF72" s="1"/>
  <c r="AI72" s="1"/>
  <c r="AL72" s="1"/>
  <c r="AO72" s="1"/>
  <c r="AR72" s="1"/>
  <c r="AU72" s="1"/>
  <c r="AX72" s="1"/>
  <c r="N73"/>
  <c r="G32" l="1"/>
  <c r="AP32"/>
  <c r="AS32"/>
  <c r="AV32" s="1"/>
  <c r="AY32" s="1"/>
  <c r="BB32" s="1"/>
  <c r="BE32" s="1"/>
  <c r="BH32" s="1"/>
  <c r="BK32" s="1"/>
  <c r="BN32" s="1"/>
  <c r="BQ32" s="1"/>
  <c r="BT32"/>
  <c r="BW32" s="1"/>
  <c r="BZ32" s="1"/>
  <c r="G38"/>
  <c r="AP38"/>
  <c r="AS38" s="1"/>
  <c r="AV38" s="1"/>
  <c r="AY38" s="1"/>
  <c r="BB38" s="1"/>
  <c r="BE38" s="1"/>
  <c r="BH38" s="1"/>
  <c r="BK38" s="1"/>
  <c r="BN38" s="1"/>
  <c r="BQ38" s="1"/>
  <c r="BT38" s="1"/>
  <c r="BW38" s="1"/>
  <c r="BZ38" s="1"/>
  <c r="BB41"/>
  <c r="BE41" s="1"/>
  <c r="BH41" s="1"/>
  <c r="BK41" s="1"/>
  <c r="BN41" s="1"/>
  <c r="BQ41" s="1"/>
  <c r="BT41" s="1"/>
  <c r="BW41" s="1"/>
  <c r="BZ41" s="1"/>
  <c r="CC41" s="1"/>
  <c r="G40"/>
  <c r="AP40"/>
  <c r="AS40" s="1"/>
  <c r="AV40" s="1"/>
  <c r="AY40" s="1"/>
  <c r="BB40" s="1"/>
  <c r="BE40" s="1"/>
  <c r="BH40" s="1"/>
  <c r="BK40" s="1"/>
  <c r="BN40" s="1"/>
  <c r="BQ40" s="1"/>
  <c r="BT40" s="1"/>
  <c r="BW40" s="1"/>
  <c r="BZ40" s="1"/>
  <c r="CC40" s="1"/>
  <c r="CE40"/>
  <c r="G42"/>
  <c r="AP42"/>
  <c r="AS42" s="1"/>
  <c r="AV42" s="1"/>
  <c r="AY42" s="1"/>
  <c r="G28"/>
  <c r="AG29"/>
  <c r="CE28"/>
  <c r="BB28"/>
  <c r="BE28" s="1"/>
  <c r="BH28" s="1"/>
  <c r="BK28" s="1"/>
  <c r="BN28" s="1"/>
  <c r="BQ28" s="1"/>
  <c r="BT28" s="1"/>
  <c r="BW28" s="1"/>
  <c r="BZ28" s="1"/>
  <c r="CC28" s="1"/>
  <c r="AA27"/>
  <c r="AD27" s="1"/>
  <c r="O5"/>
  <c r="R5" s="1"/>
  <c r="F42" i="13"/>
  <c r="G10"/>
  <c r="G41" s="1"/>
  <c r="H39"/>
  <c r="U14" i="7"/>
  <c r="X14" s="1"/>
  <c r="U21"/>
  <c r="X21" s="1"/>
  <c r="U22"/>
  <c r="X22" s="1"/>
  <c r="U15"/>
  <c r="X15" s="1"/>
  <c r="AA15" s="1"/>
  <c r="U13"/>
  <c r="X13" s="1"/>
  <c r="AA13" s="1"/>
  <c r="X26"/>
  <c r="AA26" s="1"/>
  <c r="R19"/>
  <c r="O44"/>
  <c r="O55"/>
  <c r="O72"/>
  <c r="R72" s="1"/>
  <c r="O56"/>
  <c r="R56" s="1"/>
  <c r="U56" s="1"/>
  <c r="Q59"/>
  <c r="T59" s="1"/>
  <c r="W59" s="1"/>
  <c r="Z59" s="1"/>
  <c r="AC59" s="1"/>
  <c r="AF59" s="1"/>
  <c r="AI59" s="1"/>
  <c r="AL59" s="1"/>
  <c r="AO59" s="1"/>
  <c r="AR59" s="1"/>
  <c r="AU59" s="1"/>
  <c r="AX59" s="1"/>
  <c r="O59"/>
  <c r="Q57"/>
  <c r="T57" s="1"/>
  <c r="W57" s="1"/>
  <c r="Z57" s="1"/>
  <c r="AC57" s="1"/>
  <c r="AF57" s="1"/>
  <c r="AI57" s="1"/>
  <c r="AL57" s="1"/>
  <c r="AO57" s="1"/>
  <c r="AR57" s="1"/>
  <c r="AU57" s="1"/>
  <c r="AX57" s="1"/>
  <c r="O57"/>
  <c r="Q53"/>
  <c r="T53" s="1"/>
  <c r="W53" s="1"/>
  <c r="Z53" s="1"/>
  <c r="AC53" s="1"/>
  <c r="AF53" s="1"/>
  <c r="AI53" s="1"/>
  <c r="AL53" s="1"/>
  <c r="AO53" s="1"/>
  <c r="AR53" s="1"/>
  <c r="AU53" s="1"/>
  <c r="AX53" s="1"/>
  <c r="O53"/>
  <c r="Q51"/>
  <c r="T51" s="1"/>
  <c r="W51" s="1"/>
  <c r="Z51" s="1"/>
  <c r="AC51" s="1"/>
  <c r="AF51" s="1"/>
  <c r="AI51" s="1"/>
  <c r="AL51" s="1"/>
  <c r="AO51" s="1"/>
  <c r="AR51" s="1"/>
  <c r="AU51" s="1"/>
  <c r="AX51" s="1"/>
  <c r="O51"/>
  <c r="Q49"/>
  <c r="T49" s="1"/>
  <c r="W49" s="1"/>
  <c r="Z49" s="1"/>
  <c r="AC49" s="1"/>
  <c r="AF49" s="1"/>
  <c r="AI49" s="1"/>
  <c r="AL49" s="1"/>
  <c r="AO49" s="1"/>
  <c r="AR49" s="1"/>
  <c r="AU49" s="1"/>
  <c r="AX49" s="1"/>
  <c r="O49"/>
  <c r="Q47"/>
  <c r="T47" s="1"/>
  <c r="W47" s="1"/>
  <c r="Z47" s="1"/>
  <c r="AC47" s="1"/>
  <c r="AF47" s="1"/>
  <c r="AI47" s="1"/>
  <c r="AL47" s="1"/>
  <c r="AO47" s="1"/>
  <c r="AR47" s="1"/>
  <c r="AU47" s="1"/>
  <c r="AX47" s="1"/>
  <c r="O47"/>
  <c r="Q46"/>
  <c r="T46" s="1"/>
  <c r="W46" s="1"/>
  <c r="Z46" s="1"/>
  <c r="AC46" s="1"/>
  <c r="AF46" s="1"/>
  <c r="AI46" s="1"/>
  <c r="AL46" s="1"/>
  <c r="AO46" s="1"/>
  <c r="AR46" s="1"/>
  <c r="AU46" s="1"/>
  <c r="AX46" s="1"/>
  <c r="O46"/>
  <c r="Q25"/>
  <c r="T25" s="1"/>
  <c r="W25" s="1"/>
  <c r="Z25" s="1"/>
  <c r="AC25" s="1"/>
  <c r="AF25" s="1"/>
  <c r="AI25" s="1"/>
  <c r="AL25" s="1"/>
  <c r="AO25" s="1"/>
  <c r="AR25" s="1"/>
  <c r="AU25" s="1"/>
  <c r="AX25" s="1"/>
  <c r="O25"/>
  <c r="Q23"/>
  <c r="T23" s="1"/>
  <c r="W23" s="1"/>
  <c r="Z23" s="1"/>
  <c r="AC23" s="1"/>
  <c r="AF23" s="1"/>
  <c r="AI23" s="1"/>
  <c r="AL23" s="1"/>
  <c r="AO23" s="1"/>
  <c r="AR23" s="1"/>
  <c r="AU23" s="1"/>
  <c r="AX23" s="1"/>
  <c r="O23"/>
  <c r="Q18"/>
  <c r="T18" s="1"/>
  <c r="W18" s="1"/>
  <c r="Z18" s="1"/>
  <c r="AC18" s="1"/>
  <c r="AF18" s="1"/>
  <c r="AI18" s="1"/>
  <c r="AL18" s="1"/>
  <c r="AO18" s="1"/>
  <c r="AR18" s="1"/>
  <c r="AU18" s="1"/>
  <c r="AX18" s="1"/>
  <c r="O18"/>
  <c r="Q16"/>
  <c r="T16" s="1"/>
  <c r="W16" s="1"/>
  <c r="Z16" s="1"/>
  <c r="AC16" s="1"/>
  <c r="AF16" s="1"/>
  <c r="AI16" s="1"/>
  <c r="AL16" s="1"/>
  <c r="AO16" s="1"/>
  <c r="AR16" s="1"/>
  <c r="AU16" s="1"/>
  <c r="AX16" s="1"/>
  <c r="O16"/>
  <c r="O71"/>
  <c r="R71" s="1"/>
  <c r="O69"/>
  <c r="R69" s="1"/>
  <c r="U69" s="1"/>
  <c r="O67"/>
  <c r="R67" s="1"/>
  <c r="U67" s="1"/>
  <c r="O65"/>
  <c r="R65" s="1"/>
  <c r="O63"/>
  <c r="R63" s="1"/>
  <c r="U63" s="1"/>
  <c r="O70"/>
  <c r="O68"/>
  <c r="O66"/>
  <c r="R66" s="1"/>
  <c r="O64"/>
  <c r="R64" s="1"/>
  <c r="U64" s="1"/>
  <c r="O62"/>
  <c r="R62" s="1"/>
  <c r="O60"/>
  <c r="R60" s="1"/>
  <c r="O58"/>
  <c r="R58" s="1"/>
  <c r="U58" s="1"/>
  <c r="O54"/>
  <c r="O52"/>
  <c r="O50"/>
  <c r="O48"/>
  <c r="O45"/>
  <c r="O43"/>
  <c r="R43" s="1"/>
  <c r="O7"/>
  <c r="O35"/>
  <c r="R35" s="1"/>
  <c r="U35" s="1"/>
  <c r="O24"/>
  <c r="R24" s="1"/>
  <c r="U24" s="1"/>
  <c r="O17"/>
  <c r="R17" s="1"/>
  <c r="U17" s="1"/>
  <c r="O12"/>
  <c r="R12" s="1"/>
  <c r="O10"/>
  <c r="R10" s="1"/>
  <c r="O9"/>
  <c r="R9" s="1"/>
  <c r="O8"/>
  <c r="R8" s="1"/>
  <c r="U8" s="1"/>
  <c r="Q61"/>
  <c r="T61" s="1"/>
  <c r="W61" s="1"/>
  <c r="Z61" s="1"/>
  <c r="AC61" s="1"/>
  <c r="AF61" s="1"/>
  <c r="AI61" s="1"/>
  <c r="AL61" s="1"/>
  <c r="AO61" s="1"/>
  <c r="AR61" s="1"/>
  <c r="AU61" s="1"/>
  <c r="AX61" s="1"/>
  <c r="O61"/>
  <c r="R68"/>
  <c r="U68" s="1"/>
  <c r="R44"/>
  <c r="O6"/>
  <c r="O30"/>
  <c r="O20"/>
  <c r="O11"/>
  <c r="Q73"/>
  <c r="T73" s="1"/>
  <c r="W73" s="1"/>
  <c r="Z73" s="1"/>
  <c r="AC73" s="1"/>
  <c r="AF73" s="1"/>
  <c r="AI73" s="1"/>
  <c r="AL73" s="1"/>
  <c r="AO73" s="1"/>
  <c r="AR73" s="1"/>
  <c r="AU73" s="1"/>
  <c r="AX73" s="1"/>
  <c r="O73"/>
  <c r="CE42" l="1"/>
  <c r="BB42"/>
  <c r="BE42" s="1"/>
  <c r="BH42" s="1"/>
  <c r="BK42" s="1"/>
  <c r="BN42" s="1"/>
  <c r="BQ42" s="1"/>
  <c r="BT42" s="1"/>
  <c r="BW42" s="1"/>
  <c r="BZ42" s="1"/>
  <c r="CC42" s="1"/>
  <c r="AJ29"/>
  <c r="AM29" s="1"/>
  <c r="AG27"/>
  <c r="AJ27" s="1"/>
  <c r="AM27" s="1"/>
  <c r="AP27" s="1"/>
  <c r="AS27" s="1"/>
  <c r="AV27" s="1"/>
  <c r="AY27" s="1"/>
  <c r="X56"/>
  <c r="AA56" s="1"/>
  <c r="G42" i="13"/>
  <c r="H10"/>
  <c r="H41" s="1"/>
  <c r="I39"/>
  <c r="AA22" i="7"/>
  <c r="AD22" s="1"/>
  <c r="AG22" s="1"/>
  <c r="AJ22" s="1"/>
  <c r="AM22" s="1"/>
  <c r="AP22" s="1"/>
  <c r="AS22" s="1"/>
  <c r="AV22" s="1"/>
  <c r="AY22" s="1"/>
  <c r="AA21"/>
  <c r="AA14"/>
  <c r="AD15"/>
  <c r="AG15" s="1"/>
  <c r="AD13"/>
  <c r="AG13" s="1"/>
  <c r="AJ13" s="1"/>
  <c r="AD26"/>
  <c r="AG26" s="1"/>
  <c r="U19"/>
  <c r="X19" s="1"/>
  <c r="R51"/>
  <c r="U51" s="1"/>
  <c r="R16"/>
  <c r="U16" s="1"/>
  <c r="R18"/>
  <c r="U18" s="1"/>
  <c r="R23"/>
  <c r="U23" s="1"/>
  <c r="R25"/>
  <c r="U25" s="1"/>
  <c r="R46"/>
  <c r="U46" s="1"/>
  <c r="R47"/>
  <c r="R49"/>
  <c r="U49" s="1"/>
  <c r="R53"/>
  <c r="U53" s="1"/>
  <c r="R57"/>
  <c r="U57" s="1"/>
  <c r="R59"/>
  <c r="U59" s="1"/>
  <c r="R7"/>
  <c r="U7" s="1"/>
  <c r="U65"/>
  <c r="X65" s="1"/>
  <c r="AA65" s="1"/>
  <c r="U72"/>
  <c r="X72" s="1"/>
  <c r="AA72" s="1"/>
  <c r="R55"/>
  <c r="U5"/>
  <c r="X5" s="1"/>
  <c r="AA5" s="1"/>
  <c r="AD5" s="1"/>
  <c r="X69"/>
  <c r="AA69" s="1"/>
  <c r="U71"/>
  <c r="X57"/>
  <c r="AA57" s="1"/>
  <c r="U44"/>
  <c r="X44" s="1"/>
  <c r="R11"/>
  <c r="U11" s="1"/>
  <c r="U12"/>
  <c r="X8"/>
  <c r="U10"/>
  <c r="X10" s="1"/>
  <c r="AA10" s="1"/>
  <c r="AD10" s="1"/>
  <c r="X17"/>
  <c r="AA17" s="1"/>
  <c r="R30"/>
  <c r="U30" s="1"/>
  <c r="X35"/>
  <c r="AA35" s="1"/>
  <c r="R45"/>
  <c r="R48"/>
  <c r="R54"/>
  <c r="R61"/>
  <c r="X58"/>
  <c r="AA58" s="1"/>
  <c r="R70"/>
  <c r="U9"/>
  <c r="X9" s="1"/>
  <c r="AA9" s="1"/>
  <c r="R50"/>
  <c r="U60"/>
  <c r="X60" s="1"/>
  <c r="U62"/>
  <c r="X63"/>
  <c r="U66"/>
  <c r="X67"/>
  <c r="R6"/>
  <c r="R20"/>
  <c r="X24"/>
  <c r="U43"/>
  <c r="R52"/>
  <c r="X64"/>
  <c r="X68"/>
  <c r="R73"/>
  <c r="U73" s="1"/>
  <c r="X73" s="1"/>
  <c r="AA73" s="1"/>
  <c r="G27" l="1"/>
  <c r="AP29"/>
  <c r="AS29" s="1"/>
  <c r="AV29" s="1"/>
  <c r="AY29" s="1"/>
  <c r="G29"/>
  <c r="CE29"/>
  <c r="CE27"/>
  <c r="BB27"/>
  <c r="BE27" s="1"/>
  <c r="BH27" s="1"/>
  <c r="BK27" s="1"/>
  <c r="BN27" s="1"/>
  <c r="BQ27" s="1"/>
  <c r="BT27" s="1"/>
  <c r="BW27" s="1"/>
  <c r="BZ27" s="1"/>
  <c r="CC27" s="1"/>
  <c r="AA8"/>
  <c r="U47"/>
  <c r="X47" s="1"/>
  <c r="G22"/>
  <c r="X18"/>
  <c r="AD56"/>
  <c r="AG56" s="1"/>
  <c r="H42" i="13"/>
  <c r="I10"/>
  <c r="I41" s="1"/>
  <c r="J39"/>
  <c r="CE22" i="7"/>
  <c r="BB22"/>
  <c r="BE22" s="1"/>
  <c r="BH22" s="1"/>
  <c r="BK22" s="1"/>
  <c r="BN22" s="1"/>
  <c r="BQ22" s="1"/>
  <c r="BT22" s="1"/>
  <c r="BW22" s="1"/>
  <c r="BZ22" s="1"/>
  <c r="CC22" s="1"/>
  <c r="AD21"/>
  <c r="AD14"/>
  <c r="AJ15"/>
  <c r="AM15" s="1"/>
  <c r="G15" s="1"/>
  <c r="AM13"/>
  <c r="AP13" s="1"/>
  <c r="AS13" s="1"/>
  <c r="AV13" s="1"/>
  <c r="AY13" s="1"/>
  <c r="CE13" s="1"/>
  <c r="AJ26"/>
  <c r="AA19"/>
  <c r="AD19" s="1"/>
  <c r="AG19" s="1"/>
  <c r="AJ19" s="1"/>
  <c r="AM19" s="1"/>
  <c r="AP19" s="1"/>
  <c r="AS19" s="1"/>
  <c r="AV19" s="1"/>
  <c r="AY19" s="1"/>
  <c r="X11"/>
  <c r="AA11" s="1"/>
  <c r="X16"/>
  <c r="AA16" s="1"/>
  <c r="X7"/>
  <c r="AA7" s="1"/>
  <c r="AD57"/>
  <c r="AG57" s="1"/>
  <c r="AJ57" s="1"/>
  <c r="X71"/>
  <c r="U55"/>
  <c r="AD72"/>
  <c r="AG72" s="1"/>
  <c r="X25"/>
  <c r="AD9"/>
  <c r="X59"/>
  <c r="X51"/>
  <c r="AA51" s="1"/>
  <c r="AD58"/>
  <c r="AG58" s="1"/>
  <c r="U54"/>
  <c r="U48"/>
  <c r="X48" s="1"/>
  <c r="U45"/>
  <c r="AD8"/>
  <c r="AG8" s="1"/>
  <c r="AA60"/>
  <c r="AD60" s="1"/>
  <c r="U6"/>
  <c r="X30"/>
  <c r="AA30" s="1"/>
  <c r="AG5"/>
  <c r="AA25"/>
  <c r="AA67"/>
  <c r="AD67" s="1"/>
  <c r="AA63"/>
  <c r="AD63" s="1"/>
  <c r="AA68"/>
  <c r="AA64"/>
  <c r="X23"/>
  <c r="AG10"/>
  <c r="AJ10" s="1"/>
  <c r="AJ56"/>
  <c r="AM56" s="1"/>
  <c r="AP56" s="1"/>
  <c r="U52"/>
  <c r="X43"/>
  <c r="U50"/>
  <c r="X50" s="1"/>
  <c r="X46"/>
  <c r="AA46" s="1"/>
  <c r="U70"/>
  <c r="X70" s="1"/>
  <c r="X53"/>
  <c r="X49"/>
  <c r="AA49" s="1"/>
  <c r="U61"/>
  <c r="X12"/>
  <c r="AD35"/>
  <c r="AD17"/>
  <c r="AG17" s="1"/>
  <c r="X66"/>
  <c r="X62"/>
  <c r="AD69"/>
  <c r="AD65"/>
  <c r="AA24"/>
  <c r="AD24" s="1"/>
  <c r="U20"/>
  <c r="AA44"/>
  <c r="AD73"/>
  <c r="BB29" l="1"/>
  <c r="BE29" s="1"/>
  <c r="BH29" s="1"/>
  <c r="BK29" s="1"/>
  <c r="BN29" s="1"/>
  <c r="BQ29" s="1"/>
  <c r="BT29" s="1"/>
  <c r="BW29" s="1"/>
  <c r="BZ29" s="1"/>
  <c r="CC29" s="1"/>
  <c r="G56"/>
  <c r="G13"/>
  <c r="AD16"/>
  <c r="AG16" s="1"/>
  <c r="AJ16" s="1"/>
  <c r="AP15"/>
  <c r="AS15" s="1"/>
  <c r="AV15" s="1"/>
  <c r="AY15" s="1"/>
  <c r="BB15" s="1"/>
  <c r="BE15" s="1"/>
  <c r="BH15" s="1"/>
  <c r="BK15" s="1"/>
  <c r="BN15" s="1"/>
  <c r="BQ15" s="1"/>
  <c r="BT15" s="1"/>
  <c r="BW15" s="1"/>
  <c r="BZ15" s="1"/>
  <c r="CC15" s="1"/>
  <c r="AA47"/>
  <c r="AD47" s="1"/>
  <c r="AG21"/>
  <c r="AJ21" s="1"/>
  <c r="AM21" s="1"/>
  <c r="AP21" s="1"/>
  <c r="AS21" s="1"/>
  <c r="AV21" s="1"/>
  <c r="AY21" s="1"/>
  <c r="BB21" s="1"/>
  <c r="BE21" s="1"/>
  <c r="BH21" s="1"/>
  <c r="BK21" s="1"/>
  <c r="BN21" s="1"/>
  <c r="BQ21" s="1"/>
  <c r="BT21" s="1"/>
  <c r="BW21" s="1"/>
  <c r="BZ21" s="1"/>
  <c r="CC21" s="1"/>
  <c r="AG14"/>
  <c r="AJ14" s="1"/>
  <c r="AM14" s="1"/>
  <c r="AP14" s="1"/>
  <c r="AS14" s="1"/>
  <c r="AV14" s="1"/>
  <c r="AY14" s="1"/>
  <c r="G19"/>
  <c r="AA18"/>
  <c r="I42" i="13"/>
  <c r="J10"/>
  <c r="J41" s="1"/>
  <c r="K39"/>
  <c r="CC13" i="7"/>
  <c r="BB13"/>
  <c r="BE13" s="1"/>
  <c r="BH13" s="1"/>
  <c r="BN13"/>
  <c r="BQ13"/>
  <c r="BT13" s="1"/>
  <c r="BW13" s="1"/>
  <c r="BZ13" s="1"/>
  <c r="BK13"/>
  <c r="AM26"/>
  <c r="CE19"/>
  <c r="BB19"/>
  <c r="BE19" s="1"/>
  <c r="BH19" s="1"/>
  <c r="BK19" s="1"/>
  <c r="BN19" s="1"/>
  <c r="BQ19" s="1"/>
  <c r="BT19" s="1"/>
  <c r="BW19" s="1"/>
  <c r="BZ19" s="1"/>
  <c r="CC19" s="1"/>
  <c r="AD7"/>
  <c r="AG7" s="1"/>
  <c r="AJ7" s="1"/>
  <c r="AA71"/>
  <c r="AD71" s="1"/>
  <c r="X55"/>
  <c r="AS56"/>
  <c r="AV56" s="1"/>
  <c r="AY56" s="1"/>
  <c r="AJ17"/>
  <c r="AA12"/>
  <c r="AG63"/>
  <c r="AJ63" s="1"/>
  <c r="AD30"/>
  <c r="AJ8"/>
  <c r="AA48"/>
  <c r="AD48" s="1"/>
  <c r="AG48" s="1"/>
  <c r="AJ58"/>
  <c r="AD51"/>
  <c r="AG51" s="1"/>
  <c r="AJ51" s="1"/>
  <c r="AA59"/>
  <c r="AD59" s="1"/>
  <c r="AA43"/>
  <c r="AD43" s="1"/>
  <c r="AG35"/>
  <c r="AD44"/>
  <c r="X52"/>
  <c r="AA52" s="1"/>
  <c r="AD52" s="1"/>
  <c r="X45"/>
  <c r="X54"/>
  <c r="AA54" s="1"/>
  <c r="AD54" s="1"/>
  <c r="AG9"/>
  <c r="AG60"/>
  <c r="X6"/>
  <c r="AA6" s="1"/>
  <c r="AG24"/>
  <c r="AD64"/>
  <c r="AG65"/>
  <c r="AJ65" s="1"/>
  <c r="AM65" s="1"/>
  <c r="AP65" s="1"/>
  <c r="AS65" s="1"/>
  <c r="AV65" s="1"/>
  <c r="AY65" s="1"/>
  <c r="AD25"/>
  <c r="AJ72"/>
  <c r="AD49"/>
  <c r="AD46"/>
  <c r="AA50"/>
  <c r="AD50" s="1"/>
  <c r="AA23"/>
  <c r="AD23" s="1"/>
  <c r="AG67"/>
  <c r="AJ67" s="1"/>
  <c r="AJ5"/>
  <c r="AM16"/>
  <c r="G16" s="1"/>
  <c r="X61"/>
  <c r="AA70"/>
  <c r="AM10"/>
  <c r="AD11"/>
  <c r="AA62"/>
  <c r="AA66"/>
  <c r="AM57"/>
  <c r="G57" s="1"/>
  <c r="X20"/>
  <c r="AD68"/>
  <c r="AG69"/>
  <c r="AA53"/>
  <c r="AG73"/>
  <c r="CE15" l="1"/>
  <c r="CE21"/>
  <c r="CE14"/>
  <c r="G14"/>
  <c r="AP26"/>
  <c r="AS26" s="1"/>
  <c r="AV26" s="1"/>
  <c r="AY26" s="1"/>
  <c r="G26"/>
  <c r="G65"/>
  <c r="AP10"/>
  <c r="G10"/>
  <c r="G21"/>
  <c r="AM7"/>
  <c r="G7" s="1"/>
  <c r="AG44"/>
  <c r="AJ44" s="1"/>
  <c r="BB14"/>
  <c r="BE14" s="1"/>
  <c r="BH14" s="1"/>
  <c r="BK14" s="1"/>
  <c r="BN14" s="1"/>
  <c r="BQ14" s="1"/>
  <c r="BT14" s="1"/>
  <c r="BW14" s="1"/>
  <c r="BZ14" s="1"/>
  <c r="CC14" s="1"/>
  <c r="AG47"/>
  <c r="AJ47" s="1"/>
  <c r="AG64"/>
  <c r="AD18"/>
  <c r="AA55"/>
  <c r="AD55" s="1"/>
  <c r="J42" i="13"/>
  <c r="K10"/>
  <c r="K41" s="1"/>
  <c r="L39"/>
  <c r="BB26" i="7"/>
  <c r="BE26" s="1"/>
  <c r="BH26" s="1"/>
  <c r="BK26" s="1"/>
  <c r="BN26" s="1"/>
  <c r="BQ26" s="1"/>
  <c r="BT26" s="1"/>
  <c r="BW26" s="1"/>
  <c r="BZ26" s="1"/>
  <c r="CC26" s="1"/>
  <c r="CE26"/>
  <c r="AG71"/>
  <c r="AJ71" s="1"/>
  <c r="AS10"/>
  <c r="AV10" s="1"/>
  <c r="AY10" s="1"/>
  <c r="AM51"/>
  <c r="G51" s="1"/>
  <c r="AM67"/>
  <c r="BB65"/>
  <c r="BE65" s="1"/>
  <c r="BH65" s="1"/>
  <c r="CE65"/>
  <c r="AP51"/>
  <c r="AS51" s="1"/>
  <c r="AV51" s="1"/>
  <c r="AY51" s="1"/>
  <c r="CE56"/>
  <c r="BE56"/>
  <c r="BB56"/>
  <c r="BW56"/>
  <c r="BZ56" s="1"/>
  <c r="CC56"/>
  <c r="AP57"/>
  <c r="AS57" s="1"/>
  <c r="AV57" s="1"/>
  <c r="AY57" s="1"/>
  <c r="AG23"/>
  <c r="AJ23" s="1"/>
  <c r="AM47"/>
  <c r="AP47" s="1"/>
  <c r="AJ60"/>
  <c r="AM60" s="1"/>
  <c r="AJ9"/>
  <c r="AM9" s="1"/>
  <c r="AA20"/>
  <c r="AD20" s="1"/>
  <c r="AG20" s="1"/>
  <c r="AJ20" s="1"/>
  <c r="AM20" s="1"/>
  <c r="AP20" s="1"/>
  <c r="AS20" s="1"/>
  <c r="AD62"/>
  <c r="AG68"/>
  <c r="AJ68" s="1"/>
  <c r="AM68" s="1"/>
  <c r="AP68" s="1"/>
  <c r="AS68" s="1"/>
  <c r="AV68" s="1"/>
  <c r="AY68" s="1"/>
  <c r="CC65"/>
  <c r="AG52"/>
  <c r="AJ52" s="1"/>
  <c r="AM52" s="1"/>
  <c r="AP52" s="1"/>
  <c r="AG50"/>
  <c r="AJ24"/>
  <c r="AD66"/>
  <c r="AP7"/>
  <c r="AS7" s="1"/>
  <c r="AV7" s="1"/>
  <c r="AY7" s="1"/>
  <c r="CE7" s="1"/>
  <c r="AM72"/>
  <c r="G72" s="1"/>
  <c r="AG25"/>
  <c r="AJ64"/>
  <c r="AM64" s="1"/>
  <c r="AP64" s="1"/>
  <c r="AS64" s="1"/>
  <c r="AV64" s="1"/>
  <c r="AY64" s="1"/>
  <c r="AD6"/>
  <c r="AG6" s="1"/>
  <c r="AJ6" s="1"/>
  <c r="AM6" s="1"/>
  <c r="AP6" s="1"/>
  <c r="AS6" s="1"/>
  <c r="AV6" s="1"/>
  <c r="AY6" s="1"/>
  <c r="AG59"/>
  <c r="AM58"/>
  <c r="G58" s="1"/>
  <c r="AM8"/>
  <c r="AG30"/>
  <c r="AJ30" s="1"/>
  <c r="AM30" s="1"/>
  <c r="AP30" s="1"/>
  <c r="AS30" s="1"/>
  <c r="AV30" s="1"/>
  <c r="AY30" s="1"/>
  <c r="AM17"/>
  <c r="AG11"/>
  <c r="AJ11" s="1"/>
  <c r="AM11" s="1"/>
  <c r="AP11" s="1"/>
  <c r="AS11" s="1"/>
  <c r="AV11" s="1"/>
  <c r="AY11" s="1"/>
  <c r="AM5"/>
  <c r="G5" s="1"/>
  <c r="AD53"/>
  <c r="AG49"/>
  <c r="AJ49" s="1"/>
  <c r="AM49" s="1"/>
  <c r="AP49" s="1"/>
  <c r="AJ69"/>
  <c r="AM69" s="1"/>
  <c r="BK65"/>
  <c r="BN65" s="1"/>
  <c r="BQ65" s="1"/>
  <c r="BT65" s="1"/>
  <c r="BW65" s="1"/>
  <c r="BZ65" s="1"/>
  <c r="AG66"/>
  <c r="AJ66" s="1"/>
  <c r="AM66" s="1"/>
  <c r="AP66" s="1"/>
  <c r="AS66" s="1"/>
  <c r="AV66" s="1"/>
  <c r="AY66" s="1"/>
  <c r="CE66" s="1"/>
  <c r="AG54"/>
  <c r="AM44"/>
  <c r="AP44" s="1"/>
  <c r="AS44" s="1"/>
  <c r="AG46"/>
  <c r="AJ48"/>
  <c r="AA45"/>
  <c r="AM63"/>
  <c r="G63" s="1"/>
  <c r="BH56"/>
  <c r="BK56" s="1"/>
  <c r="BN56" s="1"/>
  <c r="BQ56" s="1"/>
  <c r="BT56" s="1"/>
  <c r="AG43"/>
  <c r="AJ43" s="1"/>
  <c r="AM43" s="1"/>
  <c r="AP43" s="1"/>
  <c r="AS43" s="1"/>
  <c r="AD70"/>
  <c r="AA61"/>
  <c r="AD12"/>
  <c r="AJ35"/>
  <c r="AM35" s="1"/>
  <c r="AP16"/>
  <c r="AS16" s="1"/>
  <c r="AV16" s="1"/>
  <c r="AY16" s="1"/>
  <c r="AJ73"/>
  <c r="AP9" l="1"/>
  <c r="AS9" s="1"/>
  <c r="AV9" s="1"/>
  <c r="AY9" s="1"/>
  <c r="CE9" s="1"/>
  <c r="G9"/>
  <c r="G64"/>
  <c r="G44"/>
  <c r="G52"/>
  <c r="G11"/>
  <c r="G49"/>
  <c r="AP35"/>
  <c r="AS35" s="1"/>
  <c r="AV35" s="1"/>
  <c r="AY35" s="1"/>
  <c r="G35"/>
  <c r="AP69"/>
  <c r="AS69" s="1"/>
  <c r="AV69" s="1"/>
  <c r="AY69" s="1"/>
  <c r="CE69" s="1"/>
  <c r="G69"/>
  <c r="AP17"/>
  <c r="AS17" s="1"/>
  <c r="AV17" s="1"/>
  <c r="AY17" s="1"/>
  <c r="G17"/>
  <c r="AP8"/>
  <c r="AS8" s="1"/>
  <c r="AV8" s="1"/>
  <c r="AY8" s="1"/>
  <c r="G8"/>
  <c r="AP60"/>
  <c r="AS60" s="1"/>
  <c r="AV60" s="1"/>
  <c r="AY60" s="1"/>
  <c r="CE60" s="1"/>
  <c r="G60"/>
  <c r="AP67"/>
  <c r="AS67" s="1"/>
  <c r="AV67" s="1"/>
  <c r="AY67" s="1"/>
  <c r="G67"/>
  <c r="G66"/>
  <c r="G47"/>
  <c r="G68"/>
  <c r="G43"/>
  <c r="G30"/>
  <c r="AG53"/>
  <c r="AJ53" s="1"/>
  <c r="AM53" s="1"/>
  <c r="AP53" s="1"/>
  <c r="AS53" s="1"/>
  <c r="AG62"/>
  <c r="AJ62" s="1"/>
  <c r="AM62" s="1"/>
  <c r="AP62" s="1"/>
  <c r="AS62" s="1"/>
  <c r="AV62" s="1"/>
  <c r="AY62" s="1"/>
  <c r="G6"/>
  <c r="AG55"/>
  <c r="AJ55" s="1"/>
  <c r="G20"/>
  <c r="AG18"/>
  <c r="K42" i="13"/>
  <c r="L10"/>
  <c r="L41" s="1"/>
  <c r="M39"/>
  <c r="AV44" i="7"/>
  <c r="AM71"/>
  <c r="AM55"/>
  <c r="AP55" s="1"/>
  <c r="BB10"/>
  <c r="BE10"/>
  <c r="BH10" s="1"/>
  <c r="CC10"/>
  <c r="AV20"/>
  <c r="AY20" s="1"/>
  <c r="CE10"/>
  <c r="BK10"/>
  <c r="BN10" s="1"/>
  <c r="BQ10" s="1"/>
  <c r="BT10" s="1"/>
  <c r="BW10" s="1"/>
  <c r="BZ10" s="1"/>
  <c r="AS47"/>
  <c r="AV47" s="1"/>
  <c r="AY47" s="1"/>
  <c r="BB35"/>
  <c r="BE35" s="1"/>
  <c r="BH35" s="1"/>
  <c r="BK35" s="1"/>
  <c r="BN35" s="1"/>
  <c r="BQ35" s="1"/>
  <c r="BT35" s="1"/>
  <c r="BW35" s="1"/>
  <c r="BZ35" s="1"/>
  <c r="CC35" s="1"/>
  <c r="BB11"/>
  <c r="BE11" s="1"/>
  <c r="BH11" s="1"/>
  <c r="BK11" s="1"/>
  <c r="BN11" s="1"/>
  <c r="BQ11" s="1"/>
  <c r="BT11" s="1"/>
  <c r="BW11" s="1"/>
  <c r="BZ11" s="1"/>
  <c r="CC11" s="1"/>
  <c r="CE11"/>
  <c r="CE30"/>
  <c r="BB30"/>
  <c r="BE30" s="1"/>
  <c r="BH30" s="1"/>
  <c r="BK30" s="1"/>
  <c r="BB8"/>
  <c r="BE8" s="1"/>
  <c r="BH8" s="1"/>
  <c r="BK8" s="1"/>
  <c r="BN8" s="1"/>
  <c r="BQ8" s="1"/>
  <c r="CE64"/>
  <c r="BB64"/>
  <c r="BE64" s="1"/>
  <c r="BH64" s="1"/>
  <c r="BK64" s="1"/>
  <c r="BN64" s="1"/>
  <c r="BQ64" s="1"/>
  <c r="BT64" s="1"/>
  <c r="BW64" s="1"/>
  <c r="BZ64" s="1"/>
  <c r="CC64" s="1"/>
  <c r="CE68"/>
  <c r="BB68"/>
  <c r="BE68" s="1"/>
  <c r="BH68" s="1"/>
  <c r="BK68" s="1"/>
  <c r="BN68" s="1"/>
  <c r="BQ68" s="1"/>
  <c r="BT68" s="1"/>
  <c r="BW68" s="1"/>
  <c r="BZ68" s="1"/>
  <c r="CC68" s="1"/>
  <c r="CE57"/>
  <c r="BB57"/>
  <c r="BE57" s="1"/>
  <c r="BH57" s="1"/>
  <c r="BK57" s="1"/>
  <c r="BN57" s="1"/>
  <c r="BQ57" s="1"/>
  <c r="BT57" s="1"/>
  <c r="BW57" s="1"/>
  <c r="BZ57" s="1"/>
  <c r="CC57" s="1"/>
  <c r="CE67"/>
  <c r="CE16"/>
  <c r="BB16"/>
  <c r="BE16" s="1"/>
  <c r="BH16" s="1"/>
  <c r="BK16" s="1"/>
  <c r="BN16" s="1"/>
  <c r="BQ16" s="1"/>
  <c r="BT16" s="1"/>
  <c r="BW16" s="1"/>
  <c r="BZ16" s="1"/>
  <c r="CC16" s="1"/>
  <c r="CE17"/>
  <c r="BB17"/>
  <c r="BE17" s="1"/>
  <c r="BH17" s="1"/>
  <c r="BK17" s="1"/>
  <c r="BN17" s="1"/>
  <c r="BQ17" s="1"/>
  <c r="CE6"/>
  <c r="BB6"/>
  <c r="BE6" s="1"/>
  <c r="BH6" s="1"/>
  <c r="BK6" s="1"/>
  <c r="BN6" s="1"/>
  <c r="BQ6" s="1"/>
  <c r="BT6" s="1"/>
  <c r="BW6" s="1"/>
  <c r="BZ6" s="1"/>
  <c r="CC6" s="1"/>
  <c r="BB51"/>
  <c r="BE51" s="1"/>
  <c r="BH51" s="1"/>
  <c r="BK51" s="1"/>
  <c r="BN51" s="1"/>
  <c r="BQ51" s="1"/>
  <c r="BT51" s="1"/>
  <c r="BW51" s="1"/>
  <c r="BZ51" s="1"/>
  <c r="CC51" s="1"/>
  <c r="CE51"/>
  <c r="CC9"/>
  <c r="AP72"/>
  <c r="AS72" s="1"/>
  <c r="AM24"/>
  <c r="BZ60"/>
  <c r="CC60" s="1"/>
  <c r="BB60"/>
  <c r="BE60" s="1"/>
  <c r="BH60" s="1"/>
  <c r="BK60" s="1"/>
  <c r="BN60" s="1"/>
  <c r="BQ60" s="1"/>
  <c r="BT60" s="1"/>
  <c r="BW60" s="1"/>
  <c r="BT17"/>
  <c r="BW17" s="1"/>
  <c r="BZ17" s="1"/>
  <c r="CC17" s="1"/>
  <c r="AV43"/>
  <c r="AY43" s="1"/>
  <c r="AY44"/>
  <c r="BN44" s="1"/>
  <c r="BQ44" s="1"/>
  <c r="BT44" s="1"/>
  <c r="BW44" s="1"/>
  <c r="BZ44" s="1"/>
  <c r="CC44" s="1"/>
  <c r="AV53"/>
  <c r="AY53" s="1"/>
  <c r="AJ50"/>
  <c r="AM50" s="1"/>
  <c r="BB9"/>
  <c r="BE9" s="1"/>
  <c r="BH9" s="1"/>
  <c r="BK9" s="1"/>
  <c r="BN9" s="1"/>
  <c r="BQ9" s="1"/>
  <c r="BT9" s="1"/>
  <c r="BW9" s="1"/>
  <c r="BZ9" s="1"/>
  <c r="AG12"/>
  <c r="AJ12" s="1"/>
  <c r="AM12" s="1"/>
  <c r="AP12" s="1"/>
  <c r="AS12" s="1"/>
  <c r="AG70"/>
  <c r="AJ46"/>
  <c r="AM46" s="1"/>
  <c r="AJ54"/>
  <c r="AM54" s="1"/>
  <c r="AS49"/>
  <c r="AV49" s="1"/>
  <c r="AY49" s="1"/>
  <c r="BZ8"/>
  <c r="CC8" s="1"/>
  <c r="BT8"/>
  <c r="BW8" s="1"/>
  <c r="AJ25"/>
  <c r="AM25" s="1"/>
  <c r="AD61"/>
  <c r="AP63"/>
  <c r="AS63" s="1"/>
  <c r="AV63" s="1"/>
  <c r="AY63" s="1"/>
  <c r="AD45"/>
  <c r="BB69"/>
  <c r="BE69" s="1"/>
  <c r="BH69" s="1"/>
  <c r="BK69" s="1"/>
  <c r="BN69" s="1"/>
  <c r="BQ69" s="1"/>
  <c r="BT69" s="1"/>
  <c r="BW69" s="1"/>
  <c r="BZ69" s="1"/>
  <c r="CC69" s="1"/>
  <c r="BN30"/>
  <c r="BQ30" s="1"/>
  <c r="BT30" s="1"/>
  <c r="BW30" s="1"/>
  <c r="BZ30" s="1"/>
  <c r="CC30" s="1"/>
  <c r="AM48"/>
  <c r="AP58"/>
  <c r="AS58" s="1"/>
  <c r="AV58" s="1"/>
  <c r="AY58" s="1"/>
  <c r="CE58" s="1"/>
  <c r="AJ59"/>
  <c r="AS52"/>
  <c r="AV52" s="1"/>
  <c r="AY52" s="1"/>
  <c r="CE52" s="1"/>
  <c r="BW53"/>
  <c r="BZ53" s="1"/>
  <c r="CC53" s="1"/>
  <c r="BB66"/>
  <c r="BE66" s="1"/>
  <c r="BH66" s="1"/>
  <c r="BK66" s="1"/>
  <c r="BN66" s="1"/>
  <c r="BQ66" s="1"/>
  <c r="BT66" s="1"/>
  <c r="BW66" s="1"/>
  <c r="BZ66" s="1"/>
  <c r="CC66" s="1"/>
  <c r="AM23"/>
  <c r="AP5"/>
  <c r="AS5" s="1"/>
  <c r="AV5" s="1"/>
  <c r="AY5" s="1"/>
  <c r="CE5" s="1"/>
  <c r="BB7"/>
  <c r="BE7" s="1"/>
  <c r="BH7" s="1"/>
  <c r="BK7" s="1"/>
  <c r="BN7" s="1"/>
  <c r="BQ7" s="1"/>
  <c r="BT7" s="1"/>
  <c r="BW7" s="1"/>
  <c r="BZ7" s="1"/>
  <c r="CC7" s="1"/>
  <c r="AM73"/>
  <c r="BB67" l="1"/>
  <c r="BE67" s="1"/>
  <c r="BH67" s="1"/>
  <c r="BK67" s="1"/>
  <c r="BN67" s="1"/>
  <c r="BQ67" s="1"/>
  <c r="BT67" s="1"/>
  <c r="BW67" s="1"/>
  <c r="BZ67" s="1"/>
  <c r="CC67" s="1"/>
  <c r="BB62"/>
  <c r="BE62" s="1"/>
  <c r="BH62" s="1"/>
  <c r="BK62" s="1"/>
  <c r="BN62" s="1"/>
  <c r="BQ62" s="1"/>
  <c r="BT62" s="1"/>
  <c r="BW62" s="1"/>
  <c r="BZ62" s="1"/>
  <c r="CC62" s="1"/>
  <c r="CE8"/>
  <c r="CE35"/>
  <c r="BH53"/>
  <c r="BK53" s="1"/>
  <c r="BN53" s="1"/>
  <c r="BQ53" s="1"/>
  <c r="BT53" s="1"/>
  <c r="AP25"/>
  <c r="AS25" s="1"/>
  <c r="AV25" s="1"/>
  <c r="AY25" s="1"/>
  <c r="G25"/>
  <c r="AP24"/>
  <c r="AS24" s="1"/>
  <c r="AV24" s="1"/>
  <c r="AY24" s="1"/>
  <c r="CE24" s="1"/>
  <c r="G24"/>
  <c r="AP71"/>
  <c r="G71"/>
  <c r="G12"/>
  <c r="AP23"/>
  <c r="AS23" s="1"/>
  <c r="AV23" s="1"/>
  <c r="AY23" s="1"/>
  <c r="G23"/>
  <c r="AP46"/>
  <c r="AS46" s="1"/>
  <c r="AV46" s="1"/>
  <c r="AY46" s="1"/>
  <c r="G46"/>
  <c r="AP50"/>
  <c r="AS50" s="1"/>
  <c r="AV50" s="1"/>
  <c r="AY50" s="1"/>
  <c r="CE50" s="1"/>
  <c r="G50"/>
  <c r="AP48"/>
  <c r="AS48" s="1"/>
  <c r="AV48" s="1"/>
  <c r="AY48" s="1"/>
  <c r="G48"/>
  <c r="AP54"/>
  <c r="AS54" s="1"/>
  <c r="G54"/>
  <c r="CE62"/>
  <c r="G62"/>
  <c r="G53"/>
  <c r="G55"/>
  <c r="AG61"/>
  <c r="AJ61" s="1"/>
  <c r="AM61" s="1"/>
  <c r="AP61" s="1"/>
  <c r="AS61" s="1"/>
  <c r="AV61" s="1"/>
  <c r="AY61" s="1"/>
  <c r="BB61" s="1"/>
  <c r="BE61" s="1"/>
  <c r="BH61" s="1"/>
  <c r="BK61" s="1"/>
  <c r="BN61" s="1"/>
  <c r="BQ61" s="1"/>
  <c r="BT61" s="1"/>
  <c r="BW61" s="1"/>
  <c r="BZ61" s="1"/>
  <c r="CC61" s="1"/>
  <c r="AG45"/>
  <c r="AJ45" s="1"/>
  <c r="AM45" s="1"/>
  <c r="AP45" s="1"/>
  <c r="AS45" s="1"/>
  <c r="AV45" s="1"/>
  <c r="AY45" s="1"/>
  <c r="AJ18"/>
  <c r="L42" i="13"/>
  <c r="M10"/>
  <c r="M41" s="1"/>
  <c r="N39"/>
  <c r="BB20" i="7"/>
  <c r="BE20" s="1"/>
  <c r="BH20" s="1"/>
  <c r="BK20" s="1"/>
  <c r="BN20" s="1"/>
  <c r="BQ20" s="1"/>
  <c r="BT20" s="1"/>
  <c r="BW20" s="1"/>
  <c r="BZ20" s="1"/>
  <c r="CC20" s="1"/>
  <c r="BB47"/>
  <c r="BE47" s="1"/>
  <c r="BH47" s="1"/>
  <c r="BK47" s="1"/>
  <c r="BN47" s="1"/>
  <c r="BQ47" s="1"/>
  <c r="BT47" s="1"/>
  <c r="BW47" s="1"/>
  <c r="BZ47" s="1"/>
  <c r="CC47" s="1"/>
  <c r="AS55"/>
  <c r="CE47"/>
  <c r="BB58"/>
  <c r="BE58" s="1"/>
  <c r="BH58" s="1"/>
  <c r="BK58" s="1"/>
  <c r="BN58" s="1"/>
  <c r="BQ58" s="1"/>
  <c r="BZ58"/>
  <c r="CC58" s="1"/>
  <c r="BT58"/>
  <c r="BW58" s="1"/>
  <c r="AV12"/>
  <c r="AV72"/>
  <c r="CE20"/>
  <c r="BN49"/>
  <c r="BQ49" s="1"/>
  <c r="BT49" s="1"/>
  <c r="BW49" s="1"/>
  <c r="BZ49" s="1"/>
  <c r="CC49" s="1"/>
  <c r="BE49"/>
  <c r="BH49" s="1"/>
  <c r="BK49" s="1"/>
  <c r="BN52"/>
  <c r="BQ52" s="1"/>
  <c r="BT52" s="1"/>
  <c r="BW52" s="1"/>
  <c r="BZ52" s="1"/>
  <c r="CC52" s="1"/>
  <c r="BB24"/>
  <c r="BE24" s="1"/>
  <c r="BH24" s="1"/>
  <c r="BK24" s="1"/>
  <c r="BN24" s="1"/>
  <c r="BQ24" s="1"/>
  <c r="BT24" s="1"/>
  <c r="BW24" s="1"/>
  <c r="BZ24"/>
  <c r="CC24" s="1"/>
  <c r="BB23"/>
  <c r="BE23" s="1"/>
  <c r="BH23" s="1"/>
  <c r="BK23" s="1"/>
  <c r="BN23" s="1"/>
  <c r="BQ23" s="1"/>
  <c r="BT23" s="1"/>
  <c r="BW23" s="1"/>
  <c r="BZ23" s="1"/>
  <c r="CC23" s="1"/>
  <c r="CE25"/>
  <c r="BB25"/>
  <c r="BE25" s="1"/>
  <c r="BH25" s="1"/>
  <c r="BK25" s="1"/>
  <c r="BN25" s="1"/>
  <c r="BQ25" s="1"/>
  <c r="BT25" s="1"/>
  <c r="BW25" s="1"/>
  <c r="BZ25" s="1"/>
  <c r="CC25" s="1"/>
  <c r="CE46"/>
  <c r="BB48"/>
  <c r="BE48" s="1"/>
  <c r="BH48" s="1"/>
  <c r="BK48" s="1"/>
  <c r="BN48" s="1"/>
  <c r="BQ48" s="1"/>
  <c r="BT48" s="1"/>
  <c r="BW48" s="1"/>
  <c r="BZ48" s="1"/>
  <c r="CC48" s="1"/>
  <c r="CE45"/>
  <c r="BB45"/>
  <c r="BE45" s="1"/>
  <c r="BH45" s="1"/>
  <c r="BK45" s="1"/>
  <c r="BN45" s="1"/>
  <c r="BQ45" s="1"/>
  <c r="BT45" s="1"/>
  <c r="BW45" s="1"/>
  <c r="BZ45" s="1"/>
  <c r="CC45" s="1"/>
  <c r="CE63"/>
  <c r="BB63"/>
  <c r="BE63" s="1"/>
  <c r="BH63" s="1"/>
  <c r="BK63" s="1"/>
  <c r="BN63" s="1"/>
  <c r="BQ63" s="1"/>
  <c r="BT63" s="1"/>
  <c r="BW63" s="1"/>
  <c r="BZ63" s="1"/>
  <c r="CC63" s="1"/>
  <c r="CE49"/>
  <c r="BB49"/>
  <c r="CE44"/>
  <c r="BB44"/>
  <c r="BE44" s="1"/>
  <c r="BH44" s="1"/>
  <c r="BK44" s="1"/>
  <c r="CE39"/>
  <c r="BB50"/>
  <c r="BE50" s="1"/>
  <c r="BH50" s="1"/>
  <c r="BK50" s="1"/>
  <c r="BN50" s="1"/>
  <c r="BQ50" s="1"/>
  <c r="BT50" s="1"/>
  <c r="BW50" s="1"/>
  <c r="BZ50" s="1"/>
  <c r="CC50" s="1"/>
  <c r="BB52"/>
  <c r="BE52" s="1"/>
  <c r="BH52" s="1"/>
  <c r="BK52" s="1"/>
  <c r="AJ70"/>
  <c r="AM70" s="1"/>
  <c r="CE53"/>
  <c r="BB53"/>
  <c r="BE53" s="1"/>
  <c r="CE43"/>
  <c r="BB43"/>
  <c r="BE43" s="1"/>
  <c r="BH43" s="1"/>
  <c r="BK43" s="1"/>
  <c r="BN43" s="1"/>
  <c r="BQ43" s="1"/>
  <c r="BT43" s="1"/>
  <c r="BW43" s="1"/>
  <c r="BZ43" s="1"/>
  <c r="CC43" s="1"/>
  <c r="AM59"/>
  <c r="BB5"/>
  <c r="BE5" s="1"/>
  <c r="BH5" s="1"/>
  <c r="BK5" s="1"/>
  <c r="BN5" s="1"/>
  <c r="BQ5" s="1"/>
  <c r="BT5" s="1"/>
  <c r="BW5" s="1"/>
  <c r="BZ5" s="1"/>
  <c r="CC5" s="1"/>
  <c r="AP73"/>
  <c r="AS73" s="1"/>
  <c r="AV73" s="1"/>
  <c r="CE48" l="1"/>
  <c r="BB46"/>
  <c r="BE46" s="1"/>
  <c r="BH46" s="1"/>
  <c r="BK46" s="1"/>
  <c r="BN46" s="1"/>
  <c r="BQ46" s="1"/>
  <c r="BT46" s="1"/>
  <c r="BW46" s="1"/>
  <c r="BZ46" s="1"/>
  <c r="CC46" s="1"/>
  <c r="CE61"/>
  <c r="CE23"/>
  <c r="CC39"/>
  <c r="AV54"/>
  <c r="AY54" s="1"/>
  <c r="CE54" s="1"/>
  <c r="G45"/>
  <c r="G61"/>
  <c r="AP70"/>
  <c r="AS70" s="1"/>
  <c r="AV70" s="1"/>
  <c r="AY70" s="1"/>
  <c r="G70"/>
  <c r="AS71"/>
  <c r="AV71" s="1"/>
  <c r="AY71" s="1"/>
  <c r="CE71" s="1"/>
  <c r="AP59"/>
  <c r="AS59" s="1"/>
  <c r="AV59" s="1"/>
  <c r="AY59" s="1"/>
  <c r="G59"/>
  <c r="AM18"/>
  <c r="M42" i="13"/>
  <c r="N10"/>
  <c r="N41" s="1"/>
  <c r="O39"/>
  <c r="BB54" i="7"/>
  <c r="BE54" s="1"/>
  <c r="BH54" s="1"/>
  <c r="BK54" s="1"/>
  <c r="BN54" s="1"/>
  <c r="BQ54" s="1"/>
  <c r="BT54" s="1"/>
  <c r="BW54" s="1"/>
  <c r="BZ54" s="1"/>
  <c r="CC54" s="1"/>
  <c r="AV55"/>
  <c r="AY55" s="1"/>
  <c r="AY12"/>
  <c r="BQ12" s="1"/>
  <c r="BT12" s="1"/>
  <c r="BW12" s="1"/>
  <c r="BZ12" s="1"/>
  <c r="AY72"/>
  <c r="BB72" s="1"/>
  <c r="BE72" s="1"/>
  <c r="CE70"/>
  <c r="BB59"/>
  <c r="BE59" s="1"/>
  <c r="BH59" s="1"/>
  <c r="BK59" s="1"/>
  <c r="BN59" s="1"/>
  <c r="BQ59" s="1"/>
  <c r="BT59" s="1"/>
  <c r="BW59" s="1"/>
  <c r="BZ59" s="1"/>
  <c r="CC59" s="1"/>
  <c r="G73"/>
  <c r="AY73"/>
  <c r="BT73" s="1"/>
  <c r="BW73" s="1"/>
  <c r="BZ73" s="1"/>
  <c r="CC73" s="1"/>
  <c r="BB70" l="1"/>
  <c r="BE70" s="1"/>
  <c r="BH70" s="1"/>
  <c r="BK70" s="1"/>
  <c r="BN70" s="1"/>
  <c r="BQ70" s="1"/>
  <c r="BT70" s="1"/>
  <c r="BW70" s="1"/>
  <c r="BZ70" s="1"/>
  <c r="CC70" s="1"/>
  <c r="CE59"/>
  <c r="BK71"/>
  <c r="BN71" s="1"/>
  <c r="BQ71" s="1"/>
  <c r="BT71" s="1"/>
  <c r="BW71" s="1"/>
  <c r="BZ71" s="1"/>
  <c r="CC71" s="1"/>
  <c r="AP18"/>
  <c r="AS18" s="1"/>
  <c r="AV18" s="1"/>
  <c r="AY18" s="1"/>
  <c r="CE18" s="1"/>
  <c r="G18"/>
  <c r="BB71"/>
  <c r="BE71" s="1"/>
  <c r="BH71" s="1"/>
  <c r="N42" i="13"/>
  <c r="O10"/>
  <c r="O41" s="1"/>
  <c r="P39"/>
  <c r="CE55" i="7"/>
  <c r="BB55"/>
  <c r="BE55" s="1"/>
  <c r="BH55" s="1"/>
  <c r="BK55" s="1"/>
  <c r="BN55" s="1"/>
  <c r="BQ55" s="1"/>
  <c r="BT55" s="1"/>
  <c r="BW55" s="1"/>
  <c r="BZ55" s="1"/>
  <c r="CC55" s="1"/>
  <c r="BH72"/>
  <c r="BK72" s="1"/>
  <c r="CE72"/>
  <c r="BN72"/>
  <c r="BQ72" s="1"/>
  <c r="BT72" s="1"/>
  <c r="BW72" s="1"/>
  <c r="BZ72" s="1"/>
  <c r="CC72" s="1"/>
  <c r="CE12"/>
  <c r="BK12"/>
  <c r="BN12" s="1"/>
  <c r="BB12"/>
  <c r="BE12"/>
  <c r="BH12" s="1"/>
  <c r="CC12"/>
  <c r="BB73"/>
  <c r="BE73" s="1"/>
  <c r="BH73" s="1"/>
  <c r="BK73" s="1"/>
  <c r="BN73" s="1"/>
  <c r="BQ73" s="1"/>
  <c r="CE73"/>
  <c r="B12" i="9"/>
  <c r="B11"/>
  <c r="B10"/>
  <c r="B9"/>
  <c r="B2"/>
  <c r="B5"/>
  <c r="B4"/>
  <c r="B3"/>
  <c r="BB18" i="7" l="1"/>
  <c r="BE18" s="1"/>
  <c r="BH18" s="1"/>
  <c r="BK18" s="1"/>
  <c r="BN18"/>
  <c r="BQ18" s="1"/>
  <c r="BT18"/>
  <c r="BW18" s="1"/>
  <c r="BZ18" s="1"/>
  <c r="CC18" s="1"/>
  <c r="O42" i="13"/>
  <c r="P10"/>
  <c r="P41" s="1"/>
  <c r="Q39"/>
  <c r="B25" i="9"/>
  <c r="B6"/>
  <c r="BA4" i="7"/>
  <c r="BD4" s="1"/>
  <c r="BG4" s="1"/>
  <c r="BJ4" s="1"/>
  <c r="BM4" s="1"/>
  <c r="BP4" s="1"/>
  <c r="BS4" s="1"/>
  <c r="BV4" s="1"/>
  <c r="BY4" s="1"/>
  <c r="CB4" s="1"/>
  <c r="K4"/>
  <c r="L4" s="1"/>
  <c r="G25" i="6"/>
  <c r="G24"/>
  <c r="G23"/>
  <c r="G22"/>
  <c r="G21"/>
  <c r="G20"/>
  <c r="G19"/>
  <c r="G18"/>
  <c r="G16"/>
  <c r="G15"/>
  <c r="G14"/>
  <c r="G13"/>
  <c r="G12"/>
  <c r="G11"/>
  <c r="G10"/>
  <c r="G9"/>
  <c r="G8"/>
  <c r="D2"/>
  <c r="D3"/>
  <c r="I6" s="1"/>
  <c r="J1" i="7"/>
  <c r="M1" s="1"/>
  <c r="O75"/>
  <c r="R75" s="1"/>
  <c r="U75" s="1"/>
  <c r="X75" s="1"/>
  <c r="AA75" s="1"/>
  <c r="AD75" s="1"/>
  <c r="AG75" s="1"/>
  <c r="AJ75" s="1"/>
  <c r="AM75" s="1"/>
  <c r="AP75" s="1"/>
  <c r="AS75" s="1"/>
  <c r="AV75" s="1"/>
  <c r="AY75" s="1"/>
  <c r="Y79"/>
  <c r="AB79"/>
  <c r="AE79"/>
  <c r="AH79"/>
  <c r="AK79"/>
  <c r="AN79"/>
  <c r="AQ79"/>
  <c r="AT79"/>
  <c r="AW79"/>
  <c r="J79"/>
  <c r="A19" i="8"/>
  <c r="CE74" i="7"/>
  <c r="I79"/>
  <c r="M79"/>
  <c r="P79"/>
  <c r="S79"/>
  <c r="V79"/>
  <c r="AZ79"/>
  <c r="BC79"/>
  <c r="BF79"/>
  <c r="BI79"/>
  <c r="BL79"/>
  <c r="BO79"/>
  <c r="BR79"/>
  <c r="BU79"/>
  <c r="BX79"/>
  <c r="CA79"/>
  <c r="BB75"/>
  <c r="BE75" s="1"/>
  <c r="BH75" s="1"/>
  <c r="BK75" s="1"/>
  <c r="BN75" s="1"/>
  <c r="BQ75" s="1"/>
  <c r="BT75" s="1"/>
  <c r="BW75" s="1"/>
  <c r="BZ75" s="1"/>
  <c r="CC75" s="1"/>
  <c r="G17" i="6"/>
  <c r="AZ1" i="7"/>
  <c r="BC1" s="1"/>
  <c r="BF1" s="1"/>
  <c r="BI1" s="1"/>
  <c r="BL1" s="1"/>
  <c r="BO1" s="1"/>
  <c r="BR1" s="1"/>
  <c r="BU1" s="1"/>
  <c r="BX1" s="1"/>
  <c r="CA1" s="1"/>
  <c r="P42" i="13" l="1"/>
  <c r="Q10"/>
  <c r="Q41" s="1"/>
  <c r="R39"/>
  <c r="C14" i="9"/>
  <c r="C18"/>
  <c r="C20"/>
  <c r="C22"/>
  <c r="C24"/>
  <c r="C16"/>
  <c r="C23"/>
  <c r="C19"/>
  <c r="C21"/>
  <c r="C15"/>
  <c r="C17"/>
  <c r="C13"/>
  <c r="C9"/>
  <c r="C12"/>
  <c r="C11"/>
  <c r="C10"/>
  <c r="BA79" i="7"/>
  <c r="BD79"/>
  <c r="N4"/>
  <c r="Q4" s="1"/>
  <c r="T4" s="1"/>
  <c r="W4" s="1"/>
  <c r="Z4" s="1"/>
  <c r="AC4" s="1"/>
  <c r="AF4" s="1"/>
  <c r="AI4" s="1"/>
  <c r="AL4" s="1"/>
  <c r="AO4" s="1"/>
  <c r="AR4" s="1"/>
  <c r="AU4" s="1"/>
  <c r="AX4" s="1"/>
  <c r="BG79"/>
  <c r="K79"/>
  <c r="P6" i="6"/>
  <c r="I25"/>
  <c r="I22"/>
  <c r="I21"/>
  <c r="I19"/>
  <c r="I17"/>
  <c r="I16"/>
  <c r="I9"/>
  <c r="I10"/>
  <c r="I12"/>
  <c r="I15"/>
  <c r="J6"/>
  <c r="I23"/>
  <c r="I24"/>
  <c r="I20"/>
  <c r="I8"/>
  <c r="I18"/>
  <c r="I13"/>
  <c r="I11"/>
  <c r="I14"/>
  <c r="E20" i="8"/>
  <c r="E36" s="1"/>
  <c r="P1" i="7"/>
  <c r="F20" i="8"/>
  <c r="C8" i="6"/>
  <c r="Q42" i="13" l="1"/>
  <c r="R10"/>
  <c r="R41" s="1"/>
  <c r="S39"/>
  <c r="C25" i="9"/>
  <c r="N79" i="7"/>
  <c r="O4"/>
  <c r="BJ79"/>
  <c r="E23" i="8"/>
  <c r="E24" s="1"/>
  <c r="E22"/>
  <c r="E31"/>
  <c r="E37"/>
  <c r="E35"/>
  <c r="P22" i="6"/>
  <c r="P24"/>
  <c r="P20"/>
  <c r="P14"/>
  <c r="P12"/>
  <c r="P15"/>
  <c r="P9"/>
  <c r="P18"/>
  <c r="Q6"/>
  <c r="P25"/>
  <c r="P21"/>
  <c r="P23"/>
  <c r="P19"/>
  <c r="P10"/>
  <c r="P11"/>
  <c r="P8"/>
  <c r="P16"/>
  <c r="P13"/>
  <c r="P17"/>
  <c r="J13"/>
  <c r="J15"/>
  <c r="J10"/>
  <c r="J11"/>
  <c r="J18"/>
  <c r="J23"/>
  <c r="J22"/>
  <c r="J24"/>
  <c r="J19"/>
  <c r="J16"/>
  <c r="J17"/>
  <c r="J14"/>
  <c r="J12"/>
  <c r="J8"/>
  <c r="J9"/>
  <c r="K6"/>
  <c r="J25"/>
  <c r="J21"/>
  <c r="J20"/>
  <c r="S1" i="7"/>
  <c r="G20" i="8"/>
  <c r="F23"/>
  <c r="F22"/>
  <c r="R42" i="13" l="1"/>
  <c r="S10"/>
  <c r="S41" s="1"/>
  <c r="T39"/>
  <c r="R4" i="7"/>
  <c r="F36" i="8"/>
  <c r="Q79" i="7"/>
  <c r="F31" i="8"/>
  <c r="W79" i="7"/>
  <c r="T79"/>
  <c r="F37" i="8"/>
  <c r="F35"/>
  <c r="U4" i="7"/>
  <c r="F24" i="8"/>
  <c r="F27" s="1"/>
  <c r="F28" s="1"/>
  <c r="BM79" i="7"/>
  <c r="Z79"/>
  <c r="Q18" i="6"/>
  <c r="R6"/>
  <c r="Q25"/>
  <c r="Q22"/>
  <c r="Q21"/>
  <c r="Q19"/>
  <c r="Q9"/>
  <c r="Q12"/>
  <c r="Q15"/>
  <c r="Q10"/>
  <c r="Q17"/>
  <c r="Q23"/>
  <c r="Q24"/>
  <c r="Q20"/>
  <c r="Q8"/>
  <c r="Q13"/>
  <c r="Q11"/>
  <c r="Q14"/>
  <c r="Q16"/>
  <c r="K8"/>
  <c r="K16"/>
  <c r="K15"/>
  <c r="K9"/>
  <c r="K12"/>
  <c r="K25"/>
  <c r="K20"/>
  <c r="K23"/>
  <c r="K19"/>
  <c r="K17"/>
  <c r="K18"/>
  <c r="K11"/>
  <c r="K13"/>
  <c r="K14"/>
  <c r="K10"/>
  <c r="K24"/>
  <c r="K22"/>
  <c r="L6"/>
  <c r="K21"/>
  <c r="V1" i="7"/>
  <c r="H20" i="8"/>
  <c r="G22"/>
  <c r="G23"/>
  <c r="G24" s="1"/>
  <c r="E25"/>
  <c r="E27"/>
  <c r="E28" s="1"/>
  <c r="S42" i="13" l="1"/>
  <c r="T10"/>
  <c r="T41" s="1"/>
  <c r="U39"/>
  <c r="F25" i="8"/>
  <c r="G36"/>
  <c r="G37"/>
  <c r="G35"/>
  <c r="G31"/>
  <c r="X4" i="7"/>
  <c r="BP79"/>
  <c r="G25" i="8"/>
  <c r="AC79" i="7"/>
  <c r="R22" i="6"/>
  <c r="R24"/>
  <c r="R20"/>
  <c r="R15"/>
  <c r="R10"/>
  <c r="R13"/>
  <c r="R12"/>
  <c r="R18"/>
  <c r="S6"/>
  <c r="R25"/>
  <c r="R21"/>
  <c r="R23"/>
  <c r="R19"/>
  <c r="R11"/>
  <c r="R16"/>
  <c r="R17"/>
  <c r="R9"/>
  <c r="R14"/>
  <c r="R8"/>
  <c r="L18"/>
  <c r="L16"/>
  <c r="L12"/>
  <c r="L13"/>
  <c r="L11"/>
  <c r="L9"/>
  <c r="M6"/>
  <c r="L22"/>
  <c r="L24"/>
  <c r="L20"/>
  <c r="L8"/>
  <c r="L15"/>
  <c r="L14"/>
  <c r="L10"/>
  <c r="L17"/>
  <c r="L25"/>
  <c r="L21"/>
  <c r="L23"/>
  <c r="L19"/>
  <c r="Y1" i="7"/>
  <c r="I20" i="8"/>
  <c r="G27"/>
  <c r="G28" s="1"/>
  <c r="H23"/>
  <c r="H24" s="1"/>
  <c r="H27" s="1"/>
  <c r="H22"/>
  <c r="T42" i="13" l="1"/>
  <c r="U10"/>
  <c r="U41" s="1"/>
  <c r="V39"/>
  <c r="H25" i="8"/>
  <c r="H37"/>
  <c r="H36"/>
  <c r="H31"/>
  <c r="H35"/>
  <c r="H28"/>
  <c r="AA4" i="7"/>
  <c r="AD4" s="1"/>
  <c r="BS79"/>
  <c r="AF79"/>
  <c r="M18" i="6"/>
  <c r="M17"/>
  <c r="M8"/>
  <c r="M11"/>
  <c r="M9"/>
  <c r="M24"/>
  <c r="M25"/>
  <c r="M23"/>
  <c r="N6"/>
  <c r="O6" s="1"/>
  <c r="M10"/>
  <c r="M14"/>
  <c r="M15"/>
  <c r="M13"/>
  <c r="M12"/>
  <c r="M16"/>
  <c r="M21"/>
  <c r="M20"/>
  <c r="M22"/>
  <c r="M19"/>
  <c r="S18"/>
  <c r="T6"/>
  <c r="S25"/>
  <c r="S24"/>
  <c r="S21"/>
  <c r="S19"/>
  <c r="S10"/>
  <c r="S8"/>
  <c r="S17"/>
  <c r="S13"/>
  <c r="S15"/>
  <c r="S16"/>
  <c r="S22"/>
  <c r="S23"/>
  <c r="S20"/>
  <c r="S9"/>
  <c r="S12"/>
  <c r="S11"/>
  <c r="S14"/>
  <c r="AB1" i="7"/>
  <c r="J20" i="8"/>
  <c r="I37"/>
  <c r="I23"/>
  <c r="I24" s="1"/>
  <c r="I27" s="1"/>
  <c r="I22"/>
  <c r="I31"/>
  <c r="U42" i="13" l="1"/>
  <c r="V10"/>
  <c r="V41" s="1"/>
  <c r="W39"/>
  <c r="I35" i="8"/>
  <c r="I36"/>
  <c r="I28"/>
  <c r="AG4" i="7"/>
  <c r="AJ4" s="1"/>
  <c r="J36" i="8"/>
  <c r="BV79" i="7"/>
  <c r="AI79"/>
  <c r="T23" i="6"/>
  <c r="W23" s="1"/>
  <c r="T21"/>
  <c r="W21" s="1"/>
  <c r="T20"/>
  <c r="W20" s="1"/>
  <c r="U6"/>
  <c r="V6" s="1"/>
  <c r="T16"/>
  <c r="W16" s="1"/>
  <c r="T11"/>
  <c r="W11" s="1"/>
  <c r="T8"/>
  <c r="W8" s="1"/>
  <c r="T10"/>
  <c r="W10" s="1"/>
  <c r="T13"/>
  <c r="W13" s="1"/>
  <c r="T17"/>
  <c r="W17" s="1"/>
  <c r="T18"/>
  <c r="W18" s="1"/>
  <c r="T25"/>
  <c r="W25" s="1"/>
  <c r="T22"/>
  <c r="W22" s="1"/>
  <c r="T24"/>
  <c r="W24" s="1"/>
  <c r="T19"/>
  <c r="W19" s="1"/>
  <c r="T14"/>
  <c r="T12"/>
  <c r="W12" s="1"/>
  <c r="T15"/>
  <c r="W15" s="1"/>
  <c r="T9"/>
  <c r="W9" s="1"/>
  <c r="W14"/>
  <c r="AE1" i="7"/>
  <c r="K20" i="8"/>
  <c r="J22"/>
  <c r="J31"/>
  <c r="J23"/>
  <c r="J24" s="1"/>
  <c r="J35"/>
  <c r="I25"/>
  <c r="V42" i="13" l="1"/>
  <c r="W10"/>
  <c r="W41" s="1"/>
  <c r="X39"/>
  <c r="J37" i="8"/>
  <c r="AM4" i="7"/>
  <c r="CB79"/>
  <c r="BY79"/>
  <c r="J27" i="8"/>
  <c r="J28" s="1"/>
  <c r="J25"/>
  <c r="AL79" i="7"/>
  <c r="C9" i="6"/>
  <c r="C10" s="1"/>
  <c r="AH1" i="7"/>
  <c r="L20" i="8"/>
  <c r="K22"/>
  <c r="K23"/>
  <c r="K24" s="1"/>
  <c r="AP4" i="7" l="1"/>
  <c r="AS4" s="1"/>
  <c r="AV4" s="1"/>
  <c r="AY4" s="1"/>
  <c r="CE4" s="1"/>
  <c r="G4"/>
  <c r="W42" i="13"/>
  <c r="X10"/>
  <c r="X41" s="1"/>
  <c r="Y39"/>
  <c r="K36" i="8"/>
  <c r="K35"/>
  <c r="K37"/>
  <c r="K31"/>
  <c r="AO79" i="7"/>
  <c r="K27" i="8"/>
  <c r="K28" s="1"/>
  <c r="K25"/>
  <c r="AK1" i="7"/>
  <c r="M20" i="8"/>
  <c r="L22"/>
  <c r="L31"/>
  <c r="L37"/>
  <c r="L35"/>
  <c r="L23"/>
  <c r="L24" s="1"/>
  <c r="L27" s="1"/>
  <c r="L36"/>
  <c r="L28" l="1"/>
  <c r="BB4" i="7"/>
  <c r="BE4" s="1"/>
  <c r="BH4" s="1"/>
  <c r="BK4" s="1"/>
  <c r="BN4" s="1"/>
  <c r="BQ4" s="1"/>
  <c r="BT4" s="1"/>
  <c r="BW4" s="1"/>
  <c r="BZ4" s="1"/>
  <c r="CC4" s="1"/>
  <c r="X42" i="13"/>
  <c r="Y10"/>
  <c r="Y41" s="1"/>
  <c r="Z39"/>
  <c r="AR79" i="7"/>
  <c r="L25" i="8"/>
  <c r="N20"/>
  <c r="AN1" i="7"/>
  <c r="M23" i="8"/>
  <c r="M24" s="1"/>
  <c r="M27" s="1"/>
  <c r="M37"/>
  <c r="M31"/>
  <c r="M22"/>
  <c r="M35"/>
  <c r="M36"/>
  <c r="Y42" i="13" l="1"/>
  <c r="Z10"/>
  <c r="Z41" s="1"/>
  <c r="AA39"/>
  <c r="M28" i="8"/>
  <c r="AU79" i="7"/>
  <c r="N31" i="8"/>
  <c r="N35"/>
  <c r="N23"/>
  <c r="N24" s="1"/>
  <c r="N27" s="1"/>
  <c r="N37"/>
  <c r="N36"/>
  <c r="N22"/>
  <c r="M25"/>
  <c r="AQ1" i="7"/>
  <c r="O20" i="8"/>
  <c r="Z42" i="13" l="1"/>
  <c r="AA10"/>
  <c r="AA41" s="1"/>
  <c r="AB39"/>
  <c r="B30" i="9"/>
  <c r="B29"/>
  <c r="B31"/>
  <c r="B32"/>
  <c r="B28"/>
  <c r="N28" i="8"/>
  <c r="AX79" i="7"/>
  <c r="AT1"/>
  <c r="P20" i="8"/>
  <c r="O23"/>
  <c r="O24" s="1"/>
  <c r="O27" s="1"/>
  <c r="O31"/>
  <c r="O36"/>
  <c r="O22"/>
  <c r="O37"/>
  <c r="O35"/>
  <c r="N25"/>
  <c r="AA42" i="13" l="1"/>
  <c r="AB10"/>
  <c r="AB41" s="1"/>
  <c r="AC39"/>
  <c r="B33" i="9"/>
  <c r="C28" s="1"/>
  <c r="O28" i="8"/>
  <c r="O25"/>
  <c r="O33"/>
  <c r="O32" s="1"/>
  <c r="AW1" i="7"/>
  <c r="R20" i="8" s="1"/>
  <c r="Q20"/>
  <c r="P22"/>
  <c r="P37"/>
  <c r="P31"/>
  <c r="P23"/>
  <c r="P36"/>
  <c r="P35"/>
  <c r="P33"/>
  <c r="P24"/>
  <c r="P27" s="1"/>
  <c r="AB42" i="13" l="1"/>
  <c r="AC10"/>
  <c r="AC41" s="1"/>
  <c r="AD39"/>
  <c r="C29" i="9"/>
  <c r="C30"/>
  <c r="C32"/>
  <c r="C31"/>
  <c r="P28" i="8"/>
  <c r="O29"/>
  <c r="I33"/>
  <c r="I29" s="1"/>
  <c r="J33"/>
  <c r="K33"/>
  <c r="M33"/>
  <c r="N33"/>
  <c r="L33"/>
  <c r="G33"/>
  <c r="G32" s="1"/>
  <c r="H33"/>
  <c r="E33"/>
  <c r="F33"/>
  <c r="BB79" i="7"/>
  <c r="R23" i="8"/>
  <c r="R31"/>
  <c r="R35"/>
  <c r="R33"/>
  <c r="R22"/>
  <c r="R37"/>
  <c r="R36"/>
  <c r="P25"/>
  <c r="P29" s="1"/>
  <c r="Q23"/>
  <c r="R24" s="1"/>
  <c r="Q35"/>
  <c r="Q36"/>
  <c r="Q22"/>
  <c r="Q31"/>
  <c r="Q37"/>
  <c r="Q33"/>
  <c r="P32"/>
  <c r="AC42" i="13" l="1"/>
  <c r="AD10"/>
  <c r="AD41" s="1"/>
  <c r="AE39"/>
  <c r="I32" i="8"/>
  <c r="C33" i="9"/>
  <c r="N32" i="8"/>
  <c r="N29"/>
  <c r="K32"/>
  <c r="K29"/>
  <c r="L32"/>
  <c r="L29"/>
  <c r="M32"/>
  <c r="M29"/>
  <c r="J32"/>
  <c r="J29"/>
  <c r="G29"/>
  <c r="H29"/>
  <c r="H32"/>
  <c r="E29"/>
  <c r="E32"/>
  <c r="F29"/>
  <c r="F32"/>
  <c r="Q24"/>
  <c r="BE79" i="7"/>
  <c r="R25" i="8"/>
  <c r="R29" s="1"/>
  <c r="R27"/>
  <c r="R28" s="1"/>
  <c r="R32"/>
  <c r="AD42" i="13" l="1"/>
  <c r="AE10"/>
  <c r="AE41" s="1"/>
  <c r="AF39"/>
  <c r="Q27" i="8"/>
  <c r="Q28" s="1"/>
  <c r="Q25"/>
  <c r="Q29" s="1"/>
  <c r="Q32"/>
  <c r="BH79" i="7"/>
  <c r="AE42" i="13" l="1"/>
  <c r="AF10"/>
  <c r="AF41" s="1"/>
  <c r="AG39"/>
  <c r="BK79" i="7"/>
  <c r="AF42" i="13" l="1"/>
  <c r="AG10"/>
  <c r="AG41" s="1"/>
  <c r="AH39"/>
  <c r="BN79" i="7"/>
  <c r="AG42" i="13" l="1"/>
  <c r="AH10"/>
  <c r="AH41" s="1"/>
  <c r="AI39"/>
  <c r="BQ79" i="7"/>
  <c r="AH42" i="13" l="1"/>
  <c r="AI10"/>
  <c r="AI41" s="1"/>
  <c r="AJ39"/>
  <c r="BT79" i="7"/>
  <c r="AI42" i="13" l="1"/>
  <c r="AJ10"/>
  <c r="AJ41" s="1"/>
  <c r="AK39"/>
  <c r="BW79" i="7"/>
  <c r="AJ42" i="13" l="1"/>
  <c r="AK10"/>
  <c r="AK41" s="1"/>
  <c r="AL39"/>
  <c r="BZ79" i="7"/>
  <c r="CC79"/>
  <c r="C5" i="9"/>
  <c r="C4"/>
  <c r="C3"/>
  <c r="C2"/>
  <c r="AK42" i="13" l="1"/>
  <c r="AL10"/>
  <c r="AL41" s="1"/>
  <c r="AM39"/>
  <c r="C6" i="9"/>
  <c r="AL42" i="13" l="1"/>
  <c r="AM10"/>
  <c r="AM41" s="1"/>
  <c r="AN39"/>
  <c r="AM42" l="1"/>
  <c r="AN10"/>
  <c r="AN41" s="1"/>
  <c r="AO39"/>
  <c r="AN42" l="1"/>
  <c r="AO10"/>
  <c r="AO41" s="1"/>
  <c r="AP39"/>
  <c r="AO42" l="1"/>
  <c r="AP10"/>
  <c r="AP41" s="1"/>
  <c r="AQ39"/>
  <c r="AP42" l="1"/>
  <c r="AQ10"/>
  <c r="AQ41" s="1"/>
  <c r="AR39"/>
  <c r="AQ42" l="1"/>
  <c r="AR10"/>
  <c r="AR41" s="1"/>
  <c r="AS39"/>
  <c r="AR42" l="1"/>
  <c r="AS10"/>
  <c r="AS41" s="1"/>
  <c r="AT39"/>
  <c r="AS42" l="1"/>
  <c r="AT10"/>
  <c r="AT41" s="1"/>
  <c r="AU39"/>
  <c r="AT42" l="1"/>
  <c r="AU10"/>
  <c r="AU41" s="1"/>
  <c r="AV39"/>
  <c r="AU42" l="1"/>
  <c r="AV10"/>
  <c r="AV41" s="1"/>
  <c r="AW39"/>
  <c r="AV42" l="1"/>
  <c r="AW10"/>
  <c r="AW41" s="1"/>
  <c r="AX39"/>
  <c r="AW42" l="1"/>
  <c r="AX10"/>
  <c r="AX41" s="1"/>
  <c r="AY39"/>
  <c r="AX42" l="1"/>
  <c r="AY10"/>
  <c r="AY41" s="1"/>
  <c r="AZ39"/>
  <c r="AY42" l="1"/>
  <c r="AZ10"/>
  <c r="AZ41" s="1"/>
  <c r="BA39"/>
  <c r="AZ42" l="1"/>
  <c r="BA10"/>
  <c r="BA41" s="1"/>
  <c r="BB39"/>
  <c r="BA42" l="1"/>
  <c r="BB10"/>
  <c r="BB41" s="1"/>
  <c r="BC39"/>
  <c r="BB42" l="1"/>
  <c r="BC10"/>
  <c r="BC41" s="1"/>
  <c r="BD39"/>
  <c r="BC42" l="1"/>
  <c r="BD10"/>
  <c r="BD41" s="1"/>
  <c r="BE39"/>
  <c r="BD42" l="1"/>
  <c r="BE10"/>
  <c r="BE41" s="1"/>
  <c r="BF39"/>
  <c r="BE42" l="1"/>
  <c r="BF10"/>
  <c r="BF41" s="1"/>
  <c r="BG39"/>
  <c r="BF42" l="1"/>
  <c r="BG10"/>
  <c r="BG41" s="1"/>
  <c r="BH39"/>
  <c r="BG42" l="1"/>
  <c r="BH10"/>
  <c r="BH41" s="1"/>
  <c r="BI39"/>
  <c r="BH42" l="1"/>
  <c r="BI10"/>
  <c r="BI41" s="1"/>
  <c r="BJ39"/>
  <c r="BI42" l="1"/>
  <c r="BJ10"/>
  <c r="BJ41" s="1"/>
  <c r="BK39"/>
  <c r="BJ42" l="1"/>
  <c r="BK10"/>
  <c r="BK41" s="1"/>
  <c r="BL39"/>
  <c r="BK42" l="1"/>
  <c r="BL10"/>
  <c r="BL41" s="1"/>
  <c r="BM39"/>
  <c r="BL42" l="1"/>
  <c r="BM10"/>
  <c r="BM41" s="1"/>
  <c r="BN39"/>
  <c r="BM42" l="1"/>
  <c r="BN10"/>
  <c r="BN41" s="1"/>
  <c r="BO39"/>
  <c r="BN42" l="1"/>
  <c r="BO10"/>
  <c r="BO41" s="1"/>
  <c r="BP39"/>
  <c r="BO42" l="1"/>
  <c r="BP10"/>
  <c r="BP41" s="1"/>
  <c r="BQ39"/>
  <c r="BP42" l="1"/>
  <c r="BQ10"/>
  <c r="BQ41" s="1"/>
  <c r="BR39"/>
  <c r="BQ42" l="1"/>
  <c r="BR10"/>
  <c r="BR41" s="1"/>
  <c r="BS39"/>
  <c r="BR42" l="1"/>
  <c r="BS10"/>
  <c r="BS41" s="1"/>
  <c r="BT39"/>
  <c r="BS42" l="1"/>
  <c r="BT10"/>
  <c r="BT41" s="1"/>
  <c r="BU39"/>
  <c r="BT42" l="1"/>
  <c r="BU10"/>
  <c r="BU41" s="1"/>
  <c r="BV39"/>
  <c r="BU42" l="1"/>
  <c r="BV10"/>
  <c r="BV41" s="1"/>
  <c r="BW39"/>
  <c r="BV42" l="1"/>
  <c r="BW10"/>
  <c r="BW41" s="1"/>
  <c r="BX39"/>
  <c r="BW42" l="1"/>
  <c r="BX10"/>
  <c r="BX41" s="1"/>
  <c r="BY39"/>
  <c r="BX42" l="1"/>
  <c r="BY10"/>
  <c r="BY41" s="1"/>
  <c r="BZ39"/>
  <c r="BY42" l="1"/>
  <c r="BZ10"/>
  <c r="BZ41" s="1"/>
  <c r="CA39"/>
  <c r="BZ42" l="1"/>
  <c r="CA10"/>
  <c r="CA41" s="1"/>
  <c r="CB39"/>
  <c r="CA42" l="1"/>
  <c r="CB10"/>
  <c r="CB41" s="1"/>
  <c r="CC39"/>
  <c r="CB42" l="1"/>
  <c r="CC10"/>
  <c r="CC41" s="1"/>
  <c r="CD39"/>
  <c r="CC42" l="1"/>
  <c r="CD10"/>
  <c r="CD41" s="1"/>
  <c r="CE39"/>
  <c r="CD42" l="1"/>
  <c r="CE10"/>
  <c r="CE41" s="1"/>
  <c r="CF39"/>
  <c r="CE42" l="1"/>
  <c r="CF10"/>
  <c r="CF41" s="1"/>
  <c r="CG39"/>
  <c r="CF42" l="1"/>
  <c r="CG10"/>
  <c r="CG41" s="1"/>
  <c r="CH39"/>
  <c r="CG42" l="1"/>
  <c r="CH10"/>
  <c r="CH41" s="1"/>
  <c r="CI39"/>
  <c r="CH42" l="1"/>
  <c r="CI10"/>
  <c r="CI41" s="1"/>
  <c r="CJ39"/>
  <c r="CI42" l="1"/>
  <c r="CJ10"/>
  <c r="CJ41" s="1"/>
  <c r="CK39"/>
  <c r="CJ42" l="1"/>
  <c r="CK10"/>
  <c r="CK41" s="1"/>
  <c r="CL39"/>
  <c r="CK42" l="1"/>
  <c r="CL10"/>
  <c r="CL41" s="1"/>
  <c r="CM39"/>
  <c r="CL42" l="1"/>
  <c r="CM10"/>
  <c r="CM41" s="1"/>
  <c r="CN39"/>
  <c r="CM42" l="1"/>
  <c r="CN10"/>
  <c r="CN41" s="1"/>
  <c r="CO39"/>
  <c r="CN42" l="1"/>
  <c r="CO10"/>
  <c r="CO41" s="1"/>
  <c r="CP39"/>
  <c r="CO42" l="1"/>
  <c r="CP10"/>
  <c r="CP41" s="1"/>
  <c r="CQ39"/>
  <c r="CP42" l="1"/>
  <c r="CQ10"/>
  <c r="CQ41" s="1"/>
  <c r="CR39"/>
  <c r="CQ42" l="1"/>
  <c r="CR10"/>
  <c r="CR41" s="1"/>
  <c r="CS39"/>
  <c r="CR42" l="1"/>
  <c r="CS10"/>
  <c r="CS41" s="1"/>
  <c r="CT39"/>
  <c r="CS42" l="1"/>
  <c r="CT10"/>
  <c r="CT41" s="1"/>
  <c r="CU39"/>
  <c r="CT42" l="1"/>
  <c r="CU10"/>
  <c r="CU41" s="1"/>
  <c r="CV39"/>
  <c r="CU42" l="1"/>
  <c r="CV10"/>
  <c r="CV41" s="1"/>
  <c r="CW39"/>
  <c r="CV42" l="1"/>
  <c r="CW10"/>
  <c r="CW41" s="1"/>
  <c r="CX39"/>
  <c r="CW42" l="1"/>
  <c r="CX10"/>
  <c r="CX41" s="1"/>
  <c r="CY39"/>
  <c r="CX42" l="1"/>
  <c r="CY10"/>
  <c r="CY41" s="1"/>
  <c r="CZ39"/>
  <c r="CY42" l="1"/>
  <c r="CZ10"/>
  <c r="CZ41" s="1"/>
  <c r="DA39"/>
  <c r="CZ42" l="1"/>
  <c r="DA10"/>
  <c r="DA41" s="1"/>
  <c r="DB39"/>
  <c r="DA42" l="1"/>
  <c r="DB10"/>
  <c r="DB41" s="1"/>
  <c r="DC39"/>
  <c r="DB42" l="1"/>
  <c r="DC10"/>
  <c r="DC41" s="1"/>
  <c r="DD39"/>
  <c r="DC42" l="1"/>
  <c r="DD10"/>
  <c r="DD41" s="1"/>
  <c r="DE39"/>
  <c r="DD42" l="1"/>
  <c r="DE10"/>
  <c r="DE41" s="1"/>
  <c r="DF39"/>
  <c r="DE42" l="1"/>
  <c r="DF10"/>
  <c r="DF41" s="1"/>
  <c r="DG39"/>
  <c r="DF42" l="1"/>
  <c r="DG10"/>
  <c r="DG41" s="1"/>
  <c r="DH39"/>
  <c r="DG42" l="1"/>
  <c r="DH10"/>
  <c r="DH41" s="1"/>
  <c r="DI39"/>
  <c r="DH42" l="1"/>
  <c r="DI10"/>
  <c r="DI41" s="1"/>
  <c r="DJ39"/>
  <c r="DI42" l="1"/>
  <c r="DJ10"/>
  <c r="DJ41" s="1"/>
  <c r="DK39"/>
  <c r="DJ42" l="1"/>
  <c r="DK10"/>
  <c r="DK41" s="1"/>
  <c r="DL39"/>
  <c r="DK42" l="1"/>
  <c r="DL10"/>
  <c r="DL41" s="1"/>
  <c r="DM39"/>
  <c r="DL42" l="1"/>
  <c r="DM10"/>
  <c r="DM41" s="1"/>
  <c r="DN39"/>
  <c r="DM42" l="1"/>
  <c r="DN10"/>
  <c r="DN41" s="1"/>
  <c r="DO39"/>
  <c r="DN42" l="1"/>
  <c r="DO10"/>
  <c r="DO41" s="1"/>
  <c r="DP39"/>
  <c r="DO42" l="1"/>
  <c r="DP10"/>
  <c r="DP41" s="1"/>
  <c r="DQ39"/>
  <c r="DP42" l="1"/>
  <c r="DQ10"/>
  <c r="DQ41" s="1"/>
  <c r="DR39"/>
  <c r="DQ42" l="1"/>
  <c r="DR10"/>
  <c r="DR41" s="1"/>
  <c r="DS39"/>
  <c r="DR42" l="1"/>
  <c r="DS10"/>
  <c r="DS41" s="1"/>
  <c r="DT39"/>
  <c r="DS42" l="1"/>
  <c r="DT10"/>
  <c r="DT41" s="1"/>
  <c r="DU39"/>
  <c r="DT42" l="1"/>
  <c r="DU10"/>
  <c r="DU41" s="1"/>
  <c r="DV39"/>
  <c r="DU42" l="1"/>
  <c r="DV10"/>
  <c r="DV41" s="1"/>
  <c r="DW39"/>
  <c r="DV42" l="1"/>
  <c r="DW10"/>
  <c r="DW41" s="1"/>
  <c r="DX39"/>
  <c r="DW42" l="1"/>
  <c r="DX10"/>
  <c r="DX41" s="1"/>
  <c r="DY39"/>
  <c r="DX42" l="1"/>
  <c r="DY10"/>
  <c r="DY41" s="1"/>
  <c r="DZ39"/>
  <c r="DY42" l="1"/>
  <c r="DZ10"/>
  <c r="DZ41" s="1"/>
  <c r="EA39"/>
  <c r="DZ42" l="1"/>
  <c r="EA10"/>
  <c r="EA41" s="1"/>
  <c r="EB39"/>
  <c r="EA42" l="1"/>
  <c r="EB10"/>
  <c r="EB41" s="1"/>
  <c r="EC39"/>
  <c r="EB42" l="1"/>
  <c r="EC10"/>
  <c r="EC41" s="1"/>
  <c r="ED39"/>
  <c r="EC42" l="1"/>
  <c r="ED10"/>
  <c r="ED41" s="1"/>
  <c r="EE39"/>
  <c r="ED42" l="1"/>
  <c r="EE10"/>
  <c r="EE41" s="1"/>
  <c r="EF39"/>
  <c r="EE42" l="1"/>
  <c r="EF10"/>
  <c r="EF41" s="1"/>
  <c r="EG39"/>
  <c r="EF42" l="1"/>
  <c r="EG10"/>
  <c r="EG41" s="1"/>
  <c r="EH39"/>
  <c r="EG42" l="1"/>
  <c r="EH10"/>
  <c r="EH41" s="1"/>
  <c r="EI39"/>
  <c r="EH42" l="1"/>
  <c r="EI10"/>
  <c r="EI41" s="1"/>
  <c r="EJ39"/>
  <c r="EI42" l="1"/>
  <c r="EJ10"/>
  <c r="EJ41" s="1"/>
  <c r="EK39"/>
  <c r="EJ42" l="1"/>
  <c r="EK10"/>
  <c r="EK41" s="1"/>
  <c r="EL39"/>
  <c r="EK42" l="1"/>
  <c r="EL10"/>
  <c r="EL41" s="1"/>
  <c r="EM39"/>
  <c r="EL42" l="1"/>
  <c r="EM10"/>
  <c r="EM41" s="1"/>
  <c r="EN39"/>
  <c r="EM42" l="1"/>
  <c r="EN10"/>
  <c r="EN41" s="1"/>
  <c r="EO39"/>
  <c r="EN42" l="1"/>
  <c r="EO10"/>
  <c r="EO41" s="1"/>
  <c r="EP39"/>
  <c r="EO42" l="1"/>
  <c r="EP10"/>
  <c r="EP41" s="1"/>
  <c r="EQ39"/>
  <c r="EP42" l="1"/>
  <c r="EQ10"/>
  <c r="EQ41" s="1"/>
  <c r="ER39"/>
  <c r="EQ42" l="1"/>
  <c r="ER10"/>
  <c r="ER41" s="1"/>
  <c r="ES39"/>
  <c r="ER42" l="1"/>
  <c r="ES10"/>
  <c r="ES41" s="1"/>
  <c r="ET39"/>
  <c r="ES42" l="1"/>
  <c r="ET10"/>
  <c r="ET41" s="1"/>
  <c r="EU39"/>
  <c r="ET42" l="1"/>
  <c r="EU10"/>
  <c r="EU41" s="1"/>
  <c r="EV39"/>
  <c r="EU42" l="1"/>
  <c r="EV10"/>
  <c r="EV41" s="1"/>
  <c r="EW39"/>
  <c r="EV42" l="1"/>
  <c r="EW10"/>
  <c r="EW41" s="1"/>
  <c r="EX39"/>
  <c r="EW42" l="1"/>
  <c r="EX10"/>
  <c r="EX41" s="1"/>
  <c r="EY39"/>
  <c r="EX42" l="1"/>
  <c r="EY10"/>
  <c r="EY41" s="1"/>
  <c r="EZ39"/>
  <c r="EY42" l="1"/>
  <c r="EZ10"/>
  <c r="EZ41" s="1"/>
  <c r="FA39"/>
  <c r="EZ42" l="1"/>
  <c r="FA10"/>
  <c r="FA41" s="1"/>
  <c r="FB39"/>
  <c r="FA42" l="1"/>
  <c r="FB10"/>
  <c r="FB41" s="1"/>
  <c r="FC39"/>
  <c r="FB42" l="1"/>
  <c r="FC10"/>
  <c r="FC41" s="1"/>
  <c r="FD39"/>
  <c r="FC42" l="1"/>
  <c r="FD10"/>
  <c r="FD41" s="1"/>
  <c r="FE39"/>
  <c r="FD42" l="1"/>
  <c r="FE10"/>
  <c r="FE41" s="1"/>
  <c r="FF39"/>
  <c r="FE42" l="1"/>
  <c r="FF10"/>
  <c r="FF41" s="1"/>
  <c r="FG39"/>
  <c r="FF42" l="1"/>
  <c r="FG10"/>
  <c r="FG41" s="1"/>
  <c r="FH39"/>
  <c r="FG42" l="1"/>
  <c r="FH10"/>
  <c r="FH41" s="1"/>
  <c r="FI39"/>
  <c r="FH42" l="1"/>
  <c r="FI10"/>
  <c r="FI41" s="1"/>
  <c r="FJ39"/>
  <c r="FI42" l="1"/>
  <c r="FJ10"/>
  <c r="FJ41" s="1"/>
  <c r="FK39"/>
  <c r="FJ42" l="1"/>
  <c r="FK10"/>
  <c r="FK41" s="1"/>
  <c r="FL39"/>
  <c r="FK42" l="1"/>
  <c r="FL10"/>
  <c r="FL41" s="1"/>
  <c r="FM39"/>
  <c r="FL42" l="1"/>
  <c r="FM10"/>
  <c r="FM41" s="1"/>
  <c r="FN39"/>
  <c r="FM42" l="1"/>
  <c r="FN10"/>
  <c r="FN41" s="1"/>
  <c r="FO39"/>
  <c r="FN42" l="1"/>
  <c r="FO10"/>
  <c r="FO41" s="1"/>
  <c r="FP39"/>
  <c r="FO42" l="1"/>
  <c r="FP10"/>
  <c r="FP41" s="1"/>
  <c r="FQ39"/>
  <c r="FP42" l="1"/>
  <c r="FQ10"/>
  <c r="FQ41" s="1"/>
  <c r="FR39"/>
  <c r="FQ42" l="1"/>
  <c r="FR10"/>
  <c r="FR41" s="1"/>
  <c r="FS39"/>
  <c r="FR42" l="1"/>
  <c r="FS10"/>
  <c r="FS41" s="1"/>
  <c r="FT39"/>
  <c r="FS42" l="1"/>
  <c r="FT10"/>
  <c r="FT41" s="1"/>
  <c r="FU39"/>
  <c r="FT42" l="1"/>
  <c r="FU10"/>
  <c r="FU41" s="1"/>
  <c r="FV39"/>
  <c r="FU42" l="1"/>
  <c r="FV10"/>
  <c r="FV41" s="1"/>
  <c r="FW39"/>
  <c r="FV42" l="1"/>
  <c r="FW10"/>
  <c r="FW41" s="1"/>
  <c r="FX39"/>
  <c r="FW42" l="1"/>
  <c r="FX10"/>
  <c r="FX41" s="1"/>
  <c r="FY39"/>
  <c r="FX42" l="1"/>
  <c r="FY10"/>
  <c r="FY41" s="1"/>
  <c r="FZ39"/>
  <c r="FY42" l="1"/>
  <c r="FZ10"/>
  <c r="FZ41" s="1"/>
  <c r="GA39"/>
  <c r="FZ42" l="1"/>
  <c r="GA10"/>
  <c r="GA41" s="1"/>
  <c r="GB39"/>
  <c r="GA42" l="1"/>
  <c r="GB10"/>
  <c r="GB41" s="1"/>
  <c r="GC39"/>
  <c r="GB42" l="1"/>
  <c r="GC10"/>
  <c r="GC41" s="1"/>
  <c r="GD39"/>
  <c r="GC42" l="1"/>
  <c r="GD10"/>
  <c r="GD41" s="1"/>
  <c r="GE39"/>
  <c r="GD42" l="1"/>
  <c r="GE10"/>
  <c r="GE41" s="1"/>
  <c r="GF39"/>
  <c r="GE42" l="1"/>
  <c r="GF10"/>
  <c r="GF41" s="1"/>
  <c r="GG39"/>
  <c r="GF42" l="1"/>
  <c r="GG10"/>
  <c r="GG41" s="1"/>
  <c r="GH39"/>
  <c r="GG42" l="1"/>
  <c r="GH10"/>
  <c r="GH41" s="1"/>
  <c r="GI39"/>
  <c r="GH42" l="1"/>
  <c r="GI10"/>
  <c r="GI41" s="1"/>
  <c r="GJ39"/>
  <c r="GI42" l="1"/>
  <c r="GJ10"/>
  <c r="GJ41" s="1"/>
  <c r="GK39"/>
  <c r="GJ42" l="1"/>
  <c r="GK10"/>
  <c r="GK41" s="1"/>
  <c r="GL39"/>
  <c r="GK42" l="1"/>
  <c r="GL10"/>
  <c r="GL41" s="1"/>
  <c r="GM39"/>
  <c r="GL42" l="1"/>
  <c r="GM10"/>
  <c r="GM41" s="1"/>
  <c r="GN39"/>
  <c r="GM42" l="1"/>
  <c r="GN10"/>
  <c r="GN41" s="1"/>
  <c r="GO39"/>
  <c r="GN42" l="1"/>
  <c r="GO10"/>
  <c r="GO41" s="1"/>
  <c r="GP39"/>
  <c r="GO42" l="1"/>
  <c r="GP10"/>
  <c r="GP41" s="1"/>
  <c r="GQ39"/>
  <c r="GP42" l="1"/>
  <c r="GQ10"/>
  <c r="GQ41" s="1"/>
  <c r="GR39"/>
  <c r="GQ42" l="1"/>
  <c r="GR10"/>
  <c r="GR41" s="1"/>
  <c r="GS39"/>
  <c r="GR42" l="1"/>
  <c r="GS10"/>
  <c r="GS41" s="1"/>
  <c r="GT39"/>
  <c r="GS42" l="1"/>
  <c r="GT10"/>
  <c r="GT41" s="1"/>
  <c r="GU39"/>
  <c r="GT42" l="1"/>
  <c r="GU10"/>
  <c r="GU41" s="1"/>
  <c r="GV39"/>
  <c r="GU42" l="1"/>
  <c r="GV10"/>
  <c r="GV41" s="1"/>
  <c r="GW39"/>
  <c r="GV42" l="1"/>
  <c r="GW10"/>
  <c r="GW41" s="1"/>
  <c r="GX39"/>
  <c r="GW42" l="1"/>
  <c r="GX10"/>
  <c r="GX41" s="1"/>
  <c r="GY39"/>
  <c r="GX42" l="1"/>
  <c r="GY10"/>
  <c r="GY41" s="1"/>
  <c r="GZ39"/>
  <c r="GY42" l="1"/>
  <c r="GZ10"/>
  <c r="GZ41" s="1"/>
  <c r="HA39"/>
  <c r="GZ42" l="1"/>
  <c r="HA10"/>
  <c r="HA41" s="1"/>
  <c r="HB39"/>
  <c r="HA42" l="1"/>
  <c r="HB10"/>
  <c r="HB41" s="1"/>
  <c r="HC39"/>
  <c r="HB42" l="1"/>
  <c r="HC10"/>
  <c r="HC41" s="1"/>
  <c r="HD39"/>
  <c r="HC42" l="1"/>
  <c r="HD10"/>
  <c r="HD41" s="1"/>
  <c r="HE39"/>
  <c r="HD42" l="1"/>
  <c r="HE10"/>
  <c r="HE41" s="1"/>
  <c r="HF39"/>
  <c r="HE42" l="1"/>
  <c r="HF10"/>
  <c r="HF41" s="1"/>
  <c r="HG39"/>
  <c r="HF42" l="1"/>
  <c r="HG10"/>
  <c r="HG41" s="1"/>
  <c r="HH39"/>
  <c r="HG42" l="1"/>
  <c r="HH10"/>
  <c r="HH41" s="1"/>
  <c r="HI39"/>
  <c r="HH42" l="1"/>
  <c r="HI10"/>
  <c r="HI41" s="1"/>
  <c r="HJ39"/>
  <c r="HI42" l="1"/>
  <c r="HJ10"/>
  <c r="HJ41" s="1"/>
  <c r="HK39"/>
  <c r="HJ42" l="1"/>
  <c r="HK10"/>
  <c r="HK41" s="1"/>
  <c r="HL39"/>
  <c r="HK42" l="1"/>
  <c r="HL10"/>
  <c r="HL41" s="1"/>
  <c r="HM39"/>
  <c r="HL42" l="1"/>
  <c r="HM10"/>
  <c r="HM41" s="1"/>
  <c r="HN39"/>
  <c r="HM42" l="1"/>
  <c r="HN10"/>
  <c r="HN41" s="1"/>
  <c r="HO39"/>
  <c r="HN42" l="1"/>
  <c r="HO10"/>
  <c r="HO41" s="1"/>
  <c r="HP39"/>
  <c r="HO42" l="1"/>
  <c r="HP10"/>
  <c r="HP41" s="1"/>
  <c r="HQ39"/>
  <c r="HP42" l="1"/>
  <c r="HQ10"/>
  <c r="HQ41" s="1"/>
  <c r="HR39"/>
  <c r="HQ42" l="1"/>
  <c r="HR10"/>
  <c r="HR41" s="1"/>
  <c r="HS39"/>
  <c r="HR42" l="1"/>
  <c r="HS10"/>
  <c r="HS41" s="1"/>
  <c r="HT39"/>
  <c r="HS42" l="1"/>
  <c r="HT10"/>
  <c r="HT41" s="1"/>
  <c r="HU39"/>
  <c r="HT42" l="1"/>
  <c r="HU10"/>
  <c r="HU41" s="1"/>
  <c r="HV39"/>
  <c r="HU42" l="1"/>
  <c r="HV10"/>
  <c r="HV41" s="1"/>
  <c r="HW39"/>
  <c r="HV42" l="1"/>
  <c r="HW10"/>
  <c r="HW41" s="1"/>
  <c r="HX39"/>
  <c r="HW42" l="1"/>
  <c r="HX10"/>
  <c r="HX41" s="1"/>
  <c r="HY39"/>
  <c r="HX42" l="1"/>
  <c r="HY10"/>
  <c r="HY41" s="1"/>
  <c r="HZ39"/>
  <c r="HY42" l="1"/>
  <c r="HZ10"/>
  <c r="HZ41" s="1"/>
  <c r="IA39"/>
  <c r="HZ42" l="1"/>
  <c r="IA10"/>
  <c r="IA41" s="1"/>
  <c r="IB39"/>
  <c r="IA42" l="1"/>
  <c r="IB10"/>
  <c r="IB41" s="1"/>
  <c r="IC39"/>
  <c r="IB42" l="1"/>
  <c r="IC10"/>
  <c r="IC41" s="1"/>
  <c r="ID39"/>
  <c r="IC42" l="1"/>
  <c r="ID10"/>
  <c r="ID41" s="1"/>
  <c r="IE39"/>
  <c r="ID42" l="1"/>
  <c r="IE10"/>
  <c r="IE41" s="1"/>
  <c r="IF39"/>
  <c r="IE42" l="1"/>
  <c r="IF10"/>
  <c r="IF41" s="1"/>
  <c r="IG39"/>
  <c r="IF42" l="1"/>
  <c r="IG10"/>
  <c r="IG41" s="1"/>
  <c r="IH39"/>
  <c r="IG42" l="1"/>
  <c r="IH10"/>
  <c r="IH41" s="1"/>
  <c r="II39"/>
  <c r="IH42" l="1"/>
  <c r="II10"/>
  <c r="II41" s="1"/>
  <c r="IJ39"/>
  <c r="II42" l="1"/>
  <c r="IJ10"/>
  <c r="IJ41" s="1"/>
  <c r="IK39"/>
  <c r="IJ42" l="1"/>
  <c r="IK10"/>
  <c r="IK41" s="1"/>
  <c r="IL39"/>
  <c r="IK42" l="1"/>
  <c r="IL10"/>
  <c r="IL41" s="1"/>
  <c r="IM39"/>
  <c r="IL42" l="1"/>
  <c r="IM10"/>
  <c r="IM41" s="1"/>
  <c r="IN39"/>
  <c r="IM42" l="1"/>
  <c r="IN10"/>
  <c r="IN41" s="1"/>
  <c r="IO39"/>
  <c r="IN42" l="1"/>
  <c r="IO10"/>
  <c r="IO41" s="1"/>
  <c r="IP39"/>
  <c r="IO42" l="1"/>
  <c r="IP10"/>
  <c r="IP41" s="1"/>
  <c r="IQ39"/>
  <c r="IP42" l="1"/>
  <c r="IQ10"/>
  <c r="IQ41" s="1"/>
  <c r="IR39"/>
  <c r="IQ42" l="1"/>
  <c r="IR10"/>
  <c r="IR41" s="1"/>
  <c r="IS39"/>
  <c r="IR42" l="1"/>
  <c r="IS10"/>
  <c r="IS41" s="1"/>
  <c r="IT39"/>
  <c r="IS42" l="1"/>
  <c r="IT10"/>
  <c r="IT41" s="1"/>
  <c r="IU39"/>
  <c r="IT42" l="1"/>
  <c r="IU10"/>
  <c r="IU41" s="1"/>
  <c r="IV39"/>
  <c r="IU42" l="1"/>
  <c r="C4"/>
  <c r="IV10"/>
  <c r="IV41" s="1"/>
  <c r="IV42"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<sst xmlns="http://schemas.openxmlformats.org/spreadsheetml/2006/main" count="1192" uniqueCount="647">
  <si>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</si>
  <si>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</si>
  <si>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</si>
  <si>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</si>
  <si>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</si>
  <si>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</si>
  <si>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</si>
  <si>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</si>
  <si>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</si>
  <si>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</si>
  <si>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</si>
  <si>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</si>
  <si>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</si>
  <si>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</si>
  <si>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</si>
  <si>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</si>
  <si>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</si>
  <si>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</si>
  <si>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</si>
  <si>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</si>
  <si>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</si>
  <si>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</si>
  <si>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</si>
  <si>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</si>
  <si>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</si>
  <si>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</si>
  <si>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</si>
  <si>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</si>
  <si>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</si>
  <si>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</si>
  <si>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</si>
  <si>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</si>
  <si>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</si>
  <si>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</si>
  <si>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</si>
  <si>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</si>
  <si>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</si>
  <si>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</si>
  <si>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</si>
  <si>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</si>
  <si>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</si>
  <si>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</si>
  <si>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</si>
  <si>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</si>
  <si>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</si>
  <si>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</si>
  <si>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</si>
  <si>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</si>
  <si>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</si>
  <si>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</si>
  <si>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</si>
  <si>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</si>
  <si>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</si>
  <si>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</si>
  <si>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</si>
  <si>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</si>
  <si>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</si>
  <si>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</si>
  <si>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</si>
  <si>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</si>
  <si>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</si>
  <si>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</si>
  <si>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</si>
  <si>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</si>
  <si>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</si>
  <si>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</si>
  <si>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</si>
  <si>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</si>
  <si>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</si>
  <si>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</si>
  <si>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</si>
  <si>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</si>
  <si>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</si>
  <si>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</si>
  <si>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</si>
  <si>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</si>
  <si>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</si>
  <si>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</si>
  <si>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</si>
  <si>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</si>
  <si>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</si>
  <si>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</si>
  <si>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</si>
  <si>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</si>
  <si>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</si>
  <si>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</si>
  <si>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</si>
  <si>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</si>
  <si>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</si>
  <si>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</si>
  <si>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</si>
  <si>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</si>
  <si>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</si>
  <si>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</si>
  <si>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</si>
  <si>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</si>
  <si>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</si>
  <si>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</si>
  <si>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</si>
  <si>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</si>
  <si>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</si>
  <si>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</si>
  <si>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</si>
  <si>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</si>
  <si>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</si>
  <si>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</si>
  <si>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</si>
  <si>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</si>
  <si>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</si>
  <si>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</si>
  <si>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</si>
  <si>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</si>
  <si>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</si>
  <si>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</si>
  <si>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</si>
  <si>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</si>
  <si>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</si>
  <si>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</si>
  <si>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</si>
  <si>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</si>
  <si>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</si>
  <si>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</si>
  <si>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</si>
  <si>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</si>
  <si>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</si>
  <si>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</si>
  <si>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</si>
  <si>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</si>
  <si>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</si>
  <si>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</si>
  <si>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</si>
  <si>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</si>
  <si>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</si>
  <si>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</si>
  <si>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</si>
  <si>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</si>
  <si>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</si>
  <si>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</si>
  <si>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</si>
  <si>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</si>
  <si>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</si>
  <si>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</si>
  <si>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</si>
  <si>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</si>
  <si>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</si>
  <si>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</si>
  <si>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</si>
  <si>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</si>
  <si>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</si>
  <si>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</si>
  <si>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</si>
  <si>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</si>
  <si>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</si>
  <si>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</si>
  <si>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</si>
  <si>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</si>
  <si>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</si>
  <si>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</si>
  <si>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</si>
  <si>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</si>
  <si>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</si>
  <si>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</si>
  <si>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</si>
  <si>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</si>
  <si>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</si>
  <si>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</si>
  <si>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</si>
  <si>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</si>
  <si>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</si>
  <si>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</si>
  <si>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</si>
  <si>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</si>
  <si>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</si>
  <si>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</si>
  <si>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</si>
  <si>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</si>
  <si>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</si>
  <si>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</si>
  <si>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</si>
  <si>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</si>
  <si>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</si>
  <si>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</si>
  <si>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</si>
  <si>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</si>
  <si>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</si>
  <si>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</si>
  <si>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</si>
  <si>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9203-1139</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</si>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</sst>
</file>

<file path=xl/styles.xml><?xml version="1.0" encoding="utf-8"?>
<styleSheet xmlns="http://schemas.openxmlformats.org/spreadsheetml/2006/main">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8" fillId="23" borderId="0" xfId="0" applyFont="1" applyFill="1" applyBorder="1" applyAlignment="1">
      <alignment horizontal="right"/>
    </xf>
    <xf numFmtId="0" fontId="37" fillId="0" borderId="0" xfId="0" applyFont="1" applyAlignment="1"/>
    <xf numFmtId="0" fontId="25" fillId="0" borderId="0" xfId="0" applyFont="1" applyAlignment="1"/>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Bom" xfId="31" builtinId="26" customBuiltin="1"/>
    <cellStyle name="Cálculo" xfId="26" builtinId="22" customBuiltin="1"/>
    <cellStyle name="Célula de Verificação" xfId="27" builtinId="23" customBuiltin="1"/>
    <cellStyle name="Célula Vinculada" xfId="38" builtinId="24" customBuiltin="1"/>
    <cellStyle name="Emphasis 1" xfId="28"/>
    <cellStyle name="Emphasis 2" xfId="29"/>
    <cellStyle name="Emphasis 3" xfId="30"/>
    <cellStyle name="Ênfase1" xfId="1" builtinId="29" customBuiltin="1"/>
    <cellStyle name="Ênfase2" xfId="5" builtinId="33" customBuiltin="1"/>
    <cellStyle name="Ênfase3" xfId="9" builtinId="37" customBuiltin="1"/>
    <cellStyle name="Ênfase4" xfId="13" builtinId="41" customBuiltin="1"/>
    <cellStyle name="Ênfase5" xfId="17" builtinId="45" customBuiltin="1"/>
    <cellStyle name="Ênfase6" xfId="21" builtinId="49" customBuiltin="1"/>
    <cellStyle name="Entrada" xfId="37" builtinId="20" customBuiltin="1"/>
    <cellStyle name="Hyperlink" xfId="36" builtinId="8"/>
    <cellStyle name="Incorreto" xfId="25" builtinId="27" customBuiltin="1"/>
    <cellStyle name="Neutra" xfId="39" builtinId="28" customBuiltin="1"/>
    <cellStyle name="Normal" xfId="0" builtinId="0"/>
    <cellStyle name="Normal 2" xfId="45"/>
    <cellStyle name="Nota" xfId="40" builtinId="10" customBuiltin="1"/>
    <cellStyle name="Porcentagem 2" xfId="47"/>
    <cellStyle name="Saída" xfId="41" builtinId="21" customBuiltin="1"/>
    <cellStyle name="Sheet Title" xfId="42"/>
    <cellStyle name="Texto de Aviso" xfId="44" builtinId="11" customBuiltin="1"/>
    <cellStyle name="Título 1" xfId="32" builtinId="16" customBuiltin="1"/>
    <cellStyle name="Título 2" xfId="33" builtinId="17" customBuiltin="1"/>
    <cellStyle name="Título 3" xfId="34" builtinId="18" customBuiltin="1"/>
    <cellStyle name="Título 4" xfId="35" builtinId="19" customBuiltin="1"/>
    <cellStyle name="Total" xfId="43" builtinId="25" customBuiltin="1"/>
    <cellStyle name="Vírgula 2" xfId="46"/>
  </cellStyles>
  <dxfs count="139">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
      <fill>
        <patternFill patternType="lightDown">
          <fgColor indexed="22"/>
          <bgColor indexed="65"/>
        </patternFill>
      </fill>
    </dxf>
    <dxf>
      <fill>
        <patternFill patternType="lightDown">
          <fgColor indexed="22"/>
          <bgColor indexed="65"/>
        </patternFill>
      </fill>
    </dxf>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Workitem Cumulative Flow</a:t>
            </a:r>
          </a:p>
        </c:rich>
      </c:tx>
      <c:layout>
        <c:manualLayout>
          <c:xMode val="edge"/>
          <c:yMode val="edge"/>
          <c:x val="0.17505054923690092"/>
          <c:y val="3.8461645124548111E-2"/>
        </c:manualLayout>
      </c:layout>
    </c:title>
    <c:plotArea>
      <c:layout>
        <c:manualLayout>
          <c:layoutTarget val="inner"/>
          <c:xMode val="edge"/>
          <c:yMode val="edge"/>
          <c:x val="0.12577209098862638"/>
          <c:y val="0.16981163364466695"/>
          <c:w val="0.81713108778069421"/>
          <c:h val="0.54213915713366023"/>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20</c:v>
                </c:pt>
                <c:pt idx="5">
                  <c:v>20</c:v>
                </c:pt>
                <c:pt idx="6">
                  <c:v>20</c:v>
                </c:pt>
                <c:pt idx="7">
                  <c:v>20</c:v>
                </c:pt>
                <c:pt idx="8">
                  <c:v>20</c:v>
                </c:pt>
                <c:pt idx="9">
                  <c:v>20</c:v>
                </c:pt>
                <c:pt idx="10">
                  <c:v>#N/A</c:v>
                </c:pt>
                <c:pt idx="11">
                  <c:v>#N/A</c:v>
                </c:pt>
                <c:pt idx="12">
                  <c:v>#N/A</c:v>
                </c:pt>
                <c:pt idx="13">
                  <c:v>#N/A</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2</c:v>
                </c:pt>
                <c:pt idx="5">
                  <c:v>2</c:v>
                </c:pt>
                <c:pt idx="6">
                  <c:v>2</c:v>
                </c:pt>
                <c:pt idx="7">
                  <c:v>3</c:v>
                </c:pt>
                <c:pt idx="8">
                  <c:v>3</c:v>
                </c:pt>
                <c:pt idx="9">
                  <c:v>3</c:v>
                </c:pt>
                <c:pt idx="10">
                  <c:v>#N/A</c:v>
                </c:pt>
                <c:pt idx="11">
                  <c:v>#N/A</c:v>
                </c:pt>
                <c:pt idx="12">
                  <c:v>#N/A</c:v>
                </c:pt>
                <c:pt idx="13">
                  <c:v>#N/A</c:v>
                </c:pt>
              </c:numCache>
            </c:numRef>
          </c:val>
        </c:ser>
        <c:ser>
          <c:idx val="2"/>
          <c:order val="2"/>
          <c:tx>
            <c:v>Pending</c:v>
          </c:tx>
          <c:spPr>
            <a:solidFill>
              <a:schemeClr val="bg2">
                <a:lumMod val="90000"/>
              </a:schemeClr>
            </a:solidFill>
          </c:spPr>
          <c:val>
            <c:numRef>
              <c:f>Analysis!$E$35:$R$35</c:f>
              <c:numCache>
                <c:formatCode>General</c:formatCode>
                <c:ptCount val="14"/>
                <c:pt idx="0">
                  <c:v>49</c:v>
                </c:pt>
                <c:pt idx="1">
                  <c:v>48</c:v>
                </c:pt>
                <c:pt idx="2">
                  <c:v>48</c:v>
                </c:pt>
                <c:pt idx="3">
                  <c:v>48</c:v>
                </c:pt>
                <c:pt idx="4">
                  <c:v>48</c:v>
                </c:pt>
                <c:pt idx="5">
                  <c:v>48</c:v>
                </c:pt>
                <c:pt idx="6">
                  <c:v>48</c:v>
                </c:pt>
                <c:pt idx="7">
                  <c:v>47</c:v>
                </c:pt>
                <c:pt idx="8">
                  <c:v>47</c:v>
                </c:pt>
                <c:pt idx="9">
                  <c:v>47</c:v>
                </c:pt>
                <c:pt idx="10">
                  <c:v>#N/A</c:v>
                </c:pt>
                <c:pt idx="11">
                  <c:v>#N/A</c:v>
                </c:pt>
                <c:pt idx="12">
                  <c:v>#N/A</c:v>
                </c:pt>
                <c:pt idx="13">
                  <c:v>#N/A</c:v>
                </c:pt>
              </c:numCache>
            </c:numRef>
          </c:val>
        </c:ser>
        <c:dLbls/>
        <c:axId val="113322624"/>
        <c:axId val="113341184"/>
      </c:areaChart>
      <c:catAx>
        <c:axId val="113322624"/>
        <c:scaling>
          <c:orientation val="minMax"/>
        </c:scaling>
        <c:axPos val="b"/>
        <c:title>
          <c:tx>
            <c:rich>
              <a:bodyPr/>
              <a:lstStyle/>
              <a:p>
                <a:pPr>
                  <a:defRPr sz="1400"/>
                </a:pPr>
                <a:r>
                  <a:rPr lang="en-US" sz="1400"/>
                  <a:t>Days</a:t>
                </a:r>
              </a:p>
            </c:rich>
          </c:tx>
          <c:layout>
            <c:manualLayout>
              <c:xMode val="edge"/>
              <c:yMode val="edge"/>
              <c:x val="0.51515407796247692"/>
              <c:y val="0.79516822661318898"/>
            </c:manualLayout>
          </c:layout>
        </c:title>
        <c:numFmt formatCode="General" sourceLinked="0"/>
        <c:tickLblPos val="nextTo"/>
        <c:txPr>
          <a:bodyPr rot="-2700000" vert="horz"/>
          <a:lstStyle/>
          <a:p>
            <a:pPr>
              <a:defRPr/>
            </a:pPr>
            <a:endParaRPr lang="pt-BR"/>
          </a:p>
        </c:txPr>
        <c:crossAx val="113341184"/>
        <c:crosses val="autoZero"/>
        <c:auto val="1"/>
        <c:lblAlgn val="ctr"/>
        <c:lblOffset val="100"/>
        <c:tickLblSkip val="3"/>
        <c:tickMarkSkip val="1"/>
        <c:noMultiLvlLbl val="1"/>
      </c:catAx>
      <c:valAx>
        <c:axId val="113341184"/>
        <c:scaling>
          <c:orientation val="minMax"/>
          <c:min val="0"/>
        </c:scaling>
        <c:axPos val="l"/>
        <c:majorGridlines/>
        <c:title>
          <c:tx>
            <c:rich>
              <a:bodyPr/>
              <a:lstStyle/>
              <a:p>
                <a:pPr>
                  <a:defRPr sz="1400"/>
                </a:pPr>
                <a:r>
                  <a:rPr lang="en-US" sz="1400"/>
                  <a:t>Work Item Count</a:t>
                </a:r>
              </a:p>
            </c:rich>
          </c:tx>
          <c:layout>
            <c:manualLayout>
              <c:xMode val="edge"/>
              <c:yMode val="edge"/>
              <c:x val="3.6927621861152143E-2"/>
              <c:y val="0.22115384615384612"/>
            </c:manualLayout>
          </c:layout>
        </c:title>
        <c:numFmt formatCode="General" sourceLinked="1"/>
        <c:tickLblPos val="none"/>
        <c:crossAx val="113322624"/>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435"/>
          <c:w val="0.92308569067755464"/>
          <c:h val="7.5018075570742374E-2"/>
        </c:manualLayout>
      </c:layout>
    </c:legend>
    <c:plotVisOnly val="1"/>
    <c:dispBlanksAs val="zero"/>
  </c:chart>
  <c:spPr>
    <a:solidFill>
      <a:srgbClr val="FFFFFF"/>
    </a:solidFill>
  </c:spPr>
  <c:printSettings>
    <c:headerFooter/>
    <c:pageMargins b="0.75000000000000389" l="0.70000000000000062" r="0.70000000000000062" t="0.75000000000000389"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Hours Burndown with Cumulative Flow</a:t>
            </a:r>
          </a:p>
        </c:rich>
      </c:tx>
      <c:layout>
        <c:manualLayout>
          <c:xMode val="edge"/>
          <c:yMode val="edge"/>
          <c:x val="0.22098421541318475"/>
          <c:y val="3.8369304556354941E-2"/>
        </c:manualLayout>
      </c:layout>
    </c:title>
    <c:plotArea>
      <c:layout>
        <c:manualLayout>
          <c:layoutTarget val="inner"/>
          <c:xMode val="edge"/>
          <c:yMode val="edge"/>
          <c:x val="0.10112573868321188"/>
          <c:y val="0.17669172932330818"/>
          <c:w val="0.87100657289633654"/>
          <c:h val="0.46992481203007758"/>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122</c:v>
                </c:pt>
                <c:pt idx="5">
                  <c:v>122</c:v>
                </c:pt>
                <c:pt idx="6">
                  <c:v>122</c:v>
                </c:pt>
                <c:pt idx="7">
                  <c:v>122</c:v>
                </c:pt>
                <c:pt idx="8">
                  <c:v>122</c:v>
                </c:pt>
                <c:pt idx="9">
                  <c:v>122</c:v>
                </c:pt>
                <c:pt idx="10">
                  <c:v>#N/A</c:v>
                </c:pt>
                <c:pt idx="11">
                  <c:v>#N/A</c:v>
                </c:pt>
                <c:pt idx="12">
                  <c:v>#N/A</c:v>
                </c:pt>
                <c:pt idx="13">
                  <c:v>#N/A</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1</c:v>
                </c:pt>
                <c:pt idx="2">
                  <c:v>6</c:v>
                </c:pt>
                <c:pt idx="3">
                  <c:v>6</c:v>
                </c:pt>
                <c:pt idx="4">
                  <c:v>6</c:v>
                </c:pt>
                <c:pt idx="5">
                  <c:v>6</c:v>
                </c:pt>
                <c:pt idx="6">
                  <c:v>6</c:v>
                </c:pt>
                <c:pt idx="7">
                  <c:v>7</c:v>
                </c:pt>
                <c:pt idx="8">
                  <c:v>7</c:v>
                </c:pt>
                <c:pt idx="9">
                  <c:v>7</c:v>
                </c:pt>
                <c:pt idx="10">
                  <c:v>#N/A</c:v>
                </c:pt>
                <c:pt idx="11">
                  <c:v>#N/A</c:v>
                </c:pt>
                <c:pt idx="12">
                  <c:v>#N/A</c:v>
                </c:pt>
                <c:pt idx="13">
                  <c:v>#N/A</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10</c:v>
                </c:pt>
                <c:pt idx="1">
                  <c:v>8</c:v>
                </c:pt>
                <c:pt idx="2">
                  <c:v>8</c:v>
                </c:pt>
                <c:pt idx="3">
                  <c:v>8</c:v>
                </c:pt>
                <c:pt idx="4">
                  <c:v>8</c:v>
                </c:pt>
                <c:pt idx="5">
                  <c:v>8</c:v>
                </c:pt>
                <c:pt idx="6">
                  <c:v>8</c:v>
                </c:pt>
                <c:pt idx="7">
                  <c:v>7</c:v>
                </c:pt>
                <c:pt idx="8">
                  <c:v>7</c:v>
                </c:pt>
                <c:pt idx="9">
                  <c:v>7</c:v>
                </c:pt>
                <c:pt idx="10">
                  <c:v>#N/A</c:v>
                </c:pt>
                <c:pt idx="11">
                  <c:v>#N/A</c:v>
                </c:pt>
                <c:pt idx="12">
                  <c:v>#N/A</c:v>
                </c:pt>
                <c:pt idx="13">
                  <c:v>#N/A</c:v>
                </c:pt>
              </c:numCache>
            </c:numRef>
          </c:val>
        </c:ser>
        <c:dLbls/>
        <c:axId val="113622400"/>
        <c:axId val="113509504"/>
      </c:areaChart>
      <c:lineChart>
        <c:grouping val="standard"/>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12.5</c:v>
                </c:pt>
                <c:pt idx="1">
                  <c:v>10.5</c:v>
                </c:pt>
                <c:pt idx="2">
                  <c:v>10.5</c:v>
                </c:pt>
                <c:pt idx="3">
                  <c:v>10.5</c:v>
                </c:pt>
                <c:pt idx="4">
                  <c:v>10.5</c:v>
                </c:pt>
                <c:pt idx="5">
                  <c:v>10.5</c:v>
                </c:pt>
                <c:pt idx="6">
                  <c:v>10.5</c:v>
                </c:pt>
                <c:pt idx="7">
                  <c:v>10</c:v>
                </c:pt>
                <c:pt idx="8">
                  <c:v>10</c:v>
                </c:pt>
                <c:pt idx="9">
                  <c:v>10</c:v>
                </c:pt>
                <c:pt idx="10">
                  <c:v>#N/A</c:v>
                </c:pt>
                <c:pt idx="11">
                  <c:v>#N/A</c:v>
                </c:pt>
                <c:pt idx="12">
                  <c:v>#N/A</c:v>
                </c:pt>
                <c:pt idx="13">
                  <c:v>#N/A</c:v>
                </c:pt>
              </c:numCache>
            </c:numRef>
          </c:val>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120.5</c:v>
                </c:pt>
                <c:pt idx="2">
                  <c:v>125.5</c:v>
                </c:pt>
                <c:pt idx="3">
                  <c:v>125.5</c:v>
                </c:pt>
                <c:pt idx="4">
                  <c:v>125.5</c:v>
                </c:pt>
                <c:pt idx="5">
                  <c:v>125.5</c:v>
                </c:pt>
                <c:pt idx="6">
                  <c:v>125.5</c:v>
                </c:pt>
                <c:pt idx="7">
                  <c:v>126</c:v>
                </c:pt>
                <c:pt idx="8">
                  <c:v>126</c:v>
                </c:pt>
                <c:pt idx="9">
                  <c:v>126</c:v>
                </c:pt>
                <c:pt idx="10">
                  <c:v>#N/A</c:v>
                </c:pt>
                <c:pt idx="11">
                  <c:v>#N/A</c:v>
                </c:pt>
                <c:pt idx="12">
                  <c:v>#N/A</c:v>
                </c:pt>
                <c:pt idx="13">
                  <c:v>#N/A</c:v>
                </c:pt>
              </c:numCache>
            </c:numRef>
          </c:val>
          <c:smooth val="1"/>
        </c:ser>
        <c:dLbls/>
        <c:marker val="1"/>
        <c:axId val="113622400"/>
        <c:axId val="113509504"/>
      </c:lineChart>
      <c:catAx>
        <c:axId val="113622400"/>
        <c:scaling>
          <c:orientation val="minMax"/>
        </c:scaling>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title>
        <c:numFmt formatCode="General" sourceLinked="0"/>
        <c:tickLblPos val="nextTo"/>
        <c:txPr>
          <a:bodyPr rot="-2700000" vert="horz"/>
          <a:lstStyle/>
          <a:p>
            <a:pPr>
              <a:defRPr/>
            </a:pPr>
            <a:endParaRPr lang="pt-BR"/>
          </a:p>
        </c:txPr>
        <c:crossAx val="113509504"/>
        <c:crosses val="autoZero"/>
        <c:auto val="1"/>
        <c:lblAlgn val="ctr"/>
        <c:lblOffset val="100"/>
        <c:tickLblSkip val="3"/>
        <c:tickMarkSkip val="1"/>
        <c:noMultiLvlLbl val="1"/>
      </c:catAx>
      <c:valAx>
        <c:axId val="113509504"/>
        <c:scaling>
          <c:orientation val="minMax"/>
          <c:min val="0"/>
        </c:scaling>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17"/>
            </c:manualLayout>
          </c:layout>
        </c:title>
        <c:numFmt formatCode="General" sourceLinked="1"/>
        <c:tickLblPos val="nextTo"/>
        <c:txPr>
          <a:bodyPr rot="0" vert="horz"/>
          <a:lstStyle/>
          <a:p>
            <a:pPr>
              <a:defRPr/>
            </a:pPr>
            <a:endParaRPr lang="pt-BR"/>
          </a:p>
        </c:txPr>
        <c:crossAx val="113622400"/>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legend>
    <c:plotVisOnly val="1"/>
    <c:dispBlanksAs val="zero"/>
  </c:chart>
  <c:spPr>
    <a:solidFill>
      <a:srgbClr val="FFFFFF"/>
    </a:solidFill>
  </c:spPr>
  <c:printSettings>
    <c:headerFooter/>
    <c:pageMargins b="0.75000000000000389" l="0.70000000000000062" r="0.70000000000000062" t="0.75000000000000389"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c:f>
              <c:strCache>
                <c:ptCount val="1"/>
                <c:pt idx="0">
                  <c:v>Feature</c:v>
                </c:pt>
              </c:strCache>
            </c:strRef>
          </c:tx>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val>
            <c:numRef>
              <c:f>'Project Specific Reports'!$B$5</c:f>
              <c:numCache>
                <c:formatCode>General</c:formatCode>
                <c:ptCount val="1"/>
                <c:pt idx="0">
                  <c:v>0</c:v>
                </c:pt>
              </c:numCache>
            </c:numRef>
          </c:val>
        </c:ser>
        <c:dLbls/>
        <c:overlap val="100"/>
        <c:axId val="114148096"/>
        <c:axId val="114149632"/>
      </c:barChart>
      <c:catAx>
        <c:axId val="114148096"/>
        <c:scaling>
          <c:orientation val="minMax"/>
        </c:scaling>
        <c:axPos val="b"/>
        <c:tickLblPos val="nextTo"/>
        <c:crossAx val="114149632"/>
        <c:crosses val="autoZero"/>
        <c:auto val="1"/>
        <c:lblAlgn val="ctr"/>
        <c:lblOffset val="100"/>
      </c:catAx>
      <c:valAx>
        <c:axId val="114149632"/>
        <c:scaling>
          <c:orientation val="minMax"/>
        </c:scaling>
        <c:axPos val="l"/>
        <c:majorGridlines/>
        <c:numFmt formatCode="0%" sourceLinked="1"/>
        <c:tickLblPos val="nextTo"/>
        <c:crossAx val="114148096"/>
        <c:crosses val="autoZero"/>
        <c:crossBetween val="between"/>
      </c:valAx>
    </c:plotArea>
    <c:legend>
      <c:legendPos val="r"/>
    </c:legend>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Reports'!$A$9</c:f>
              <c:strCache>
                <c:ptCount val="1"/>
                <c:pt idx="0">
                  <c:v>Teste</c:v>
                </c:pt>
              </c:strCache>
            </c:strRef>
          </c:tx>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val>
            <c:numRef>
              <c:f>'Project Specific Reports'!$B$12:$C$12</c:f>
              <c:numCache>
                <c:formatCode>0%</c:formatCode>
                <c:ptCount val="2"/>
                <c:pt idx="0" formatCode="General">
                  <c:v>0</c:v>
                </c:pt>
                <c:pt idx="1">
                  <c:v>0</c:v>
                </c:pt>
              </c:numCache>
            </c:numRef>
          </c:val>
        </c:ser>
        <c:dLbls/>
        <c:overlap val="100"/>
        <c:axId val="115361280"/>
        <c:axId val="115362816"/>
      </c:barChart>
      <c:catAx>
        <c:axId val="115361280"/>
        <c:scaling>
          <c:orientation val="minMax"/>
        </c:scaling>
        <c:axPos val="b"/>
        <c:tickLblPos val="nextTo"/>
        <c:crossAx val="115362816"/>
        <c:crosses val="autoZero"/>
        <c:auto val="1"/>
        <c:lblAlgn val="ctr"/>
        <c:lblOffset val="100"/>
      </c:catAx>
      <c:valAx>
        <c:axId val="115362816"/>
        <c:scaling>
          <c:orientation val="minMax"/>
        </c:scaling>
        <c:axPos val="l"/>
        <c:majorGridlines/>
        <c:numFmt formatCode="0%" sourceLinked="1"/>
        <c:tickLblPos val="nextTo"/>
        <c:crossAx val="115361280"/>
        <c:crosses val="autoZero"/>
        <c:crossBetween val="between"/>
      </c:valAx>
    </c:plotArea>
    <c:legend>
      <c:legendPos val="r"/>
    </c:legend>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Reports'!$A$28</c:f>
              <c:strCache>
                <c:ptCount val="1"/>
                <c:pt idx="0">
                  <c:v>Complete</c:v>
                </c:pt>
              </c:strCache>
            </c:strRef>
          </c:tx>
          <c:val>
            <c:numRef>
              <c:f>'Project Specific Reports'!$B$28</c:f>
              <c:numCache>
                <c:formatCode>General</c:formatCode>
                <c:ptCount val="1"/>
                <c:pt idx="0">
                  <c:v>20</c:v>
                </c:pt>
              </c:numCache>
            </c:numRef>
          </c:val>
        </c:ser>
        <c:ser>
          <c:idx val="1"/>
          <c:order val="1"/>
          <c:tx>
            <c:strRef>
              <c:f>'Project Specific Reports'!$A$29</c:f>
              <c:strCache>
                <c:ptCount val="1"/>
                <c:pt idx="0">
                  <c:v>In Progress</c:v>
                </c:pt>
              </c:strCache>
            </c:strRef>
          </c:tx>
          <c:val>
            <c:numRef>
              <c:f>'Project Specific Reports'!$B$29</c:f>
              <c:numCache>
                <c:formatCode>General</c:formatCode>
                <c:ptCount val="1"/>
                <c:pt idx="0">
                  <c:v>3</c:v>
                </c:pt>
              </c:numCache>
            </c:numRef>
          </c:val>
        </c:ser>
        <c:ser>
          <c:idx val="2"/>
          <c:order val="2"/>
          <c:tx>
            <c:strRef>
              <c:f>'Project Specific Reports'!$A$30</c:f>
              <c:strCache>
                <c:ptCount val="1"/>
                <c:pt idx="0">
                  <c:v>Pending</c:v>
                </c:pt>
              </c:strCache>
            </c:strRef>
          </c:tx>
          <c:val>
            <c:numRef>
              <c:f>'Project Specific Reports'!$B$30</c:f>
              <c:numCache>
                <c:formatCode>General</c:formatCode>
                <c:ptCount val="1"/>
                <c:pt idx="0">
                  <c:v>47</c:v>
                </c:pt>
              </c:numCache>
            </c:numRef>
          </c:val>
        </c:ser>
        <c:ser>
          <c:idx val="3"/>
          <c:order val="3"/>
          <c:tx>
            <c:strRef>
              <c:f>'Project Specific Reports'!$A$31</c:f>
              <c:strCache>
                <c:ptCount val="1"/>
                <c:pt idx="0">
                  <c:v>Postponed</c:v>
                </c:pt>
              </c:strCache>
            </c:strRef>
          </c:tx>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val>
            <c:numRef>
              <c:f>'Project Specific Reports'!$B$32</c:f>
              <c:numCache>
                <c:formatCode>General</c:formatCode>
                <c:ptCount val="1"/>
                <c:pt idx="0">
                  <c:v>0</c:v>
                </c:pt>
              </c:numCache>
            </c:numRef>
          </c:val>
        </c:ser>
        <c:dLbls/>
        <c:overlap val="100"/>
        <c:axId val="115420544"/>
        <c:axId val="115434624"/>
      </c:barChart>
      <c:catAx>
        <c:axId val="115420544"/>
        <c:scaling>
          <c:orientation val="minMax"/>
        </c:scaling>
        <c:axPos val="b"/>
        <c:tickLblPos val="nextTo"/>
        <c:crossAx val="115434624"/>
        <c:crosses val="autoZero"/>
        <c:auto val="1"/>
        <c:lblAlgn val="ctr"/>
        <c:lblOffset val="100"/>
      </c:catAx>
      <c:valAx>
        <c:axId val="115434624"/>
        <c:scaling>
          <c:orientation val="minMax"/>
        </c:scaling>
        <c:axPos val="l"/>
        <c:majorGridlines/>
        <c:numFmt formatCode="0%" sourceLinked="1"/>
        <c:tickLblPos val="nextTo"/>
        <c:crossAx val="115420544"/>
        <c:crosses val="autoZero"/>
        <c:crossBetween val="between"/>
      </c:valAx>
    </c:plotArea>
    <c:legend>
      <c:legendPos val="r"/>
    </c:legend>
    <c:plotVisOnly val="1"/>
    <c:dispBlanksAs val="gap"/>
  </c:chart>
  <c:printSettings>
    <c:headerFooter/>
    <c:pageMargins b="0.75000000000000155" l="0.70000000000000062" r="0.70000000000000062" t="0.750000000000001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pt-BR"/>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56"/>
          <c:y val="1.886796315669868E-2"/>
        </c:manualLayout>
      </c:layout>
      <c:spPr>
        <a:noFill/>
        <a:ln w="25400">
          <a:noFill/>
        </a:ln>
      </c:spPr>
    </c:title>
    <c:plotArea>
      <c:layout>
        <c:manualLayout>
          <c:layoutTarget val="inner"/>
          <c:xMode val="edge"/>
          <c:yMode val="edge"/>
          <c:x val="7.6201684886112508E-2"/>
          <c:y val="0.15513658595507804"/>
          <c:w val="0.85228653711082758"/>
          <c:h val="0.71278971925306145"/>
        </c:manualLayout>
      </c:layout>
      <c:lineChart>
        <c:grouping val="standard"/>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 #,##0.00_-;_-* "-"??_-;_-@_-</c:formatCode>
                <c:ptCount val="255"/>
                <c:pt idx="0">
                  <c:v>93</c:v>
                </c:pt>
                <c:pt idx="1">
                  <c:v>79.714285714285708</c:v>
                </c:pt>
                <c:pt idx="2">
                  <c:v>66.428571428571416</c:v>
                </c:pt>
                <c:pt idx="3">
                  <c:v>53.142857142857132</c:v>
                </c:pt>
                <c:pt idx="4">
                  <c:v>39.857142857142847</c:v>
                </c:pt>
                <c:pt idx="5">
                  <c:v>26.571428571428562</c:v>
                </c:pt>
                <c:pt idx="6">
                  <c:v>13.285714285714276</c:v>
                </c:pt>
                <c:pt idx="7">
                  <c:v>0</c:v>
                </c:pt>
                <c:pt idx="8">
                  <c:v>-13.285714285714286</c:v>
                </c:pt>
                <c:pt idx="9">
                  <c:v>-26.571428571428573</c:v>
                </c:pt>
                <c:pt idx="10">
                  <c:v>-39.857142857142861</c:v>
                </c:pt>
                <c:pt idx="11">
                  <c:v>-53.142857142857146</c:v>
                </c:pt>
                <c:pt idx="12">
                  <c:v>-66.428571428571431</c:v>
                </c:pt>
                <c:pt idx="13">
                  <c:v>-79.714285714285722</c:v>
                </c:pt>
                <c:pt idx="14">
                  <c:v>-93.000000000000014</c:v>
                </c:pt>
                <c:pt idx="15">
                  <c:v>-106.28571428571431</c:v>
                </c:pt>
                <c:pt idx="16">
                  <c:v>-119.5714285714286</c:v>
                </c:pt>
                <c:pt idx="17">
                  <c:v>-132.85714285714289</c:v>
                </c:pt>
                <c:pt idx="18">
                  <c:v>-146.14285714285717</c:v>
                </c:pt>
                <c:pt idx="19">
                  <c:v>-159.42857142857144</c:v>
                </c:pt>
                <c:pt idx="20">
                  <c:v>-172.71428571428572</c:v>
                </c:pt>
                <c:pt idx="21">
                  <c:v>-186</c:v>
                </c:pt>
                <c:pt idx="22">
                  <c:v>-199.28571428571428</c:v>
                </c:pt>
                <c:pt idx="23">
                  <c:v>-212.57142857142856</c:v>
                </c:pt>
                <c:pt idx="24">
                  <c:v>-225.85714285714283</c:v>
                </c:pt>
                <c:pt idx="25">
                  <c:v>-239.14285714285711</c:v>
                </c:pt>
                <c:pt idx="26">
                  <c:v>-252.42857142857139</c:v>
                </c:pt>
                <c:pt idx="27">
                  <c:v>-265.71428571428567</c:v>
                </c:pt>
                <c:pt idx="28">
                  <c:v>-278.99999999999994</c:v>
                </c:pt>
                <c:pt idx="29">
                  <c:v>-292.28571428571422</c:v>
                </c:pt>
                <c:pt idx="30">
                  <c:v>-305.5714285714285</c:v>
                </c:pt>
                <c:pt idx="31">
                  <c:v>-318.85714285714278</c:v>
                </c:pt>
                <c:pt idx="32">
                  <c:v>-332.14285714285705</c:v>
                </c:pt>
                <c:pt idx="33">
                  <c:v>-345.42857142857133</c:v>
                </c:pt>
                <c:pt idx="34">
                  <c:v>-358.71428571428561</c:v>
                </c:pt>
                <c:pt idx="35">
                  <c:v>-371.99999999999989</c:v>
                </c:pt>
                <c:pt idx="36">
                  <c:v>-385.28571428571416</c:v>
                </c:pt>
                <c:pt idx="37">
                  <c:v>-398.57142857142844</c:v>
                </c:pt>
                <c:pt idx="38">
                  <c:v>-411.85714285714272</c:v>
                </c:pt>
                <c:pt idx="39">
                  <c:v>-425.142857142857</c:v>
                </c:pt>
                <c:pt idx="40">
                  <c:v>-438.42857142857127</c:v>
                </c:pt>
                <c:pt idx="41">
                  <c:v>-451.71428571428555</c:v>
                </c:pt>
                <c:pt idx="42">
                  <c:v>-464.99999999999983</c:v>
                </c:pt>
                <c:pt idx="43">
                  <c:v>-478.28571428571411</c:v>
                </c:pt>
                <c:pt idx="44">
                  <c:v>-491.57142857142838</c:v>
                </c:pt>
                <c:pt idx="45">
                  <c:v>-504.85714285714266</c:v>
                </c:pt>
                <c:pt idx="46">
                  <c:v>-518.142857142857</c:v>
                </c:pt>
                <c:pt idx="47">
                  <c:v>-531.42857142857133</c:v>
                </c:pt>
                <c:pt idx="48">
                  <c:v>-544.71428571428567</c:v>
                </c:pt>
                <c:pt idx="49">
                  <c:v>-558</c:v>
                </c:pt>
                <c:pt idx="50">
                  <c:v>-571.28571428571433</c:v>
                </c:pt>
                <c:pt idx="51">
                  <c:v>-584.57142857142867</c:v>
                </c:pt>
                <c:pt idx="52">
                  <c:v>-597.857142857143</c:v>
                </c:pt>
                <c:pt idx="53">
                  <c:v>-611.14285714285734</c:v>
                </c:pt>
                <c:pt idx="54">
                  <c:v>-624.42857142857167</c:v>
                </c:pt>
                <c:pt idx="55">
                  <c:v>-637.71428571428601</c:v>
                </c:pt>
                <c:pt idx="56">
                  <c:v>-651.00000000000034</c:v>
                </c:pt>
                <c:pt idx="57">
                  <c:v>-664.28571428571468</c:v>
                </c:pt>
                <c:pt idx="58">
                  <c:v>-677.57142857142901</c:v>
                </c:pt>
                <c:pt idx="59">
                  <c:v>-690.85714285714334</c:v>
                </c:pt>
                <c:pt idx="60">
                  <c:v>-704.14285714285768</c:v>
                </c:pt>
                <c:pt idx="61">
                  <c:v>-717.42857142857201</c:v>
                </c:pt>
                <c:pt idx="62">
                  <c:v>-730.71428571428635</c:v>
                </c:pt>
                <c:pt idx="63">
                  <c:v>-744.00000000000068</c:v>
                </c:pt>
                <c:pt idx="64">
                  <c:v>-757.28571428571502</c:v>
                </c:pt>
                <c:pt idx="65">
                  <c:v>-770.57142857142935</c:v>
                </c:pt>
                <c:pt idx="66">
                  <c:v>-783.85714285714369</c:v>
                </c:pt>
                <c:pt idx="67">
                  <c:v>-797.14285714285802</c:v>
                </c:pt>
                <c:pt idx="68">
                  <c:v>-810.42857142857235</c:v>
                </c:pt>
                <c:pt idx="69">
                  <c:v>-823.71428571428669</c:v>
                </c:pt>
                <c:pt idx="70">
                  <c:v>-837.00000000000102</c:v>
                </c:pt>
                <c:pt idx="71">
                  <c:v>-850.28571428571536</c:v>
                </c:pt>
                <c:pt idx="72">
                  <c:v>-863.57142857142969</c:v>
                </c:pt>
                <c:pt idx="73">
                  <c:v>-876.85714285714403</c:v>
                </c:pt>
                <c:pt idx="74">
                  <c:v>-890.14285714285836</c:v>
                </c:pt>
                <c:pt idx="75">
                  <c:v>-903.4285714285727</c:v>
                </c:pt>
                <c:pt idx="76">
                  <c:v>-916.71428571428703</c:v>
                </c:pt>
                <c:pt idx="77">
                  <c:v>-930.00000000000136</c:v>
                </c:pt>
                <c:pt idx="78">
                  <c:v>-943.2857142857157</c:v>
                </c:pt>
                <c:pt idx="79">
                  <c:v>-956.57142857143003</c:v>
                </c:pt>
                <c:pt idx="80">
                  <c:v>-969.85714285714437</c:v>
                </c:pt>
                <c:pt idx="81">
                  <c:v>-983.1428571428587</c:v>
                </c:pt>
                <c:pt idx="82">
                  <c:v>-996.42857142857304</c:v>
                </c:pt>
                <c:pt idx="83">
                  <c:v>-1009.7142857142874</c:v>
                </c:pt>
                <c:pt idx="84">
                  <c:v>-1023.0000000000017</c:v>
                </c:pt>
                <c:pt idx="85">
                  <c:v>-1036.285714285716</c:v>
                </c:pt>
                <c:pt idx="86">
                  <c:v>-1049.5714285714303</c:v>
                </c:pt>
                <c:pt idx="87">
                  <c:v>-1062.8571428571445</c:v>
                </c:pt>
                <c:pt idx="88">
                  <c:v>-1076.1428571428587</c:v>
                </c:pt>
                <c:pt idx="89">
                  <c:v>-1089.4285714285729</c:v>
                </c:pt>
                <c:pt idx="90">
                  <c:v>-1102.7142857142871</c:v>
                </c:pt>
                <c:pt idx="91">
                  <c:v>-1116.0000000000014</c:v>
                </c:pt>
                <c:pt idx="92">
                  <c:v>-1129.2857142857156</c:v>
                </c:pt>
                <c:pt idx="93">
                  <c:v>-1142.5714285714298</c:v>
                </c:pt>
                <c:pt idx="94">
                  <c:v>-1155.857142857144</c:v>
                </c:pt>
                <c:pt idx="95">
                  <c:v>-1169.1428571428582</c:v>
                </c:pt>
                <c:pt idx="96">
                  <c:v>-1182.4285714285725</c:v>
                </c:pt>
                <c:pt idx="97">
                  <c:v>-1195.7142857142867</c:v>
                </c:pt>
                <c:pt idx="98">
                  <c:v>-1209.0000000000009</c:v>
                </c:pt>
                <c:pt idx="99">
                  <c:v>-1222.2857142857151</c:v>
                </c:pt>
                <c:pt idx="100">
                  <c:v>-1235.5714285714294</c:v>
                </c:pt>
                <c:pt idx="101">
                  <c:v>-1248.8571428571436</c:v>
                </c:pt>
                <c:pt idx="102">
                  <c:v>-1262.1428571428578</c:v>
                </c:pt>
                <c:pt idx="103">
                  <c:v>-1275.428571428572</c:v>
                </c:pt>
                <c:pt idx="104">
                  <c:v>-1288.7142857142862</c:v>
                </c:pt>
                <c:pt idx="105">
                  <c:v>-1302.0000000000005</c:v>
                </c:pt>
                <c:pt idx="106">
                  <c:v>-1315.2857142857147</c:v>
                </c:pt>
                <c:pt idx="107">
                  <c:v>-1328.5714285714289</c:v>
                </c:pt>
                <c:pt idx="108">
                  <c:v>-1341.8571428571431</c:v>
                </c:pt>
                <c:pt idx="109">
                  <c:v>-1355.1428571428573</c:v>
                </c:pt>
                <c:pt idx="110">
                  <c:v>-1368.4285714285716</c:v>
                </c:pt>
                <c:pt idx="111">
                  <c:v>-1381.7142857142858</c:v>
                </c:pt>
                <c:pt idx="112">
                  <c:v>-1395</c:v>
                </c:pt>
                <c:pt idx="113">
                  <c:v>-1408.2857142857142</c:v>
                </c:pt>
                <c:pt idx="114">
                  <c:v>-1421.5714285714284</c:v>
                </c:pt>
                <c:pt idx="115">
                  <c:v>-1434.8571428571427</c:v>
                </c:pt>
                <c:pt idx="116">
                  <c:v>-1448.1428571428569</c:v>
                </c:pt>
                <c:pt idx="117">
                  <c:v>-1461.4285714285711</c:v>
                </c:pt>
                <c:pt idx="118">
                  <c:v>-1474.7142857142853</c:v>
                </c:pt>
                <c:pt idx="119">
                  <c:v>-1487.9999999999995</c:v>
                </c:pt>
                <c:pt idx="120">
                  <c:v>-1501.2857142857138</c:v>
                </c:pt>
                <c:pt idx="121">
                  <c:v>-1514.571428571428</c:v>
                </c:pt>
                <c:pt idx="122">
                  <c:v>-1527.8571428571422</c:v>
                </c:pt>
                <c:pt idx="123">
                  <c:v>-1541.1428571428564</c:v>
                </c:pt>
                <c:pt idx="124">
                  <c:v>-1554.4285714285706</c:v>
                </c:pt>
                <c:pt idx="125">
                  <c:v>-1567.7142857142849</c:v>
                </c:pt>
                <c:pt idx="126">
                  <c:v>-1580.9999999999991</c:v>
                </c:pt>
                <c:pt idx="127">
                  <c:v>-1594.2857142857133</c:v>
                </c:pt>
                <c:pt idx="128">
                  <c:v>-1607.5714285714275</c:v>
                </c:pt>
                <c:pt idx="129">
                  <c:v>-1620.8571428571418</c:v>
                </c:pt>
                <c:pt idx="130">
                  <c:v>-1634.142857142856</c:v>
                </c:pt>
                <c:pt idx="131">
                  <c:v>-1647.4285714285702</c:v>
                </c:pt>
                <c:pt idx="132">
                  <c:v>-1660.7142857142844</c:v>
                </c:pt>
                <c:pt idx="133">
                  <c:v>-1673.9999999999986</c:v>
                </c:pt>
                <c:pt idx="134">
                  <c:v>-1687.2857142857129</c:v>
                </c:pt>
                <c:pt idx="135">
                  <c:v>-1700.5714285714271</c:v>
                </c:pt>
                <c:pt idx="136">
                  <c:v>-1713.8571428571413</c:v>
                </c:pt>
                <c:pt idx="137">
                  <c:v>-1727.1428571428555</c:v>
                </c:pt>
                <c:pt idx="138">
                  <c:v>-1740.4285714285697</c:v>
                </c:pt>
                <c:pt idx="139">
                  <c:v>-1753.714285714284</c:v>
                </c:pt>
                <c:pt idx="140">
                  <c:v>-1766.9999999999982</c:v>
                </c:pt>
                <c:pt idx="141">
                  <c:v>-1780.2857142857124</c:v>
                </c:pt>
                <c:pt idx="142">
                  <c:v>-1793.5714285714266</c:v>
                </c:pt>
                <c:pt idx="143">
                  <c:v>-1806.8571428571408</c:v>
                </c:pt>
                <c:pt idx="144">
                  <c:v>-1820.1428571428551</c:v>
                </c:pt>
                <c:pt idx="145">
                  <c:v>-1833.4285714285693</c:v>
                </c:pt>
                <c:pt idx="146">
                  <c:v>-1846.7142857142835</c:v>
                </c:pt>
                <c:pt idx="147">
                  <c:v>-1859.9999999999977</c:v>
                </c:pt>
                <c:pt idx="148">
                  <c:v>-1873.2857142857119</c:v>
                </c:pt>
                <c:pt idx="149">
                  <c:v>-1886.5714285714262</c:v>
                </c:pt>
                <c:pt idx="150">
                  <c:v>-1899.8571428571404</c:v>
                </c:pt>
                <c:pt idx="151">
                  <c:v>-1913.1428571428546</c:v>
                </c:pt>
                <c:pt idx="152">
                  <c:v>-1926.4285714285688</c:v>
                </c:pt>
                <c:pt idx="153">
                  <c:v>-1939.7142857142831</c:v>
                </c:pt>
                <c:pt idx="154">
                  <c:v>-1952.9999999999973</c:v>
                </c:pt>
                <c:pt idx="155">
                  <c:v>-1966.2857142857115</c:v>
                </c:pt>
                <c:pt idx="156">
                  <c:v>-1979.5714285714257</c:v>
                </c:pt>
                <c:pt idx="157">
                  <c:v>-1992.8571428571399</c:v>
                </c:pt>
                <c:pt idx="158">
                  <c:v>-2006.1428571428542</c:v>
                </c:pt>
                <c:pt idx="159">
                  <c:v>-2019.4285714285684</c:v>
                </c:pt>
                <c:pt idx="160">
                  <c:v>-2032.7142857142826</c:v>
                </c:pt>
                <c:pt idx="161">
                  <c:v>-2045.9999999999968</c:v>
                </c:pt>
                <c:pt idx="162">
                  <c:v>-2059.285714285711</c:v>
                </c:pt>
                <c:pt idx="163">
                  <c:v>-2072.5714285714253</c:v>
                </c:pt>
                <c:pt idx="164">
                  <c:v>-2085.8571428571395</c:v>
                </c:pt>
                <c:pt idx="165">
                  <c:v>-2099.1428571428537</c:v>
                </c:pt>
                <c:pt idx="166">
                  <c:v>-2112.4285714285679</c:v>
                </c:pt>
                <c:pt idx="167">
                  <c:v>-2125.7142857142821</c:v>
                </c:pt>
                <c:pt idx="168">
                  <c:v>-2138.9999999999964</c:v>
                </c:pt>
                <c:pt idx="169">
                  <c:v>-2152.2857142857106</c:v>
                </c:pt>
                <c:pt idx="170">
                  <c:v>-2165.5714285714248</c:v>
                </c:pt>
                <c:pt idx="171">
                  <c:v>-2178.857142857139</c:v>
                </c:pt>
                <c:pt idx="172">
                  <c:v>-2192.1428571428532</c:v>
                </c:pt>
                <c:pt idx="173">
                  <c:v>-2205.4285714285675</c:v>
                </c:pt>
                <c:pt idx="174">
                  <c:v>-2218.7142857142817</c:v>
                </c:pt>
                <c:pt idx="175">
                  <c:v>-2231.9999999999959</c:v>
                </c:pt>
                <c:pt idx="176">
                  <c:v>-2245.2857142857101</c:v>
                </c:pt>
                <c:pt idx="177">
                  <c:v>-2258.5714285714243</c:v>
                </c:pt>
                <c:pt idx="178">
                  <c:v>-2271.8571428571386</c:v>
                </c:pt>
                <c:pt idx="179">
                  <c:v>-2285.1428571428528</c:v>
                </c:pt>
                <c:pt idx="180">
                  <c:v>-2298.428571428567</c:v>
                </c:pt>
                <c:pt idx="181">
                  <c:v>-2311.7142857142812</c:v>
                </c:pt>
                <c:pt idx="182">
                  <c:v>-2324.9999999999955</c:v>
                </c:pt>
                <c:pt idx="183">
                  <c:v>-2338.2857142857097</c:v>
                </c:pt>
                <c:pt idx="184">
                  <c:v>-2351.5714285714239</c:v>
                </c:pt>
                <c:pt idx="185">
                  <c:v>-2364.8571428571381</c:v>
                </c:pt>
                <c:pt idx="186">
                  <c:v>-2378.1428571428523</c:v>
                </c:pt>
                <c:pt idx="187">
                  <c:v>-2391.4285714285666</c:v>
                </c:pt>
                <c:pt idx="188">
                  <c:v>-2404.7142857142808</c:v>
                </c:pt>
                <c:pt idx="189">
                  <c:v>-2417.999999999995</c:v>
                </c:pt>
                <c:pt idx="190">
                  <c:v>-2431.2857142857092</c:v>
                </c:pt>
                <c:pt idx="191">
                  <c:v>-2444.5714285714234</c:v>
                </c:pt>
                <c:pt idx="192">
                  <c:v>-2457.8571428571377</c:v>
                </c:pt>
                <c:pt idx="193">
                  <c:v>-2471.1428571428519</c:v>
                </c:pt>
                <c:pt idx="194">
                  <c:v>-2484.4285714285661</c:v>
                </c:pt>
                <c:pt idx="195">
                  <c:v>-2497.7142857142803</c:v>
                </c:pt>
                <c:pt idx="196">
                  <c:v>-2510.9999999999945</c:v>
                </c:pt>
                <c:pt idx="197">
                  <c:v>-2524.2857142857088</c:v>
                </c:pt>
                <c:pt idx="198">
                  <c:v>-2537.571428571423</c:v>
                </c:pt>
                <c:pt idx="199">
                  <c:v>-2550.8571428571372</c:v>
                </c:pt>
                <c:pt idx="200">
                  <c:v>-2564.1428571428514</c:v>
                </c:pt>
                <c:pt idx="201">
                  <c:v>-2577.4285714285656</c:v>
                </c:pt>
                <c:pt idx="202">
                  <c:v>-2590.7142857142799</c:v>
                </c:pt>
                <c:pt idx="203">
                  <c:v>-2603.9999999999941</c:v>
                </c:pt>
                <c:pt idx="204">
                  <c:v>-2617.2857142857083</c:v>
                </c:pt>
                <c:pt idx="205">
                  <c:v>-2630.5714285714225</c:v>
                </c:pt>
                <c:pt idx="206">
                  <c:v>-2643.8571428571368</c:v>
                </c:pt>
                <c:pt idx="207">
                  <c:v>-2657.142857142851</c:v>
                </c:pt>
                <c:pt idx="208">
                  <c:v>-2670.4285714285652</c:v>
                </c:pt>
                <c:pt idx="209">
                  <c:v>-2683.7142857142794</c:v>
                </c:pt>
                <c:pt idx="210">
                  <c:v>-2696.9999999999936</c:v>
                </c:pt>
                <c:pt idx="211">
                  <c:v>-2710.2857142857079</c:v>
                </c:pt>
                <c:pt idx="212">
                  <c:v>-2723.5714285714221</c:v>
                </c:pt>
                <c:pt idx="213">
                  <c:v>-2736.8571428571363</c:v>
                </c:pt>
                <c:pt idx="214">
                  <c:v>-2750.1428571428505</c:v>
                </c:pt>
                <c:pt idx="215">
                  <c:v>-2763.4285714285647</c:v>
                </c:pt>
                <c:pt idx="216">
                  <c:v>-2776.714285714279</c:v>
                </c:pt>
                <c:pt idx="217">
                  <c:v>-2789.9999999999932</c:v>
                </c:pt>
                <c:pt idx="218">
                  <c:v>-2803.2857142857074</c:v>
                </c:pt>
                <c:pt idx="219">
                  <c:v>-2816.5714285714216</c:v>
                </c:pt>
                <c:pt idx="220">
                  <c:v>-2829.8571428571358</c:v>
                </c:pt>
                <c:pt idx="221">
                  <c:v>-2843.1428571428501</c:v>
                </c:pt>
                <c:pt idx="222">
                  <c:v>-2856.4285714285643</c:v>
                </c:pt>
                <c:pt idx="223">
                  <c:v>-2869.7142857142785</c:v>
                </c:pt>
                <c:pt idx="224">
                  <c:v>-2882.9999999999927</c:v>
                </c:pt>
                <c:pt idx="225">
                  <c:v>-2896.2857142857069</c:v>
                </c:pt>
                <c:pt idx="226">
                  <c:v>-2909.5714285714212</c:v>
                </c:pt>
                <c:pt idx="227">
                  <c:v>-2922.8571428571354</c:v>
                </c:pt>
                <c:pt idx="228">
                  <c:v>-2936.1428571428496</c:v>
                </c:pt>
                <c:pt idx="229">
                  <c:v>-2949.4285714285638</c:v>
                </c:pt>
                <c:pt idx="230">
                  <c:v>-2962.714285714278</c:v>
                </c:pt>
                <c:pt idx="231">
                  <c:v>-2975.9999999999923</c:v>
                </c:pt>
                <c:pt idx="232">
                  <c:v>-2989.2857142857065</c:v>
                </c:pt>
                <c:pt idx="233">
                  <c:v>-3002.5714285714207</c:v>
                </c:pt>
                <c:pt idx="234">
                  <c:v>-3015.8571428571349</c:v>
                </c:pt>
                <c:pt idx="235">
                  <c:v>-3029.1428571428492</c:v>
                </c:pt>
                <c:pt idx="236">
                  <c:v>-3042.4285714285634</c:v>
                </c:pt>
                <c:pt idx="237">
                  <c:v>-3055.7142857142776</c:v>
                </c:pt>
                <c:pt idx="238">
                  <c:v>-3068.9999999999918</c:v>
                </c:pt>
                <c:pt idx="239">
                  <c:v>-3082.285714285706</c:v>
                </c:pt>
                <c:pt idx="240">
                  <c:v>-3095.5714285714203</c:v>
                </c:pt>
                <c:pt idx="241">
                  <c:v>-3108.8571428571345</c:v>
                </c:pt>
                <c:pt idx="242">
                  <c:v>-3122.1428571428487</c:v>
                </c:pt>
                <c:pt idx="243">
                  <c:v>-3135.4285714285629</c:v>
                </c:pt>
                <c:pt idx="244">
                  <c:v>-3148.7142857142771</c:v>
                </c:pt>
                <c:pt idx="245">
                  <c:v>-3161.9999999999914</c:v>
                </c:pt>
                <c:pt idx="246">
                  <c:v>-3175.2857142857056</c:v>
                </c:pt>
                <c:pt idx="247">
                  <c:v>-3188.5714285714198</c:v>
                </c:pt>
                <c:pt idx="248">
                  <c:v>-3201.857142857134</c:v>
                </c:pt>
                <c:pt idx="249">
                  <c:v>-3215.1428571428482</c:v>
                </c:pt>
                <c:pt idx="250">
                  <c:v>-3228.4285714285625</c:v>
                </c:pt>
                <c:pt idx="251">
                  <c:v>-3241.7142857142767</c:v>
                </c:pt>
                <c:pt idx="252">
                  <c:v>-3254.9999999999909</c:v>
                </c:pt>
                <c:pt idx="253">
                  <c:v>-3268.2857142857051</c:v>
                </c:pt>
                <c:pt idx="254">
                  <c:v>-3281.5714285714193</c:v>
                </c:pt>
              </c:numCache>
            </c:numRef>
          </c:val>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 #,##0.00_-;_-* "-"??_-;_-@_-</c:formatCode>
                <c:ptCount val="255"/>
                <c:pt idx="0">
                  <c:v>80</c:v>
                </c:pt>
                <c:pt idx="1">
                  <c:v>80</c:v>
                </c:pt>
                <c:pt idx="2">
                  <c:v>80</c:v>
                </c:pt>
                <c:pt idx="3">
                  <c:v>40</c:v>
                </c:pt>
                <c:pt idx="4">
                  <c:v>40</c:v>
                </c:pt>
                <c:pt idx="5">
                  <c:v>40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ser>
        <c:dLbls/>
        <c:marker val="1"/>
        <c:axId val="115497984"/>
        <c:axId val="115516160"/>
      </c:lineChart>
      <c:dateAx>
        <c:axId val="115497984"/>
        <c:scaling>
          <c:orientation val="minMax"/>
          <c:max val="40875"/>
        </c:scaling>
        <c:axPos val="b"/>
        <c:numFmt formatCode="dd\/mm\/yyyy"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15516160"/>
        <c:crosses val="autoZero"/>
        <c:auto val="1"/>
        <c:lblOffset val="100"/>
        <c:baseTimeUnit val="days"/>
        <c:majorUnit val="1"/>
        <c:majorTimeUnit val="months"/>
        <c:minorUnit val="7"/>
        <c:minorTimeUnit val="days"/>
      </c:dateAx>
      <c:valAx>
        <c:axId val="115516160"/>
        <c:scaling>
          <c:orientation val="minMax"/>
          <c:min val="0"/>
        </c:scaling>
        <c:axPos val="l"/>
        <c:majorGridlines>
          <c:spPr>
            <a:ln w="3175">
              <a:solidFill>
                <a:srgbClr val="000000"/>
              </a:solidFill>
              <a:prstDash val="solid"/>
            </a:ln>
          </c:spPr>
        </c:majorGridlines>
        <c:numFmt formatCode="General"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15497984"/>
        <c:crosses val="autoZero"/>
        <c:crossBetween val="midCat"/>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500000021" footer="0.49212598500000021"/>
    <c:pageSetup paperSize="9" orientation="landscape" copies="0"/>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Sheet1"/>
  <dimension ref="A1:CE83"/>
  <sheetViews>
    <sheetView tabSelected="1" zoomScale="110" zoomScaleNormal="110" workbookViewId="0">
      <pane xSplit="8" ySplit="3" topLeftCell="I40" activePane="bottomRight" state="frozen"/>
      <selection pane="topRight" activeCell="F1" sqref="F1"/>
      <selection pane="bottomLeft" activeCell="A3" sqref="A3"/>
      <selection pane="bottomRight" activeCell="AQ3" sqref="AQ3"/>
    </sheetView>
  </sheetViews>
  <sheetFormatPr defaultRowHeight="12.75" outlineLevelCol="1"/>
  <cols>
    <col min="1" max="1" width="12.140625" style="6" customWidth="1"/>
    <col min="2" max="2" width="21.7109375" style="6" customWidth="1"/>
    <col min="3" max="3" width="12.140625" style="6" customWidth="1"/>
    <col min="4" max="4" width="6" style="6" customWidth="1"/>
    <col min="5" max="5" width="55.8554687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c r="A4" s="16" t="s">
        <v>102</v>
      </c>
      <c r="B4" s="16" t="s">
        <v>123</v>
      </c>
      <c r="C4" s="16" t="s">
        <v>149</v>
      </c>
      <c r="D4" s="17" t="s">
        <v>139</v>
      </c>
      <c r="E4" s="178" t="s">
        <v>140</v>
      </c>
      <c r="F4" s="18" t="s">
        <v>115</v>
      </c>
      <c r="G4" s="19" t="str">
        <f t="shared" ref="G4:G73" ca="1" si="0">(INDEX(Burndown,ROW(G4)-ROW(G$3),MIN(TODAY()-SprintStart,29)*3+3))</f>
        <v>Pending</v>
      </c>
      <c r="H4" s="20">
        <v>1</v>
      </c>
      <c r="I4" s="21">
        <v>1</v>
      </c>
      <c r="J4" s="22">
        <v>0</v>
      </c>
      <c r="K4" s="22">
        <f t="shared" ref="K4" si="1">MAX(I4-J4, 0)</f>
        <v>1</v>
      </c>
      <c r="L4" s="23" t="str">
        <f>IF(SUMPRODUCT($J$76:K$76,$J4:K4)&lt;0.5, "Pending", IF(K4&lt;0.5, "Complete", "In Progress"))</f>
        <v>Pending</v>
      </c>
      <c r="M4" s="22">
        <v>0</v>
      </c>
      <c r="N4" s="22">
        <f t="shared" ref="N4" si="2">MAX(K4-M4,0)</f>
        <v>1</v>
      </c>
      <c r="O4" s="23" t="str">
        <f>IF(SUMPRODUCT($J$76:N$76,$J4:N4)&lt;0.5, "Pending", IF(N4&lt;0.5, "Complete", "In Progress"))</f>
        <v>Pending</v>
      </c>
      <c r="P4" s="22">
        <v>0</v>
      </c>
      <c r="Q4" s="22">
        <f t="shared" ref="Q4" si="3">MAX(N4-P4,0)</f>
        <v>1</v>
      </c>
      <c r="R4" s="23" t="str">
        <f>IF(SUMPRODUCT($J$76:Q$76,$J4:Q4)&lt;0.5, "Pending", IF(Q4&lt;0.5, "Complete", "In Progress"))</f>
        <v>Pending</v>
      </c>
      <c r="S4" s="22">
        <v>0</v>
      </c>
      <c r="T4" s="22">
        <f t="shared" ref="T4" si="4">MAX(Q4-S4,0)</f>
        <v>1</v>
      </c>
      <c r="U4" s="23" t="str">
        <f>IF(SUMPRODUCT($J$76:T$76,$J4:T4)&lt;0.5, "Pending", IF(T4&lt;0.5, "Complete", "In Progress"))</f>
        <v>Pending</v>
      </c>
      <c r="V4" s="22">
        <v>0</v>
      </c>
      <c r="W4" s="22">
        <f t="shared" ref="W4" si="5">MAX(T4-V4,0)</f>
        <v>1</v>
      </c>
      <c r="X4" s="23" t="str">
        <f>IF(SUMPRODUCT($J$76:W$76,$J4:W4)&lt;0.5, "Pending", IF(W4&lt;0.5, "Complete", "In Progress"))</f>
        <v>Pending</v>
      </c>
      <c r="Y4" s="22">
        <v>0</v>
      </c>
      <c r="Z4" s="22">
        <f t="shared" ref="Z4" si="6">MAX(W4-Y4,0)</f>
        <v>1</v>
      </c>
      <c r="AA4" s="23" t="str">
        <f>IF(SUMPRODUCT($J$76:Z$76,$J4:Z4)&lt;0.5, "Pending", IF(Z4&lt;0.5, "Complete", "In Progress"))</f>
        <v>Pending</v>
      </c>
      <c r="AB4" s="22">
        <v>0</v>
      </c>
      <c r="AC4" s="22">
        <f t="shared" ref="AC4" si="7">MAX(Z4-AB4,0)</f>
        <v>1</v>
      </c>
      <c r="AD4" s="23" t="str">
        <f>IF(SUMPRODUCT($J$76:AC$76,$J4:AC4)&lt;0.5, "Pending", IF(AC4&lt;0.5, "Complete", "In Progress"))</f>
        <v>Pending</v>
      </c>
      <c r="AE4" s="22">
        <v>0</v>
      </c>
      <c r="AF4" s="22">
        <f t="shared" ref="AF4" si="8">MAX(AC4-AE4,0)</f>
        <v>1</v>
      </c>
      <c r="AG4" s="23" t="str">
        <f>IF(SUMPRODUCT($J$76:AF$76,$J4:AF4)&lt;0.5, "Pending", IF(AF4&lt;0.5, "Complete", "In Progress"))</f>
        <v>Pending</v>
      </c>
      <c r="AH4" s="22">
        <v>0</v>
      </c>
      <c r="AI4" s="22">
        <f t="shared" ref="AI4" si="9">MAX(AF4-AH4,0)</f>
        <v>1</v>
      </c>
      <c r="AJ4" s="23" t="str">
        <f>IF(SUMPRODUCT($J$76:AI$76,$J4:AI4)&lt;0.5, "Pending", IF(AI4&lt;0.5, "Complete", "In Progress"))</f>
        <v>Pending</v>
      </c>
      <c r="AK4" s="22">
        <v>0</v>
      </c>
      <c r="AL4" s="22">
        <f t="shared" ref="AL4" si="10">MAX(AI4-AK4,0)</f>
        <v>1</v>
      </c>
      <c r="AM4" s="23" t="str">
        <f>IF(SUMPRODUCT($J$76:AL$76,$J4:AL4)&lt;0.5, "Pending", IF(AL4&lt;0.5, "Complete", "In Progress"))</f>
        <v>Pending</v>
      </c>
      <c r="AN4" s="22">
        <v>0</v>
      </c>
      <c r="AO4" s="22">
        <f t="shared" ref="AO4" si="11">MAX(AL4-AN4,0)</f>
        <v>1</v>
      </c>
      <c r="AP4" s="23" t="str">
        <f>IF(SUMPRODUCT($J$76:AO$76,$J4:AO4)&lt;0.5, "Pending", IF(AO4&lt;0.5, "Complete", "In Progress"))</f>
        <v>Pending</v>
      </c>
      <c r="AQ4" s="22">
        <v>0</v>
      </c>
      <c r="AR4" s="22">
        <f t="shared" ref="AR4" si="12">MAX(AO4-AQ4,0)</f>
        <v>1</v>
      </c>
      <c r="AS4" s="23" t="str">
        <f>IF(SUMPRODUCT($J$76:AR$76,$J4:AR4)&lt;0.5, "Pending", IF(AR4&lt;0.5, "Complete", "In Progress"))</f>
        <v>Pending</v>
      </c>
      <c r="AT4" s="22">
        <v>0</v>
      </c>
      <c r="AU4" s="22">
        <f t="shared" ref="AU4" si="13">MAX(AR4-AT4,0)</f>
        <v>1</v>
      </c>
      <c r="AV4" s="23" t="str">
        <f>IF(SUMPRODUCT($J$76:AU$76,$J4:AU4)&lt;0.5, "Pending", IF(AU4&lt;0.5, "Complete", "In Progress"))</f>
        <v>Pending</v>
      </c>
      <c r="AW4" s="22">
        <v>0</v>
      </c>
      <c r="AX4" s="22">
        <f t="shared" ref="AX4" si="14">MAX(AU4-AW4,0)</f>
        <v>1</v>
      </c>
      <c r="AY4" s="23" t="str">
        <f>IF(SUMPRODUCT($J$76:AX$76,$J4:AX4)&lt;0.5, "Pending", IF(AX4&lt;0.5, "Complete", "In Progress"))</f>
        <v>Pending</v>
      </c>
      <c r="AZ4" s="22">
        <v>0</v>
      </c>
      <c r="BA4" s="22" t="e">
        <f>MAX(#REF!-AZ4,0)</f>
        <v>#REF!</v>
      </c>
      <c r="BB4" s="23" t="e">
        <f>IF(SUMPRODUCT($J$76:BA$76,$J4:BA4)&lt;0.5, "Pending", IF(BA4&lt;0.5, "Complete", "In Progress"))</f>
        <v>#REF!</v>
      </c>
      <c r="BC4" s="22">
        <v>0</v>
      </c>
      <c r="BD4" s="22" t="e">
        <f t="shared" ref="BD4" si="15">MAX(BA4-BC4,0)</f>
        <v>#REF!</v>
      </c>
      <c r="BE4" s="23" t="e">
        <f>IF(SUMPRODUCT($J$76:BD$76,$J4:BD4)&lt;0.5, "Pending", IF(BD4&lt;0.5, "Complete", "In Progress"))</f>
        <v>#REF!</v>
      </c>
      <c r="BF4" s="22">
        <v>0</v>
      </c>
      <c r="BG4" s="22" t="e">
        <f t="shared" ref="BG4" si="16">MAX(BD4-BF4,0)</f>
        <v>#REF!</v>
      </c>
      <c r="BH4" s="23" t="e">
        <f>IF(SUMPRODUCT($J$76:BG$76,$J4:BG4)&lt;0.5, "Pending", IF(BG4&lt;0.5, "Complete", "In Progress"))</f>
        <v>#REF!</v>
      </c>
      <c r="BI4" s="22">
        <v>0</v>
      </c>
      <c r="BJ4" s="22" t="e">
        <f t="shared" ref="BJ4" si="17">MAX(BG4-BI4,0)</f>
        <v>#REF!</v>
      </c>
      <c r="BK4" s="23" t="e">
        <f>IF(SUMPRODUCT($J$76:BJ$76,$J4:BJ4)&lt;0.5, "Pending", IF(BJ4&lt;0.5, "Complete", "In Progress"))</f>
        <v>#REF!</v>
      </c>
      <c r="BL4" s="22">
        <v>0</v>
      </c>
      <c r="BM4" s="22" t="e">
        <f t="shared" ref="BM4" si="18">MAX(BJ4-BL4,0)</f>
        <v>#REF!</v>
      </c>
      <c r="BN4" s="23" t="e">
        <f>IF(SUMPRODUCT($J$76:BM$76,$J4:BM4)&lt;0.5, "Pending", IF(BM4&lt;0.5, "Complete", "In Progress"))</f>
        <v>#REF!</v>
      </c>
      <c r="BO4" s="22">
        <v>0</v>
      </c>
      <c r="BP4" s="22" t="e">
        <f t="shared" ref="BP4" si="19">MAX(BM4-BO4,0)</f>
        <v>#REF!</v>
      </c>
      <c r="BQ4" s="23" t="e">
        <f>IF(SUMPRODUCT($J$76:BP$76,$J4:BP4)&lt;0.5, "Pending", IF(BP4&lt;0.5, "Complete", "In Progress"))</f>
        <v>#REF!</v>
      </c>
      <c r="BR4" s="22">
        <v>0</v>
      </c>
      <c r="BS4" s="22" t="e">
        <f t="shared" ref="BS4" si="20">MAX(BP4-BR4,0)</f>
        <v>#REF!</v>
      </c>
      <c r="BT4" s="23" t="e">
        <f>IF(SUMPRODUCT($J$76:BS$76,$J4:BS4)&lt;0.5, "Pending", IF(BS4&lt;0.5, "Complete", "In Progress"))</f>
        <v>#REF!</v>
      </c>
      <c r="BU4" s="22">
        <v>0</v>
      </c>
      <c r="BV4" s="22" t="e">
        <f t="shared" ref="BV4" si="21">MAX(BS4-BU4,0)</f>
        <v>#REF!</v>
      </c>
      <c r="BW4" s="23" t="e">
        <f>IF(SUMPRODUCT($J$76:BV$76,$J4:BV4)&lt;0.5, "Pending", IF(BV4&lt;0.5, "Complete", "In Progress"))</f>
        <v>#REF!</v>
      </c>
      <c r="BX4" s="22">
        <v>0</v>
      </c>
      <c r="BY4" s="22" t="e">
        <f t="shared" ref="BY4" si="22">MAX(BV4-BX4,0)</f>
        <v>#REF!</v>
      </c>
      <c r="BZ4" s="23" t="e">
        <f>IF(SUMPRODUCT($J$76:BY$76,$J4:BY4)&lt;0.5, "Pending", IF(BY4&lt;0.5, "Complete", "In Progress"))</f>
        <v>#REF!</v>
      </c>
      <c r="CA4" s="22">
        <v>0</v>
      </c>
      <c r="CB4" s="22" t="e">
        <f t="shared" ref="CB4" si="23">MAX(BY4-CA4,0)</f>
        <v>#REF!</v>
      </c>
      <c r="CC4" s="23" t="e">
        <f>IF(SUMPRODUCT($J$76:CB$76,$J4:CB4)&lt;0.5, "Pending", IF(CB4&lt;0.5, "Complete", "In Progress"))</f>
        <v>#REF!</v>
      </c>
      <c r="CD4" s="24"/>
      <c r="CE4" s="25">
        <f>SUMPRODUCT($H$76:AY$76,$H4:AY4)</f>
        <v>0</v>
      </c>
    </row>
    <row r="5" spans="1:83">
      <c r="A5" s="16"/>
      <c r="B5" s="16" t="s">
        <v>123</v>
      </c>
      <c r="C5" s="16" t="s">
        <v>149</v>
      </c>
      <c r="D5" s="17" t="s">
        <v>145</v>
      </c>
      <c r="E5" s="178" t="s">
        <v>141</v>
      </c>
      <c r="F5" s="18" t="s">
        <v>116</v>
      </c>
      <c r="G5" s="19" t="str">
        <f t="shared" ca="1" si="0"/>
        <v>Complete</v>
      </c>
      <c r="H5" s="20">
        <v>1</v>
      </c>
      <c r="I5" s="21">
        <v>2</v>
      </c>
      <c r="J5" s="22">
        <v>2</v>
      </c>
      <c r="K5" s="22">
        <f t="shared" ref="K5:K72" si="24">MAX(I5-J5, 0)</f>
        <v>0</v>
      </c>
      <c r="L5" s="23" t="str">
        <f>IF(SUMPRODUCT($J$76:K$76,$J5:K5)&lt;0.5, "Pending", IF(K5&lt;0.5, "Complete", "In Progress"))</f>
        <v>Complete</v>
      </c>
      <c r="M5" s="22">
        <v>2</v>
      </c>
      <c r="N5" s="22">
        <f t="shared" ref="N5:N72" si="25">MAX(K5-M5,0)</f>
        <v>0</v>
      </c>
      <c r="O5" s="23" t="str">
        <f>IF(SUMPRODUCT($J$76:N$76,$J5:N5)&lt;0.5, "Pending", IF(N5&lt;0.5, "Complete", "In Progress"))</f>
        <v>Complete</v>
      </c>
      <c r="P5" s="22">
        <v>3</v>
      </c>
      <c r="Q5" s="22">
        <f t="shared" ref="Q5:Q72" si="26">MAX(N5-P5,0)</f>
        <v>0</v>
      </c>
      <c r="R5" s="23" t="str">
        <f>IF(SUMPRODUCT($J$76:Q$76,$J5:Q5)&lt;0.5, "Pending", IF(Q5&lt;0.5, "Complete", "In Progress"))</f>
        <v>Complete</v>
      </c>
      <c r="S5" s="22">
        <v>0</v>
      </c>
      <c r="T5" s="22">
        <f t="shared" ref="T5:T72" si="27">MAX(Q5-S5,0)</f>
        <v>0</v>
      </c>
      <c r="U5" s="23" t="str">
        <f>IF(SUMPRODUCT($J$76:T$76,$J5:T5)&lt;0.5, "Pending", IF(T5&lt;0.5, "Complete", "In Progress"))</f>
        <v>Complete</v>
      </c>
      <c r="V5" s="22">
        <v>0</v>
      </c>
      <c r="W5" s="22">
        <f t="shared" ref="W5:W72" si="28">MAX(T5-V5,0)</f>
        <v>0</v>
      </c>
      <c r="X5" s="23" t="str">
        <f>IF(SUMPRODUCT($J$76:W$76,$J5:W5)&lt;0.5, "Pending", IF(W5&lt;0.5, "Complete", "In Progress"))</f>
        <v>Complete</v>
      </c>
      <c r="Y5" s="22">
        <v>0</v>
      </c>
      <c r="Z5" s="22">
        <f t="shared" ref="Z5:Z72" si="29">MAX(W5-Y5,0)</f>
        <v>0</v>
      </c>
      <c r="AA5" s="23" t="str">
        <f>IF(SUMPRODUCT($J$76:Z$76,$J5:Z5)&lt;0.5, "Pending", IF(Z5&lt;0.5, "Complete", "In Progress"))</f>
        <v>Complete</v>
      </c>
      <c r="AB5" s="22">
        <v>0</v>
      </c>
      <c r="AC5" s="22">
        <f t="shared" ref="AC5:AC72" si="30">MAX(Z5-AB5,0)</f>
        <v>0</v>
      </c>
      <c r="AD5" s="23" t="str">
        <f>IF(SUMPRODUCT($J$76:AC$76,$J5:AC5)&lt;0.5, "Pending", IF(AC5&lt;0.5, "Complete", "In Progress"))</f>
        <v>Complete</v>
      </c>
      <c r="AE5" s="22">
        <v>0</v>
      </c>
      <c r="AF5" s="22">
        <f t="shared" ref="AF5:AF72" si="31">MAX(AC5-AE5,0)</f>
        <v>0</v>
      </c>
      <c r="AG5" s="23" t="str">
        <f>IF(SUMPRODUCT($J$76:AF$76,$J5:AF5)&lt;0.5, "Pending", IF(AF5&lt;0.5, "Complete", "In Progress"))</f>
        <v>Complete</v>
      </c>
      <c r="AH5" s="22">
        <v>0</v>
      </c>
      <c r="AI5" s="22">
        <f t="shared" ref="AI5:AI72" si="32">MAX(AF5-AH5,0)</f>
        <v>0</v>
      </c>
      <c r="AJ5" s="23" t="str">
        <f>IF(SUMPRODUCT($J$76:AI$76,$J5:AI5)&lt;0.5, "Pending", IF(AI5&lt;0.5, "Complete", "In Progress"))</f>
        <v>Complete</v>
      </c>
      <c r="AK5" s="22">
        <v>0</v>
      </c>
      <c r="AL5" s="22">
        <f t="shared" ref="AL5:AL72" si="33">MAX(AI5-AK5,0)</f>
        <v>0</v>
      </c>
      <c r="AM5" s="23" t="str">
        <f>IF(SUMPRODUCT($J$76:AL$76,$J5:AL5)&lt;0.5, "Pending", IF(AL5&lt;0.5, "Complete", "In Progress"))</f>
        <v>Complete</v>
      </c>
      <c r="AN5" s="22">
        <v>0</v>
      </c>
      <c r="AO5" s="22">
        <f t="shared" ref="AO5:AO72" si="34">MAX(AL5-AN5,0)</f>
        <v>0</v>
      </c>
      <c r="AP5" s="23" t="str">
        <f>IF(SUMPRODUCT($J$76:AO$76,$J5:AO5)&lt;0.5, "Pending", IF(AO5&lt;0.5, "Complete", "In Progress"))</f>
        <v>Complete</v>
      </c>
      <c r="AQ5" s="22">
        <v>0</v>
      </c>
      <c r="AR5" s="22">
        <f t="shared" ref="AR5:AR72" si="35">MAX(AO5-AQ5,0)</f>
        <v>0</v>
      </c>
      <c r="AS5" s="23" t="str">
        <f>IF(SUMPRODUCT($J$76:AR$76,$J5:AR5)&lt;0.5, "Pending", IF(AR5&lt;0.5, "Complete", "In Progress"))</f>
        <v>Complete</v>
      </c>
      <c r="AT5" s="22">
        <v>0</v>
      </c>
      <c r="AU5" s="22">
        <f t="shared" ref="AU5:AU72" si="36">MAX(AR5-AT5,0)</f>
        <v>0</v>
      </c>
      <c r="AV5" s="23" t="str">
        <f>IF(SUMPRODUCT($J$76:AU$76,$J5:AU5)&lt;0.5, "Pending", IF(AU5&lt;0.5, "Complete", "In Progress"))</f>
        <v>Complete</v>
      </c>
      <c r="AW5" s="22">
        <v>0</v>
      </c>
      <c r="AX5" s="22">
        <f t="shared" ref="AX5:AX72" si="37">MAX(AU5-AW5,0)</f>
        <v>0</v>
      </c>
      <c r="AY5" s="23" t="str">
        <f>IF(SUMPRODUCT($J$76:AX$76,$J5:AX5)&lt;0.5, "Pending", IF(AX5&lt;0.5, "Complete", "In Progress"))</f>
        <v>Complete</v>
      </c>
      <c r="AZ5" s="22">
        <v>0</v>
      </c>
      <c r="BA5" s="22" t="e">
        <f>MAX(#REF!-AZ5,0)</f>
        <v>#REF!</v>
      </c>
      <c r="BB5" s="23" t="e">
        <f>IF(SUMPRODUCT($J$76:BA$76,$J5:BA5)&lt;0.5, "Pending", IF(BA5&lt;0.5, "Complete", "In Progress"))</f>
        <v>#REF!</v>
      </c>
      <c r="BC5" s="22">
        <v>0</v>
      </c>
      <c r="BD5" s="22" t="e">
        <f t="shared" ref="BD5:BD72" si="38">MAX(BA5-BC5,0)</f>
        <v>#REF!</v>
      </c>
      <c r="BE5" s="23" t="e">
        <f>IF(SUMPRODUCT($J$76:BD$76,$J5:BD5)&lt;0.5, "Pending", IF(BD5&lt;0.5, "Complete", "In Progress"))</f>
        <v>#REF!</v>
      </c>
      <c r="BF5" s="22">
        <v>0</v>
      </c>
      <c r="BG5" s="22" t="e">
        <f t="shared" ref="BG5:BG72" si="39">MAX(BD5-BF5,0)</f>
        <v>#REF!</v>
      </c>
      <c r="BH5" s="23" t="e">
        <f>IF(SUMPRODUCT($J$76:BG$76,$J5:BG5)&lt;0.5, "Pending", IF(BG5&lt;0.5, "Complete", "In Progress"))</f>
        <v>#REF!</v>
      </c>
      <c r="BI5" s="22">
        <v>0</v>
      </c>
      <c r="BJ5" s="22" t="e">
        <f t="shared" ref="BJ5:BJ72" si="40">MAX(BG5-BI5,0)</f>
        <v>#REF!</v>
      </c>
      <c r="BK5" s="23" t="e">
        <f>IF(SUMPRODUCT($J$76:BJ$76,$J5:BJ5)&lt;0.5, "Pending", IF(BJ5&lt;0.5, "Complete", "In Progress"))</f>
        <v>#REF!</v>
      </c>
      <c r="BL5" s="22">
        <v>0</v>
      </c>
      <c r="BM5" s="22" t="e">
        <f t="shared" ref="BM5:BM72" si="41">MAX(BJ5-BL5,0)</f>
        <v>#REF!</v>
      </c>
      <c r="BN5" s="23" t="e">
        <f>IF(SUMPRODUCT($J$76:BM$76,$J5:BM5)&lt;0.5, "Pending", IF(BM5&lt;0.5, "Complete", "In Progress"))</f>
        <v>#REF!</v>
      </c>
      <c r="BO5" s="22">
        <v>0</v>
      </c>
      <c r="BP5" s="22" t="e">
        <f t="shared" ref="BP5:BP72" si="42">MAX(BM5-BO5,0)</f>
        <v>#REF!</v>
      </c>
      <c r="BQ5" s="23" t="e">
        <f>IF(SUMPRODUCT($J$76:BP$76,$J5:BP5)&lt;0.5, "Pending", IF(BP5&lt;0.5, "Complete", "In Progress"))</f>
        <v>#REF!</v>
      </c>
      <c r="BR5" s="22">
        <v>0</v>
      </c>
      <c r="BS5" s="22" t="e">
        <f t="shared" ref="BS5:BS72" si="43">MAX(BP5-BR5,0)</f>
        <v>#REF!</v>
      </c>
      <c r="BT5" s="23" t="e">
        <f>IF(SUMPRODUCT($J$76:BS$76,$J5:BS5)&lt;0.5, "Pending", IF(BS5&lt;0.5, "Complete", "In Progress"))</f>
        <v>#REF!</v>
      </c>
      <c r="BU5" s="22">
        <v>0</v>
      </c>
      <c r="BV5" s="22" t="e">
        <f t="shared" ref="BV5:BV72" si="44">MAX(BS5-BU5,0)</f>
        <v>#REF!</v>
      </c>
      <c r="BW5" s="23" t="e">
        <f>IF(SUMPRODUCT($J$76:BV$76,$J5:BV5)&lt;0.5, "Pending", IF(BV5&lt;0.5, "Complete", "In Progress"))</f>
        <v>#REF!</v>
      </c>
      <c r="BX5" s="22">
        <v>0</v>
      </c>
      <c r="BY5" s="22" t="e">
        <f t="shared" ref="BY5:BY72" si="45">MAX(BV5-BX5,0)</f>
        <v>#REF!</v>
      </c>
      <c r="BZ5" s="23" t="e">
        <f>IF(SUMPRODUCT($J$76:BY$76,$J5:BY5)&lt;0.5, "Pending", IF(BY5&lt;0.5, "Complete", "In Progress"))</f>
        <v>#REF!</v>
      </c>
      <c r="CA5" s="22">
        <v>0</v>
      </c>
      <c r="CB5" s="22" t="e">
        <f t="shared" ref="CB5:CB72" si="46">MAX(BY5-CA5,0)</f>
        <v>#REF!</v>
      </c>
      <c r="CC5" s="23" t="e">
        <f>IF(SUMPRODUCT($J$76:CB$76,$J5:CB5)&lt;0.5, "Pending", IF(CB5&lt;0.5, "Complete", "In Progress"))</f>
        <v>#REF!</v>
      </c>
      <c r="CD5" s="24"/>
      <c r="CE5" s="25">
        <f>SUMPRODUCT($H$76:AY$76,$H5:AY5)</f>
        <v>7</v>
      </c>
    </row>
    <row r="6" spans="1:83">
      <c r="A6" s="16"/>
      <c r="B6" s="16" t="s">
        <v>123</v>
      </c>
      <c r="C6" s="16" t="s">
        <v>149</v>
      </c>
      <c r="D6" s="17" t="s">
        <v>146</v>
      </c>
      <c r="E6" s="178" t="s">
        <v>142</v>
      </c>
      <c r="F6" s="18" t="s">
        <v>115</v>
      </c>
      <c r="G6" s="19" t="str">
        <f t="shared" ca="1" si="0"/>
        <v>Pending</v>
      </c>
      <c r="H6" s="20">
        <v>1</v>
      </c>
      <c r="I6" s="21">
        <v>3</v>
      </c>
      <c r="J6" s="22">
        <v>0</v>
      </c>
      <c r="K6" s="22">
        <v>0</v>
      </c>
      <c r="L6" s="23" t="str">
        <f>IF(SUMPRODUCT($J$76:K$76,$J6:K6)&lt;0.5, "Pending", IF(K6&lt;0.5, "Complete", "In Progress"))</f>
        <v>Pending</v>
      </c>
      <c r="M6" s="22">
        <v>0</v>
      </c>
      <c r="N6" s="22"/>
      <c r="O6" s="23" t="str">
        <f>IF(SUMPRODUCT($J$76:N$76,$J6:N6)&lt;0.5, "Pending", IF(N6&lt;0.5, "Complete", "In Progress"))</f>
        <v>Pending</v>
      </c>
      <c r="P6" s="22">
        <v>0</v>
      </c>
      <c r="Q6" s="22">
        <f t="shared" si="26"/>
        <v>0</v>
      </c>
      <c r="R6" s="23" t="str">
        <f>IF(SUMPRODUCT($J$76:Q$76,$J6:Q6)&lt;0.5, "Pending", IF(Q6&lt;0.5, "Complete", "In Progress"))</f>
        <v>Pending</v>
      </c>
      <c r="S6" s="22">
        <v>0</v>
      </c>
      <c r="T6" s="22">
        <f t="shared" si="27"/>
        <v>0</v>
      </c>
      <c r="U6" s="23" t="str">
        <f>IF(SUMPRODUCT($J$76:T$76,$J6:T6)&lt;0.5, "Pending", IF(T6&lt;0.5, "Complete", "In Progress"))</f>
        <v>Pending</v>
      </c>
      <c r="V6" s="22">
        <v>0</v>
      </c>
      <c r="W6" s="22">
        <f t="shared" si="28"/>
        <v>0</v>
      </c>
      <c r="X6" s="23" t="str">
        <f>IF(SUMPRODUCT($J$76:W$76,$J6:W6)&lt;0.5, "Pending", IF(W6&lt;0.5, "Complete", "In Progress"))</f>
        <v>Pending</v>
      </c>
      <c r="Y6" s="22">
        <v>0</v>
      </c>
      <c r="Z6" s="22">
        <f t="shared" si="29"/>
        <v>0</v>
      </c>
      <c r="AA6" s="23" t="str">
        <f>IF(SUMPRODUCT($J$76:Z$76,$J6:Z6)&lt;0.5, "Pending", IF(Z6&lt;0.5, "Complete", "In Progress"))</f>
        <v>Pending</v>
      </c>
      <c r="AB6" s="22">
        <v>0</v>
      </c>
      <c r="AC6" s="22">
        <f t="shared" si="30"/>
        <v>0</v>
      </c>
      <c r="AD6" s="23" t="str">
        <f>IF(SUMPRODUCT($J$76:AC$76,$J6:AC6)&lt;0.5, "Pending", IF(AC6&lt;0.5, "Complete", "In Progress"))</f>
        <v>Pending</v>
      </c>
      <c r="AE6" s="22">
        <v>0</v>
      </c>
      <c r="AF6" s="22">
        <f t="shared" si="31"/>
        <v>0</v>
      </c>
      <c r="AG6" s="23" t="str">
        <f>IF(SUMPRODUCT($J$76:AF$76,$J6:AF6)&lt;0.5, "Pending", IF(AF6&lt;0.5, "Complete", "In Progress"))</f>
        <v>Pending</v>
      </c>
      <c r="AH6" s="22">
        <v>0</v>
      </c>
      <c r="AI6" s="22">
        <f t="shared" si="32"/>
        <v>0</v>
      </c>
      <c r="AJ6" s="23" t="str">
        <f>IF(SUMPRODUCT($J$76:AI$76,$J6:AI6)&lt;0.5, "Pending", IF(AI6&lt;0.5, "Complete", "In Progress"))</f>
        <v>Pending</v>
      </c>
      <c r="AK6" s="22">
        <v>0</v>
      </c>
      <c r="AL6" s="22">
        <f t="shared" si="33"/>
        <v>0</v>
      </c>
      <c r="AM6" s="23" t="str">
        <f>IF(SUMPRODUCT($J$76:AL$76,$J6:AL6)&lt;0.5, "Pending", IF(AL6&lt;0.5, "Complete", "In Progress"))</f>
        <v>Pending</v>
      </c>
      <c r="AN6" s="22">
        <v>0</v>
      </c>
      <c r="AO6" s="22">
        <f t="shared" si="34"/>
        <v>0</v>
      </c>
      <c r="AP6" s="23" t="str">
        <f>IF(SUMPRODUCT($J$76:AO$76,$J6:AO6)&lt;0.5, "Pending", IF(AO6&lt;0.5, "Complete", "In Progress"))</f>
        <v>Pending</v>
      </c>
      <c r="AQ6" s="22">
        <v>0</v>
      </c>
      <c r="AR6" s="22">
        <f t="shared" si="35"/>
        <v>0</v>
      </c>
      <c r="AS6" s="23" t="str">
        <f>IF(SUMPRODUCT($J$76:AR$76,$J6:AR6)&lt;0.5, "Pending", IF(AR6&lt;0.5, "Complete", "In Progress"))</f>
        <v>Pending</v>
      </c>
      <c r="AT6" s="22">
        <v>0</v>
      </c>
      <c r="AU6" s="22">
        <f t="shared" si="36"/>
        <v>0</v>
      </c>
      <c r="AV6" s="23" t="str">
        <f>IF(SUMPRODUCT($J$76:AU$76,$J6:AU6)&lt;0.5, "Pending", IF(AU6&lt;0.5, "Complete", "In Progress"))</f>
        <v>Pending</v>
      </c>
      <c r="AW6" s="22">
        <v>0</v>
      </c>
      <c r="AX6" s="22">
        <f t="shared" si="37"/>
        <v>0</v>
      </c>
      <c r="AY6" s="23" t="str">
        <f>IF(SUMPRODUCT($J$76:AX$76,$J6:AX6)&lt;0.5, "Pending", IF(AX6&lt;0.5, "Complete", "In Progress"))</f>
        <v>Pending</v>
      </c>
      <c r="AZ6" s="22">
        <v>0</v>
      </c>
      <c r="BA6" s="22" t="e">
        <f>MAX(#REF!-AZ6,0)</f>
        <v>#REF!</v>
      </c>
      <c r="BB6" s="23" t="e">
        <f>IF(SUMPRODUCT($J$76:BA$76,$J6:BA6)&lt;0.5, "Pending", IF(BA6&lt;0.5, "Complete", "In Progress"))</f>
        <v>#REF!</v>
      </c>
      <c r="BC6" s="22">
        <v>0</v>
      </c>
      <c r="BD6" s="22" t="e">
        <f t="shared" si="38"/>
        <v>#REF!</v>
      </c>
      <c r="BE6" s="23" t="e">
        <f>IF(SUMPRODUCT($J$76:BD$76,$J6:BD6)&lt;0.5, "Pending", IF(BD6&lt;0.5, "Complete", "In Progress"))</f>
        <v>#REF!</v>
      </c>
      <c r="BF6" s="22">
        <v>0</v>
      </c>
      <c r="BG6" s="22" t="e">
        <f t="shared" si="39"/>
        <v>#REF!</v>
      </c>
      <c r="BH6" s="23" t="e">
        <f>IF(SUMPRODUCT($J$76:BG$76,$J6:BG6)&lt;0.5, "Pending", IF(BG6&lt;0.5, "Complete", "In Progress"))</f>
        <v>#REF!</v>
      </c>
      <c r="BI6" s="22">
        <v>0</v>
      </c>
      <c r="BJ6" s="22" t="e">
        <f t="shared" si="40"/>
        <v>#REF!</v>
      </c>
      <c r="BK6" s="23" t="e">
        <f>IF(SUMPRODUCT($J$76:BJ$76,$J6:BJ6)&lt;0.5, "Pending", IF(BJ6&lt;0.5, "Complete", "In Progress"))</f>
        <v>#REF!</v>
      </c>
      <c r="BL6" s="22">
        <v>0</v>
      </c>
      <c r="BM6" s="22" t="e">
        <f t="shared" si="41"/>
        <v>#REF!</v>
      </c>
      <c r="BN6" s="23" t="e">
        <f>IF(SUMPRODUCT($J$76:BM$76,$J6:BM6)&lt;0.5, "Pending", IF(BM6&lt;0.5, "Complete", "In Progress"))</f>
        <v>#REF!</v>
      </c>
      <c r="BO6" s="22">
        <v>0</v>
      </c>
      <c r="BP6" s="22" t="e">
        <f t="shared" si="42"/>
        <v>#REF!</v>
      </c>
      <c r="BQ6" s="23" t="e">
        <f>IF(SUMPRODUCT($J$76:BP$76,$J6:BP6)&lt;0.5, "Pending", IF(BP6&lt;0.5, "Complete", "In Progress"))</f>
        <v>#REF!</v>
      </c>
      <c r="BR6" s="22">
        <v>0</v>
      </c>
      <c r="BS6" s="22" t="e">
        <f t="shared" si="43"/>
        <v>#REF!</v>
      </c>
      <c r="BT6" s="23" t="e">
        <f>IF(SUMPRODUCT($J$76:BS$76,$J6:BS6)&lt;0.5, "Pending", IF(BS6&lt;0.5, "Complete", "In Progress"))</f>
        <v>#REF!</v>
      </c>
      <c r="BU6" s="22">
        <v>0</v>
      </c>
      <c r="BV6" s="22" t="e">
        <f t="shared" si="44"/>
        <v>#REF!</v>
      </c>
      <c r="BW6" s="23" t="e">
        <f>IF(SUMPRODUCT($J$76:BV$76,$J6:BV6)&lt;0.5, "Pending", IF(BV6&lt;0.5, "Complete", "In Progress"))</f>
        <v>#REF!</v>
      </c>
      <c r="BX6" s="22">
        <v>0</v>
      </c>
      <c r="BY6" s="22" t="e">
        <f t="shared" si="45"/>
        <v>#REF!</v>
      </c>
      <c r="BZ6" s="23" t="e">
        <f>IF(SUMPRODUCT($J$76:BY$76,$J6:BY6)&lt;0.5, "Pending", IF(BY6&lt;0.5, "Complete", "In Progress"))</f>
        <v>#REF!</v>
      </c>
      <c r="CA6" s="22">
        <v>0</v>
      </c>
      <c r="CB6" s="22" t="e">
        <f t="shared" si="46"/>
        <v>#REF!</v>
      </c>
      <c r="CC6" s="23" t="e">
        <f>IF(SUMPRODUCT($J$76:CB$76,$J6:CB6)&lt;0.5, "Pending", IF(CB6&lt;0.5, "Complete", "In Progress"))</f>
        <v>#REF!</v>
      </c>
      <c r="CD6" s="24"/>
      <c r="CE6" s="25">
        <f>SUMPRODUCT($H$76:AY$76,$H6:AY6)</f>
        <v>0</v>
      </c>
    </row>
    <row r="7" spans="1:83">
      <c r="A7" s="16"/>
      <c r="B7" s="16" t="s">
        <v>126</v>
      </c>
      <c r="C7" s="16" t="s">
        <v>149</v>
      </c>
      <c r="D7" s="17" t="s">
        <v>147</v>
      </c>
      <c r="E7" s="178" t="s">
        <v>143</v>
      </c>
      <c r="F7" s="18" t="s">
        <v>116</v>
      </c>
      <c r="G7" s="19" t="str">
        <f t="shared" ca="1" si="0"/>
        <v>Complete</v>
      </c>
      <c r="H7" s="20">
        <v>1</v>
      </c>
      <c r="I7" s="21">
        <v>2</v>
      </c>
      <c r="J7" s="22">
        <v>2</v>
      </c>
      <c r="K7" s="22">
        <f t="shared" si="24"/>
        <v>0</v>
      </c>
      <c r="L7" s="23" t="str">
        <f>IF(SUMPRODUCT($J$76:K$76,$J7:K7)&lt;0.5, "Pending", IF(K7&lt;0.5, "Complete", "In Progress"))</f>
        <v>Complete</v>
      </c>
      <c r="M7" s="22">
        <v>0</v>
      </c>
      <c r="N7" s="22">
        <f t="shared" si="25"/>
        <v>0</v>
      </c>
      <c r="O7" s="23" t="str">
        <f>IF(SUMPRODUCT($J$76:N$76,$J7:N7)&lt;0.5, "Pending", IF(N7&lt;0.5, "Complete", "In Progress"))</f>
        <v>Complete</v>
      </c>
      <c r="P7" s="22">
        <v>0</v>
      </c>
      <c r="Q7" s="22">
        <f t="shared" si="26"/>
        <v>0</v>
      </c>
      <c r="R7" s="23" t="str">
        <f>IF(SUMPRODUCT($J$76:Q$76,$J7:Q7)&lt;0.5, "Pending", IF(Q7&lt;0.5, "Complete", "In Progress"))</f>
        <v>Complete</v>
      </c>
      <c r="S7" s="22">
        <v>0</v>
      </c>
      <c r="T7" s="22">
        <f t="shared" si="27"/>
        <v>0</v>
      </c>
      <c r="U7" s="23" t="str">
        <f>IF(SUMPRODUCT($J$76:T$76,$J7:T7)&lt;0.5, "Pending", IF(T7&lt;0.5, "Complete", "In Progress"))</f>
        <v>Complete</v>
      </c>
      <c r="V7" s="22">
        <v>0</v>
      </c>
      <c r="W7" s="22">
        <f t="shared" si="28"/>
        <v>0</v>
      </c>
      <c r="X7" s="23" t="str">
        <f>IF(SUMPRODUCT($J$76:W$76,$J7:W7)&lt;0.5, "Pending", IF(W7&lt;0.5, "Complete", "In Progress"))</f>
        <v>Complete</v>
      </c>
      <c r="Y7" s="22">
        <v>0</v>
      </c>
      <c r="Z7" s="22">
        <f t="shared" si="29"/>
        <v>0</v>
      </c>
      <c r="AA7" s="23" t="str">
        <f>IF(SUMPRODUCT($J$76:Z$76,$J7:Z7)&lt;0.5, "Pending", IF(Z7&lt;0.5, "Complete", "In Progress"))</f>
        <v>Complete</v>
      </c>
      <c r="AB7" s="22">
        <v>0</v>
      </c>
      <c r="AC7" s="22">
        <f t="shared" si="30"/>
        <v>0</v>
      </c>
      <c r="AD7" s="23" t="str">
        <f>IF(SUMPRODUCT($J$76:AC$76,$J7:AC7)&lt;0.5, "Pending", IF(AC7&lt;0.5, "Complete", "In Progress"))</f>
        <v>Complete</v>
      </c>
      <c r="AE7" s="22">
        <v>0</v>
      </c>
      <c r="AF7" s="22">
        <f t="shared" si="31"/>
        <v>0</v>
      </c>
      <c r="AG7" s="23" t="str">
        <f>IF(SUMPRODUCT($J$76:AF$76,$J7:AF7)&lt;0.5, "Pending", IF(AF7&lt;0.5, "Complete", "In Progress"))</f>
        <v>Complete</v>
      </c>
      <c r="AH7" s="22">
        <v>0</v>
      </c>
      <c r="AI7" s="22">
        <f t="shared" si="32"/>
        <v>0</v>
      </c>
      <c r="AJ7" s="23" t="str">
        <f>IF(SUMPRODUCT($J$76:AI$76,$J7:AI7)&lt;0.5, "Pending", IF(AI7&lt;0.5, "Complete", "In Progress"))</f>
        <v>Complete</v>
      </c>
      <c r="AK7" s="22">
        <v>0</v>
      </c>
      <c r="AL7" s="22">
        <f t="shared" si="33"/>
        <v>0</v>
      </c>
      <c r="AM7" s="23" t="str">
        <f>IF(SUMPRODUCT($J$76:AL$76,$J7:AL7)&lt;0.5, "Pending", IF(AL7&lt;0.5, "Complete", "In Progress"))</f>
        <v>Complete</v>
      </c>
      <c r="AN7" s="22">
        <v>0</v>
      </c>
      <c r="AO7" s="22">
        <f t="shared" si="34"/>
        <v>0</v>
      </c>
      <c r="AP7" s="23" t="str">
        <f>IF(SUMPRODUCT($J$76:AO$76,$J7:AO7)&lt;0.5, "Pending", IF(AO7&lt;0.5, "Complete", "In Progress"))</f>
        <v>Complete</v>
      </c>
      <c r="AQ7" s="22">
        <v>0</v>
      </c>
      <c r="AR7" s="22">
        <f t="shared" si="35"/>
        <v>0</v>
      </c>
      <c r="AS7" s="23" t="str">
        <f>IF(SUMPRODUCT($J$76:AR$76,$J7:AR7)&lt;0.5, "Pending", IF(AR7&lt;0.5, "Complete", "In Progress"))</f>
        <v>Complete</v>
      </c>
      <c r="AT7" s="22">
        <v>0</v>
      </c>
      <c r="AU7" s="22">
        <f t="shared" si="36"/>
        <v>0</v>
      </c>
      <c r="AV7" s="23" t="str">
        <f>IF(SUMPRODUCT($J$76:AU$76,$J7:AU7)&lt;0.5, "Pending", IF(AU7&lt;0.5, "Complete", "In Progress"))</f>
        <v>Complete</v>
      </c>
      <c r="AW7" s="22">
        <v>0</v>
      </c>
      <c r="AX7" s="22">
        <f t="shared" si="37"/>
        <v>0</v>
      </c>
      <c r="AY7" s="23" t="str">
        <f>IF(SUMPRODUCT($J$76:AX$76,$J7:AX7)&lt;0.5, "Pending", IF(AX7&lt;0.5, "Complete", "In Progress"))</f>
        <v>Complete</v>
      </c>
      <c r="AZ7" s="22">
        <v>0</v>
      </c>
      <c r="BA7" s="22" t="e">
        <f>MAX(#REF!-AZ7,0)</f>
        <v>#REF!</v>
      </c>
      <c r="BB7" s="23" t="e">
        <f>IF(SUMPRODUCT($J$76:BA$76,$J7:BA7)&lt;0.5, "Pending", IF(BA7&lt;0.5, "Complete", "In Progress"))</f>
        <v>#REF!</v>
      </c>
      <c r="BC7" s="22">
        <v>0</v>
      </c>
      <c r="BD7" s="22" t="e">
        <f t="shared" si="38"/>
        <v>#REF!</v>
      </c>
      <c r="BE7" s="23" t="e">
        <f>IF(SUMPRODUCT($J$76:BD$76,$J7:BD7)&lt;0.5, "Pending", IF(BD7&lt;0.5, "Complete", "In Progress"))</f>
        <v>#REF!</v>
      </c>
      <c r="BF7" s="22">
        <v>0</v>
      </c>
      <c r="BG7" s="22" t="e">
        <f t="shared" si="39"/>
        <v>#REF!</v>
      </c>
      <c r="BH7" s="23" t="e">
        <f>IF(SUMPRODUCT($J$76:BG$76,$J7:BG7)&lt;0.5, "Pending", IF(BG7&lt;0.5, "Complete", "In Progress"))</f>
        <v>#REF!</v>
      </c>
      <c r="BI7" s="22">
        <v>0</v>
      </c>
      <c r="BJ7" s="22" t="e">
        <f t="shared" si="40"/>
        <v>#REF!</v>
      </c>
      <c r="BK7" s="23" t="e">
        <f>IF(SUMPRODUCT($J$76:BJ$76,$J7:BJ7)&lt;0.5, "Pending", IF(BJ7&lt;0.5, "Complete", "In Progress"))</f>
        <v>#REF!</v>
      </c>
      <c r="BL7" s="22">
        <v>0</v>
      </c>
      <c r="BM7" s="22" t="e">
        <f t="shared" si="41"/>
        <v>#REF!</v>
      </c>
      <c r="BN7" s="23" t="e">
        <f>IF(SUMPRODUCT($J$76:BM$76,$J7:BM7)&lt;0.5, "Pending", IF(BM7&lt;0.5, "Complete", "In Progress"))</f>
        <v>#REF!</v>
      </c>
      <c r="BO7" s="22">
        <v>0</v>
      </c>
      <c r="BP7" s="22" t="e">
        <f t="shared" si="42"/>
        <v>#REF!</v>
      </c>
      <c r="BQ7" s="23" t="e">
        <f>IF(SUMPRODUCT($J$76:BP$76,$J7:BP7)&lt;0.5, "Pending", IF(BP7&lt;0.5, "Complete", "In Progress"))</f>
        <v>#REF!</v>
      </c>
      <c r="BR7" s="22">
        <v>0</v>
      </c>
      <c r="BS7" s="22" t="e">
        <f t="shared" si="43"/>
        <v>#REF!</v>
      </c>
      <c r="BT7" s="23" t="e">
        <f>IF(SUMPRODUCT($J$76:BS$76,$J7:BS7)&lt;0.5, "Pending", IF(BS7&lt;0.5, "Complete", "In Progress"))</f>
        <v>#REF!</v>
      </c>
      <c r="BU7" s="22">
        <v>0</v>
      </c>
      <c r="BV7" s="22" t="e">
        <f t="shared" si="44"/>
        <v>#REF!</v>
      </c>
      <c r="BW7" s="23" t="e">
        <f>IF(SUMPRODUCT($J$76:BV$76,$J7:BV7)&lt;0.5, "Pending", IF(BV7&lt;0.5, "Complete", "In Progress"))</f>
        <v>#REF!</v>
      </c>
      <c r="BX7" s="22">
        <v>0</v>
      </c>
      <c r="BY7" s="22" t="e">
        <f t="shared" si="45"/>
        <v>#REF!</v>
      </c>
      <c r="BZ7" s="23" t="e">
        <f>IF(SUMPRODUCT($J$76:BY$76,$J7:BY7)&lt;0.5, "Pending", IF(BY7&lt;0.5, "Complete", "In Progress"))</f>
        <v>#REF!</v>
      </c>
      <c r="CA7" s="22">
        <v>0</v>
      </c>
      <c r="CB7" s="22" t="e">
        <f t="shared" si="46"/>
        <v>#REF!</v>
      </c>
      <c r="CC7" s="23" t="e">
        <f>IF(SUMPRODUCT($J$76:CB$76,$J7:CB7)&lt;0.5, "Pending", IF(CB7&lt;0.5, "Complete", "In Progress"))</f>
        <v>#REF!</v>
      </c>
      <c r="CD7" s="24"/>
      <c r="CE7" s="25">
        <f>SUMPRODUCT($H$76:AY$76,$H7:AY7)</f>
        <v>2</v>
      </c>
    </row>
    <row r="8" spans="1:83">
      <c r="A8" s="16"/>
      <c r="B8" s="16" t="s">
        <v>124</v>
      </c>
      <c r="C8" s="16" t="s">
        <v>149</v>
      </c>
      <c r="D8" s="17" t="s">
        <v>148</v>
      </c>
      <c r="E8" s="178" t="s">
        <v>144</v>
      </c>
      <c r="F8" s="18" t="s">
        <v>161</v>
      </c>
      <c r="G8" s="19" t="str">
        <f t="shared" ca="1" si="0"/>
        <v>Complete</v>
      </c>
      <c r="H8" s="20">
        <v>1</v>
      </c>
      <c r="I8" s="21">
        <v>13</v>
      </c>
      <c r="J8" s="22">
        <v>13</v>
      </c>
      <c r="K8" s="22">
        <f t="shared" si="24"/>
        <v>0</v>
      </c>
      <c r="L8" s="23" t="str">
        <f>IF(SUMPRODUCT($J$76:K$76,$J8:K8)&lt;0.5, "Pending", IF(K8&lt;0.5, "Complete", "In Progress"))</f>
        <v>Complete</v>
      </c>
      <c r="M8" s="22">
        <v>0</v>
      </c>
      <c r="N8" s="22">
        <f t="shared" si="25"/>
        <v>0</v>
      </c>
      <c r="O8" s="23" t="str">
        <f>IF(SUMPRODUCT($J$76:N$76,$J8:N8)&lt;0.5, "Pending", IF(N8&lt;0.5, "Complete", "In Progress"))</f>
        <v>Complete</v>
      </c>
      <c r="P8" s="22">
        <v>0</v>
      </c>
      <c r="Q8" s="22">
        <f t="shared" si="26"/>
        <v>0</v>
      </c>
      <c r="R8" s="23" t="str">
        <f>IF(SUMPRODUCT($J$76:Q$76,$J8:Q8)&lt;0.5, "Pending", IF(Q8&lt;0.5, "Complete", "In Progress"))</f>
        <v>Complete</v>
      </c>
      <c r="S8" s="22">
        <v>0</v>
      </c>
      <c r="T8" s="22">
        <f t="shared" si="27"/>
        <v>0</v>
      </c>
      <c r="U8" s="23" t="str">
        <f>IF(SUMPRODUCT($J$76:T$76,$J8:T8)&lt;0.5, "Pending", IF(T8&lt;0.5, "Complete", "In Progress"))</f>
        <v>Complete</v>
      </c>
      <c r="V8" s="22">
        <v>0</v>
      </c>
      <c r="W8" s="22">
        <f t="shared" si="28"/>
        <v>0</v>
      </c>
      <c r="X8" s="23" t="str">
        <f>IF(SUMPRODUCT($J$76:W$76,$J8:W8)&lt;0.5, "Pending", IF(W8&lt;0.5, "Complete", "In Progress"))</f>
        <v>Complete</v>
      </c>
      <c r="Y8" s="22">
        <v>0</v>
      </c>
      <c r="Z8" s="22">
        <f t="shared" si="29"/>
        <v>0</v>
      </c>
      <c r="AA8" s="23" t="str">
        <f>IF(SUMPRODUCT($J$76:Z$76,$J8:Z8)&lt;0.5, "Pending", IF(Z8&lt;0.5, "Complete", "In Progress"))</f>
        <v>Complete</v>
      </c>
      <c r="AB8" s="22">
        <v>0</v>
      </c>
      <c r="AC8" s="22">
        <f t="shared" si="30"/>
        <v>0</v>
      </c>
      <c r="AD8" s="23" t="str">
        <f>IF(SUMPRODUCT($J$76:AC$76,$J8:AC8)&lt;0.5, "Pending", IF(AC8&lt;0.5, "Complete", "In Progress"))</f>
        <v>Complete</v>
      </c>
      <c r="AE8" s="22">
        <v>0</v>
      </c>
      <c r="AF8" s="22">
        <f t="shared" si="31"/>
        <v>0</v>
      </c>
      <c r="AG8" s="23" t="str">
        <f>IF(SUMPRODUCT($J$76:AF$76,$J8:AF8)&lt;0.5, "Pending", IF(AF8&lt;0.5, "Complete", "In Progress"))</f>
        <v>Complete</v>
      </c>
      <c r="AH8" s="22">
        <v>0</v>
      </c>
      <c r="AI8" s="22">
        <f t="shared" si="32"/>
        <v>0</v>
      </c>
      <c r="AJ8" s="23" t="str">
        <f>IF(SUMPRODUCT($J$76:AI$76,$J8:AI8)&lt;0.5, "Pending", IF(AI8&lt;0.5, "Complete", "In Progress"))</f>
        <v>Complete</v>
      </c>
      <c r="AK8" s="22">
        <v>0</v>
      </c>
      <c r="AL8" s="22">
        <f t="shared" si="33"/>
        <v>0</v>
      </c>
      <c r="AM8" s="23" t="str">
        <f>IF(SUMPRODUCT($J$76:AL$76,$J8:AL8)&lt;0.5, "Pending", IF(AL8&lt;0.5, "Complete", "In Progress"))</f>
        <v>Complete</v>
      </c>
      <c r="AN8" s="22">
        <v>0</v>
      </c>
      <c r="AO8" s="22">
        <f t="shared" si="34"/>
        <v>0</v>
      </c>
      <c r="AP8" s="23" t="str">
        <f>IF(SUMPRODUCT($J$76:AO$76,$J8:AO8)&lt;0.5, "Pending", IF(AO8&lt;0.5, "Complete", "In Progress"))</f>
        <v>Complete</v>
      </c>
      <c r="AQ8" s="22">
        <v>0</v>
      </c>
      <c r="AR8" s="22">
        <f t="shared" si="35"/>
        <v>0</v>
      </c>
      <c r="AS8" s="23" t="str">
        <f>IF(SUMPRODUCT($J$76:AR$76,$J8:AR8)&lt;0.5, "Pending", IF(AR8&lt;0.5, "Complete", "In Progress"))</f>
        <v>Complete</v>
      </c>
      <c r="AT8" s="22">
        <v>0</v>
      </c>
      <c r="AU8" s="22">
        <f t="shared" si="36"/>
        <v>0</v>
      </c>
      <c r="AV8" s="23" t="str">
        <f>IF(SUMPRODUCT($J$76:AU$76,$J8:AU8)&lt;0.5, "Pending", IF(AU8&lt;0.5, "Complete", "In Progress"))</f>
        <v>Complete</v>
      </c>
      <c r="AW8" s="22">
        <v>0</v>
      </c>
      <c r="AX8" s="22">
        <f t="shared" si="37"/>
        <v>0</v>
      </c>
      <c r="AY8" s="23" t="str">
        <f>IF(SUMPRODUCT($J$76:AX$76,$J8:AX8)&lt;0.5, "Pending", IF(AX8&lt;0.5, "Complete", "In Progress"))</f>
        <v>Complete</v>
      </c>
      <c r="AZ8" s="22">
        <v>0</v>
      </c>
      <c r="BA8" s="22" t="e">
        <f>MAX(#REF!-AZ8,0)</f>
        <v>#REF!</v>
      </c>
      <c r="BB8" s="23" t="e">
        <f>IF(SUMPRODUCT($J$76:BA$76,$J8:BA8)&lt;0.5, "Pending", IF(BA8&lt;0.5, "Complete", "In Progress"))</f>
        <v>#REF!</v>
      </c>
      <c r="BC8" s="22">
        <v>0</v>
      </c>
      <c r="BD8" s="22" t="e">
        <f t="shared" si="38"/>
        <v>#REF!</v>
      </c>
      <c r="BE8" s="23" t="e">
        <f>IF(SUMPRODUCT($J$76:BD$76,$J8:BD8)&lt;0.5, "Pending", IF(BD8&lt;0.5, "Complete", "In Progress"))</f>
        <v>#REF!</v>
      </c>
      <c r="BF8" s="22">
        <v>0</v>
      </c>
      <c r="BG8" s="22" t="e">
        <f t="shared" si="39"/>
        <v>#REF!</v>
      </c>
      <c r="BH8" s="23" t="e">
        <f>IF(SUMPRODUCT($J$76:BG$76,$J8:BG8)&lt;0.5, "Pending", IF(BG8&lt;0.5, "Complete", "In Progress"))</f>
        <v>#REF!</v>
      </c>
      <c r="BI8" s="22">
        <v>0</v>
      </c>
      <c r="BJ8" s="22" t="e">
        <f t="shared" si="40"/>
        <v>#REF!</v>
      </c>
      <c r="BK8" s="23" t="e">
        <f>IF(SUMPRODUCT($J$76:BJ$76,$J8:BJ8)&lt;0.5, "Pending", IF(BJ8&lt;0.5, "Complete", "In Progress"))</f>
        <v>#REF!</v>
      </c>
      <c r="BL8" s="22">
        <v>0</v>
      </c>
      <c r="BM8" s="22" t="e">
        <f t="shared" si="41"/>
        <v>#REF!</v>
      </c>
      <c r="BN8" s="23" t="e">
        <f>IF(SUMPRODUCT($J$76:BM$76,$J8:BM8)&lt;0.5, "Pending", IF(BM8&lt;0.5, "Complete", "In Progress"))</f>
        <v>#REF!</v>
      </c>
      <c r="BO8" s="22">
        <v>0</v>
      </c>
      <c r="BP8" s="22" t="e">
        <f t="shared" si="42"/>
        <v>#REF!</v>
      </c>
      <c r="BQ8" s="23" t="e">
        <f>IF(SUMPRODUCT($J$76:BP$76,$J8:BP8)&lt;0.5, "Pending", IF(BP8&lt;0.5, "Complete", "In Progress"))</f>
        <v>#REF!</v>
      </c>
      <c r="BR8" s="22">
        <v>0</v>
      </c>
      <c r="BS8" s="22" t="e">
        <f t="shared" si="43"/>
        <v>#REF!</v>
      </c>
      <c r="BT8" s="23" t="e">
        <f>IF(SUMPRODUCT($J$76:BS$76,$J8:BS8)&lt;0.5, "Pending", IF(BS8&lt;0.5, "Complete", "In Progress"))</f>
        <v>#REF!</v>
      </c>
      <c r="BU8" s="22">
        <v>0</v>
      </c>
      <c r="BV8" s="22" t="e">
        <f t="shared" si="44"/>
        <v>#REF!</v>
      </c>
      <c r="BW8" s="23" t="e">
        <f>IF(SUMPRODUCT($J$76:BV$76,$J8:BV8)&lt;0.5, "Pending", IF(BV8&lt;0.5, "Complete", "In Progress"))</f>
        <v>#REF!</v>
      </c>
      <c r="BX8" s="22">
        <v>0</v>
      </c>
      <c r="BY8" s="22" t="e">
        <f t="shared" si="45"/>
        <v>#REF!</v>
      </c>
      <c r="BZ8" s="23" t="e">
        <f>IF(SUMPRODUCT($J$76:BY$76,$J8:BY8)&lt;0.5, "Pending", IF(BY8&lt;0.5, "Complete", "In Progress"))</f>
        <v>#REF!</v>
      </c>
      <c r="CA8" s="22">
        <v>0</v>
      </c>
      <c r="CB8" s="22" t="e">
        <f t="shared" si="46"/>
        <v>#REF!</v>
      </c>
      <c r="CC8" s="23" t="e">
        <f>IF(SUMPRODUCT($J$76:CB$76,$J8:CB8)&lt;0.5, "Pending", IF(CB8&lt;0.5, "Complete", "In Progress"))</f>
        <v>#REF!</v>
      </c>
      <c r="CD8" s="24"/>
      <c r="CE8" s="25">
        <f>SUMPRODUCT($H$76:AY$76,$H8:AY8)</f>
        <v>13</v>
      </c>
    </row>
    <row r="9" spans="1:83">
      <c r="A9" s="16"/>
      <c r="B9" s="16" t="s">
        <v>125</v>
      </c>
      <c r="C9" s="16" t="s">
        <v>149</v>
      </c>
      <c r="D9" s="17" t="s">
        <v>152</v>
      </c>
      <c r="E9" s="178" t="s">
        <v>150</v>
      </c>
      <c r="F9" s="18" t="s">
        <v>121</v>
      </c>
      <c r="G9" s="19" t="str">
        <f t="shared" ca="1" si="0"/>
        <v>Complete</v>
      </c>
      <c r="H9" s="20">
        <v>1</v>
      </c>
      <c r="I9" s="21">
        <v>1</v>
      </c>
      <c r="J9" s="22">
        <v>1</v>
      </c>
      <c r="K9" s="22">
        <f t="shared" si="24"/>
        <v>0</v>
      </c>
      <c r="L9" s="23" t="str">
        <f>IF(SUMPRODUCT($J$76:K$76,$J9:K9)&lt;0.5, "Pending", IF(K9&lt;0.5, "Complete", "In Progress"))</f>
        <v>Complete</v>
      </c>
      <c r="M9" s="22">
        <v>0</v>
      </c>
      <c r="N9" s="22">
        <f t="shared" si="25"/>
        <v>0</v>
      </c>
      <c r="O9" s="23" t="str">
        <f>IF(SUMPRODUCT($J$76:N$76,$J9:N9)&lt;0.5, "Pending", IF(N9&lt;0.5, "Complete", "In Progress"))</f>
        <v>Complete</v>
      </c>
      <c r="P9" s="22">
        <v>0</v>
      </c>
      <c r="Q9" s="22">
        <f t="shared" si="26"/>
        <v>0</v>
      </c>
      <c r="R9" s="23" t="str">
        <f>IF(SUMPRODUCT($J$76:Q$76,$J9:Q9)&lt;0.5, "Pending", IF(Q9&lt;0.5, "Complete", "In Progress"))</f>
        <v>Complete</v>
      </c>
      <c r="S9" s="22">
        <v>0</v>
      </c>
      <c r="T9" s="22">
        <f t="shared" si="27"/>
        <v>0</v>
      </c>
      <c r="U9" s="23" t="str">
        <f>IF(SUMPRODUCT($J$76:T$76,$J9:T9)&lt;0.5, "Pending", IF(T9&lt;0.5, "Complete", "In Progress"))</f>
        <v>Complete</v>
      </c>
      <c r="V9" s="22">
        <v>0</v>
      </c>
      <c r="W9" s="22">
        <f t="shared" si="28"/>
        <v>0</v>
      </c>
      <c r="X9" s="23" t="str">
        <f>IF(SUMPRODUCT($J$76:W$76,$J9:W9)&lt;0.5, "Pending", IF(W9&lt;0.5, "Complete", "In Progress"))</f>
        <v>Complete</v>
      </c>
      <c r="Y9" s="22">
        <v>0</v>
      </c>
      <c r="Z9" s="22">
        <f t="shared" si="29"/>
        <v>0</v>
      </c>
      <c r="AA9" s="23" t="str">
        <f>IF(SUMPRODUCT($J$76:Z$76,$J9:Z9)&lt;0.5, "Pending", IF(Z9&lt;0.5, "Complete", "In Progress"))</f>
        <v>Complete</v>
      </c>
      <c r="AB9" s="22">
        <v>0</v>
      </c>
      <c r="AC9" s="22">
        <f t="shared" si="30"/>
        <v>0</v>
      </c>
      <c r="AD9" s="23" t="str">
        <f>IF(SUMPRODUCT($J$76:AC$76,$J9:AC9)&lt;0.5, "Pending", IF(AC9&lt;0.5, "Complete", "In Progress"))</f>
        <v>Complete</v>
      </c>
      <c r="AE9" s="22">
        <v>0</v>
      </c>
      <c r="AF9" s="22">
        <f t="shared" si="31"/>
        <v>0</v>
      </c>
      <c r="AG9" s="23" t="str">
        <f>IF(SUMPRODUCT($J$76:AF$76,$J9:AF9)&lt;0.5, "Pending", IF(AF9&lt;0.5, "Complete", "In Progress"))</f>
        <v>Complete</v>
      </c>
      <c r="AH9" s="22">
        <v>0</v>
      </c>
      <c r="AI9" s="22">
        <f t="shared" si="32"/>
        <v>0</v>
      </c>
      <c r="AJ9" s="23" t="str">
        <f>IF(SUMPRODUCT($J$76:AI$76,$J9:AI9)&lt;0.5, "Pending", IF(AI9&lt;0.5, "Complete", "In Progress"))</f>
        <v>Complete</v>
      </c>
      <c r="AK9" s="22">
        <v>0</v>
      </c>
      <c r="AL9" s="22">
        <f t="shared" si="33"/>
        <v>0</v>
      </c>
      <c r="AM9" s="23" t="str">
        <f>IF(SUMPRODUCT($J$76:AL$76,$J9:AL9)&lt;0.5, "Pending", IF(AL9&lt;0.5, "Complete", "In Progress"))</f>
        <v>Complete</v>
      </c>
      <c r="AN9" s="22">
        <v>0</v>
      </c>
      <c r="AO9" s="22">
        <f t="shared" si="34"/>
        <v>0</v>
      </c>
      <c r="AP9" s="23" t="str">
        <f>IF(SUMPRODUCT($J$76:AO$76,$J9:AO9)&lt;0.5, "Pending", IF(AO9&lt;0.5, "Complete", "In Progress"))</f>
        <v>Complete</v>
      </c>
      <c r="AQ9" s="22">
        <v>0</v>
      </c>
      <c r="AR9" s="22">
        <f t="shared" si="35"/>
        <v>0</v>
      </c>
      <c r="AS9" s="23" t="str">
        <f>IF(SUMPRODUCT($J$76:AR$76,$J9:AR9)&lt;0.5, "Pending", IF(AR9&lt;0.5, "Complete", "In Progress"))</f>
        <v>Complete</v>
      </c>
      <c r="AT9" s="22">
        <v>0</v>
      </c>
      <c r="AU9" s="22">
        <f t="shared" si="36"/>
        <v>0</v>
      </c>
      <c r="AV9" s="23" t="str">
        <f>IF(SUMPRODUCT($J$76:AU$76,$J9:AU9)&lt;0.5, "Pending", IF(AU9&lt;0.5, "Complete", "In Progress"))</f>
        <v>Complete</v>
      </c>
      <c r="AW9" s="22">
        <v>0</v>
      </c>
      <c r="AX9" s="22">
        <f t="shared" si="37"/>
        <v>0</v>
      </c>
      <c r="AY9" s="23" t="str">
        <f>IF(SUMPRODUCT($J$76:AX$76,$J9:AX9)&lt;0.5, "Pending", IF(AX9&lt;0.5, "Complete", "In Progress"))</f>
        <v>Complete</v>
      </c>
      <c r="AZ9" s="22">
        <v>0</v>
      </c>
      <c r="BA9" s="22" t="e">
        <f>MAX(#REF!-AZ9,0)</f>
        <v>#REF!</v>
      </c>
      <c r="BB9" s="23" t="e">
        <f>IF(SUMPRODUCT($J$76:BA$76,$J9:BA9)&lt;0.5, "Pending", IF(BA9&lt;0.5, "Complete", "In Progress"))</f>
        <v>#REF!</v>
      </c>
      <c r="BC9" s="22">
        <v>0</v>
      </c>
      <c r="BD9" s="22" t="e">
        <f t="shared" si="38"/>
        <v>#REF!</v>
      </c>
      <c r="BE9" s="23" t="e">
        <f>IF(SUMPRODUCT($J$76:BD$76,$J9:BD9)&lt;0.5, "Pending", IF(BD9&lt;0.5, "Complete", "In Progress"))</f>
        <v>#REF!</v>
      </c>
      <c r="BF9" s="22">
        <v>0</v>
      </c>
      <c r="BG9" s="22" t="e">
        <f t="shared" si="39"/>
        <v>#REF!</v>
      </c>
      <c r="BH9" s="23" t="e">
        <f>IF(SUMPRODUCT($J$76:BG$76,$J9:BG9)&lt;0.5, "Pending", IF(BG9&lt;0.5, "Complete", "In Progress"))</f>
        <v>#REF!</v>
      </c>
      <c r="BI9" s="22">
        <v>0</v>
      </c>
      <c r="BJ9" s="22" t="e">
        <f t="shared" si="40"/>
        <v>#REF!</v>
      </c>
      <c r="BK9" s="23" t="e">
        <f>IF(SUMPRODUCT($J$76:BJ$76,$J9:BJ9)&lt;0.5, "Pending", IF(BJ9&lt;0.5, "Complete", "In Progress"))</f>
        <v>#REF!</v>
      </c>
      <c r="BL9" s="22">
        <v>0</v>
      </c>
      <c r="BM9" s="22" t="e">
        <f t="shared" si="41"/>
        <v>#REF!</v>
      </c>
      <c r="BN9" s="23" t="e">
        <f>IF(SUMPRODUCT($J$76:BM$76,$J9:BM9)&lt;0.5, "Pending", IF(BM9&lt;0.5, "Complete", "In Progress"))</f>
        <v>#REF!</v>
      </c>
      <c r="BO9" s="22">
        <v>0</v>
      </c>
      <c r="BP9" s="22" t="e">
        <f t="shared" si="42"/>
        <v>#REF!</v>
      </c>
      <c r="BQ9" s="23" t="e">
        <f>IF(SUMPRODUCT($J$76:BP$76,$J9:BP9)&lt;0.5, "Pending", IF(BP9&lt;0.5, "Complete", "In Progress"))</f>
        <v>#REF!</v>
      </c>
      <c r="BR9" s="22">
        <v>0</v>
      </c>
      <c r="BS9" s="22" t="e">
        <f t="shared" si="43"/>
        <v>#REF!</v>
      </c>
      <c r="BT9" s="23" t="e">
        <f>IF(SUMPRODUCT($J$76:BS$76,$J9:BS9)&lt;0.5, "Pending", IF(BS9&lt;0.5, "Complete", "In Progress"))</f>
        <v>#REF!</v>
      </c>
      <c r="BU9" s="22">
        <v>0</v>
      </c>
      <c r="BV9" s="22" t="e">
        <f t="shared" si="44"/>
        <v>#REF!</v>
      </c>
      <c r="BW9" s="23" t="e">
        <f>IF(SUMPRODUCT($J$76:BV$76,$J9:BV9)&lt;0.5, "Pending", IF(BV9&lt;0.5, "Complete", "In Progress"))</f>
        <v>#REF!</v>
      </c>
      <c r="BX9" s="22">
        <v>0</v>
      </c>
      <c r="BY9" s="22" t="e">
        <f t="shared" si="45"/>
        <v>#REF!</v>
      </c>
      <c r="BZ9" s="23" t="e">
        <f>IF(SUMPRODUCT($J$76:BY$76,$J9:BY9)&lt;0.5, "Pending", IF(BY9&lt;0.5, "Complete", "In Progress"))</f>
        <v>#REF!</v>
      </c>
      <c r="CA9" s="22">
        <v>0</v>
      </c>
      <c r="CB9" s="22" t="e">
        <f t="shared" si="46"/>
        <v>#REF!</v>
      </c>
      <c r="CC9" s="23" t="e">
        <f>IF(SUMPRODUCT($J$76:CB$76,$J9:CB9)&lt;0.5, "Pending", IF(CB9&lt;0.5, "Complete", "In Progress"))</f>
        <v>#REF!</v>
      </c>
      <c r="CD9" s="24"/>
      <c r="CE9" s="25">
        <f>SUMPRODUCT($H$76:AY$76,$H9:AY9)</f>
        <v>1</v>
      </c>
    </row>
    <row r="10" spans="1:83">
      <c r="A10" s="16"/>
      <c r="B10" s="16" t="s">
        <v>125</v>
      </c>
      <c r="C10" s="16" t="s">
        <v>149</v>
      </c>
      <c r="D10" s="17" t="s">
        <v>153</v>
      </c>
      <c r="E10" s="178" t="s">
        <v>151</v>
      </c>
      <c r="F10" s="18" t="s">
        <v>121</v>
      </c>
      <c r="G10" s="19" t="str">
        <f t="shared" ca="1" si="0"/>
        <v>Complete</v>
      </c>
      <c r="H10" s="20">
        <v>1</v>
      </c>
      <c r="I10" s="21">
        <v>3</v>
      </c>
      <c r="J10" s="22">
        <v>3</v>
      </c>
      <c r="K10" s="22">
        <f t="shared" si="24"/>
        <v>0</v>
      </c>
      <c r="L10" s="23" t="str">
        <f>IF(SUMPRODUCT($J$76:K$76,$J10:K10)&lt;0.5, "Pending", IF(K10&lt;0.5, "Complete", "In Progress"))</f>
        <v>Complete</v>
      </c>
      <c r="M10" s="22">
        <v>0</v>
      </c>
      <c r="N10" s="22">
        <f t="shared" si="25"/>
        <v>0</v>
      </c>
      <c r="O10" s="23" t="str">
        <f>IF(SUMPRODUCT($J$76:N$76,$J10:N10)&lt;0.5, "Pending", IF(N10&lt;0.5, "Complete", "In Progress"))</f>
        <v>Complete</v>
      </c>
      <c r="P10" s="22">
        <v>0</v>
      </c>
      <c r="Q10" s="22">
        <f t="shared" si="26"/>
        <v>0</v>
      </c>
      <c r="R10" s="23" t="str">
        <f>IF(SUMPRODUCT($J$76:Q$76,$J10:Q10)&lt;0.5, "Pending", IF(Q10&lt;0.5, "Complete", "In Progress"))</f>
        <v>Complete</v>
      </c>
      <c r="S10" s="22">
        <v>0</v>
      </c>
      <c r="T10" s="22">
        <f t="shared" si="27"/>
        <v>0</v>
      </c>
      <c r="U10" s="23" t="str">
        <f>IF(SUMPRODUCT($J$76:T$76,$J10:T10)&lt;0.5, "Pending", IF(T10&lt;0.5, "Complete", "In Progress"))</f>
        <v>Complete</v>
      </c>
      <c r="V10" s="22">
        <v>0</v>
      </c>
      <c r="W10" s="22">
        <f t="shared" si="28"/>
        <v>0</v>
      </c>
      <c r="X10" s="23" t="str">
        <f>IF(SUMPRODUCT($J$76:W$76,$J10:W10)&lt;0.5, "Pending", IF(W10&lt;0.5, "Complete", "In Progress"))</f>
        <v>Complete</v>
      </c>
      <c r="Y10" s="22">
        <v>0</v>
      </c>
      <c r="Z10" s="22">
        <f t="shared" si="29"/>
        <v>0</v>
      </c>
      <c r="AA10" s="23" t="str">
        <f>IF(SUMPRODUCT($J$76:Z$76,$J10:Z10)&lt;0.5, "Pending", IF(Z10&lt;0.5, "Complete", "In Progress"))</f>
        <v>Complete</v>
      </c>
      <c r="AB10" s="22">
        <v>0</v>
      </c>
      <c r="AC10" s="22">
        <f t="shared" si="30"/>
        <v>0</v>
      </c>
      <c r="AD10" s="23" t="str">
        <f>IF(SUMPRODUCT($J$76:AC$76,$J10:AC10)&lt;0.5, "Pending", IF(AC10&lt;0.5, "Complete", "In Progress"))</f>
        <v>Complete</v>
      </c>
      <c r="AE10" s="22">
        <v>0</v>
      </c>
      <c r="AF10" s="22">
        <f t="shared" si="31"/>
        <v>0</v>
      </c>
      <c r="AG10" s="23" t="str">
        <f>IF(SUMPRODUCT($J$76:AF$76,$J10:AF10)&lt;0.5, "Pending", IF(AF10&lt;0.5, "Complete", "In Progress"))</f>
        <v>Complete</v>
      </c>
      <c r="AH10" s="22">
        <v>0</v>
      </c>
      <c r="AI10" s="22">
        <f t="shared" si="32"/>
        <v>0</v>
      </c>
      <c r="AJ10" s="23" t="str">
        <f>IF(SUMPRODUCT($J$76:AI$76,$J10:AI10)&lt;0.5, "Pending", IF(AI10&lt;0.5, "Complete", "In Progress"))</f>
        <v>Complete</v>
      </c>
      <c r="AK10" s="22">
        <v>0</v>
      </c>
      <c r="AL10" s="22">
        <f t="shared" si="33"/>
        <v>0</v>
      </c>
      <c r="AM10" s="23" t="str">
        <f>IF(SUMPRODUCT($J$76:AL$76,$J10:AL10)&lt;0.5, "Pending", IF(AL10&lt;0.5, "Complete", "In Progress"))</f>
        <v>Complete</v>
      </c>
      <c r="AN10" s="22">
        <v>0</v>
      </c>
      <c r="AO10" s="22">
        <f t="shared" si="34"/>
        <v>0</v>
      </c>
      <c r="AP10" s="23" t="str">
        <f>IF(SUMPRODUCT($J$76:AO$76,$J10:AO10)&lt;0.5, "Pending", IF(AO10&lt;0.5, "Complete", "In Progress"))</f>
        <v>Complete</v>
      </c>
      <c r="AQ10" s="22">
        <v>0</v>
      </c>
      <c r="AR10" s="22">
        <f t="shared" si="35"/>
        <v>0</v>
      </c>
      <c r="AS10" s="23" t="str">
        <f>IF(SUMPRODUCT($J$76:AR$76,$J10:AR10)&lt;0.5, "Pending", IF(AR10&lt;0.5, "Complete", "In Progress"))</f>
        <v>Complete</v>
      </c>
      <c r="AT10" s="22">
        <v>0</v>
      </c>
      <c r="AU10" s="22">
        <f t="shared" si="36"/>
        <v>0</v>
      </c>
      <c r="AV10" s="23" t="str">
        <f>IF(SUMPRODUCT($J$76:AU$76,$J10:AU10)&lt;0.5, "Pending", IF(AU10&lt;0.5, "Complete", "In Progress"))</f>
        <v>Complete</v>
      </c>
      <c r="AW10" s="22">
        <v>0</v>
      </c>
      <c r="AX10" s="22">
        <f t="shared" si="37"/>
        <v>0</v>
      </c>
      <c r="AY10" s="23" t="str">
        <f>IF(SUMPRODUCT($J$76:AX$76,$J10:AX10)&lt;0.5, "Pending", IF(AX10&lt;0.5, "Complete", "In Progress"))</f>
        <v>Complete</v>
      </c>
      <c r="AZ10" s="22">
        <v>0</v>
      </c>
      <c r="BA10" s="22" t="e">
        <f>MAX(#REF!-AZ10,0)</f>
        <v>#REF!</v>
      </c>
      <c r="BB10" s="23" t="e">
        <f>IF(SUMPRODUCT($J$76:BA$76,$J10:BA10)&lt;0.5, "Pending", IF(BA10&lt;0.5, "Complete", "In Progress"))</f>
        <v>#REF!</v>
      </c>
      <c r="BC10" s="22">
        <v>0</v>
      </c>
      <c r="BD10" s="22" t="e">
        <f t="shared" si="38"/>
        <v>#REF!</v>
      </c>
      <c r="BE10" s="23" t="e">
        <f>IF(SUMPRODUCT($J$76:BD$76,$J10:BD10)&lt;0.5, "Pending", IF(BD10&lt;0.5, "Complete", "In Progress"))</f>
        <v>#REF!</v>
      </c>
      <c r="BF10" s="22">
        <v>0</v>
      </c>
      <c r="BG10" s="22" t="e">
        <f t="shared" si="39"/>
        <v>#REF!</v>
      </c>
      <c r="BH10" s="23" t="e">
        <f>IF(SUMPRODUCT($J$76:BG$76,$J10:BG10)&lt;0.5, "Pending", IF(BG10&lt;0.5, "Complete", "In Progress"))</f>
        <v>#REF!</v>
      </c>
      <c r="BI10" s="22">
        <v>0</v>
      </c>
      <c r="BJ10" s="22" t="e">
        <f t="shared" si="40"/>
        <v>#REF!</v>
      </c>
      <c r="BK10" s="23" t="e">
        <f>IF(SUMPRODUCT($J$76:BJ$76,$J10:BJ10)&lt;0.5, "Pending", IF(BJ10&lt;0.5, "Complete", "In Progress"))</f>
        <v>#REF!</v>
      </c>
      <c r="BL10" s="22">
        <v>0</v>
      </c>
      <c r="BM10" s="22" t="e">
        <f t="shared" si="41"/>
        <v>#REF!</v>
      </c>
      <c r="BN10" s="23" t="e">
        <f>IF(SUMPRODUCT($J$76:BM$76,$J10:BM10)&lt;0.5, "Pending", IF(BM10&lt;0.5, "Complete", "In Progress"))</f>
        <v>#REF!</v>
      </c>
      <c r="BO10" s="22">
        <v>0</v>
      </c>
      <c r="BP10" s="22" t="e">
        <f t="shared" si="42"/>
        <v>#REF!</v>
      </c>
      <c r="BQ10" s="23" t="e">
        <f>IF(SUMPRODUCT($J$76:BP$76,$J10:BP10)&lt;0.5, "Pending", IF(BP10&lt;0.5, "Complete", "In Progress"))</f>
        <v>#REF!</v>
      </c>
      <c r="BR10" s="22">
        <v>0</v>
      </c>
      <c r="BS10" s="22" t="e">
        <f t="shared" si="43"/>
        <v>#REF!</v>
      </c>
      <c r="BT10" s="23" t="e">
        <f>IF(SUMPRODUCT($J$76:BS$76,$J10:BS10)&lt;0.5, "Pending", IF(BS10&lt;0.5, "Complete", "In Progress"))</f>
        <v>#REF!</v>
      </c>
      <c r="BU10" s="22">
        <v>0</v>
      </c>
      <c r="BV10" s="22" t="e">
        <f t="shared" si="44"/>
        <v>#REF!</v>
      </c>
      <c r="BW10" s="23" t="e">
        <f>IF(SUMPRODUCT($J$76:BV$76,$J10:BV10)&lt;0.5, "Pending", IF(BV10&lt;0.5, "Complete", "In Progress"))</f>
        <v>#REF!</v>
      </c>
      <c r="BX10" s="22">
        <v>0</v>
      </c>
      <c r="BY10" s="22" t="e">
        <f t="shared" si="45"/>
        <v>#REF!</v>
      </c>
      <c r="BZ10" s="23" t="e">
        <f>IF(SUMPRODUCT($J$76:BY$76,$J10:BY10)&lt;0.5, "Pending", IF(BY10&lt;0.5, "Complete", "In Progress"))</f>
        <v>#REF!</v>
      </c>
      <c r="CA10" s="22">
        <v>0</v>
      </c>
      <c r="CB10" s="22" t="e">
        <f t="shared" si="46"/>
        <v>#REF!</v>
      </c>
      <c r="CC10" s="23" t="e">
        <f>IF(SUMPRODUCT($J$76:CB$76,$J10:CB10)&lt;0.5, "Pending", IF(CB10&lt;0.5, "Complete", "In Progress"))</f>
        <v>#REF!</v>
      </c>
      <c r="CD10" s="24"/>
      <c r="CE10" s="25">
        <f>SUMPRODUCT($H$76:AY$76,$H10:AY10)</f>
        <v>3</v>
      </c>
    </row>
    <row r="11" spans="1:83">
      <c r="A11" s="16"/>
      <c r="B11" s="16" t="s">
        <v>125</v>
      </c>
      <c r="C11" s="16" t="s">
        <v>149</v>
      </c>
      <c r="D11" s="17" t="s">
        <v>154</v>
      </c>
      <c r="E11" s="178" t="s">
        <v>618</v>
      </c>
      <c r="F11" s="18" t="s">
        <v>121</v>
      </c>
      <c r="G11" s="19" t="str">
        <f t="shared" ca="1" si="0"/>
        <v>Complete</v>
      </c>
      <c r="H11" s="20">
        <v>1</v>
      </c>
      <c r="I11" s="21">
        <v>1</v>
      </c>
      <c r="J11" s="22">
        <v>1</v>
      </c>
      <c r="K11" s="22">
        <f t="shared" si="24"/>
        <v>0</v>
      </c>
      <c r="L11" s="23" t="str">
        <f>IF(SUMPRODUCT($J$76:K$76,$J11:K11)&lt;0.5, "Pending", IF(K11&lt;0.5, "Complete", "In Progress"))</f>
        <v>Complete</v>
      </c>
      <c r="M11" s="22">
        <v>0</v>
      </c>
      <c r="N11" s="22">
        <f t="shared" si="25"/>
        <v>0</v>
      </c>
      <c r="O11" s="23" t="str">
        <f>IF(SUMPRODUCT($J$76:N$76,$J11:N11)&lt;0.5, "Pending", IF(N11&lt;0.5, "Complete", "In Progress"))</f>
        <v>Complete</v>
      </c>
      <c r="P11" s="22">
        <v>0</v>
      </c>
      <c r="Q11" s="22">
        <f t="shared" si="26"/>
        <v>0</v>
      </c>
      <c r="R11" s="23" t="str">
        <f>IF(SUMPRODUCT($J$76:Q$76,$J11:Q11)&lt;0.5, "Pending", IF(Q11&lt;0.5, "Complete", "In Progress"))</f>
        <v>Complete</v>
      </c>
      <c r="S11" s="22">
        <v>0</v>
      </c>
      <c r="T11" s="22">
        <f t="shared" si="27"/>
        <v>0</v>
      </c>
      <c r="U11" s="23" t="str">
        <f>IF(SUMPRODUCT($J$76:T$76,$J11:T11)&lt;0.5, "Pending", IF(T11&lt;0.5, "Complete", "In Progress"))</f>
        <v>Complete</v>
      </c>
      <c r="V11" s="22">
        <v>0</v>
      </c>
      <c r="W11" s="22">
        <f t="shared" si="28"/>
        <v>0</v>
      </c>
      <c r="X11" s="23" t="str">
        <f>IF(SUMPRODUCT($J$76:W$76,$J11:W11)&lt;0.5, "Pending", IF(W11&lt;0.5, "Complete", "In Progress"))</f>
        <v>Complete</v>
      </c>
      <c r="Y11" s="22">
        <v>0</v>
      </c>
      <c r="Z11" s="22">
        <f t="shared" si="29"/>
        <v>0</v>
      </c>
      <c r="AA11" s="23" t="str">
        <f>IF(SUMPRODUCT($J$76:Z$76,$J11:Z11)&lt;0.5, "Pending", IF(Z11&lt;0.5, "Complete", "In Progress"))</f>
        <v>Complete</v>
      </c>
      <c r="AB11" s="22">
        <v>0</v>
      </c>
      <c r="AC11" s="22">
        <f t="shared" si="30"/>
        <v>0</v>
      </c>
      <c r="AD11" s="23" t="str">
        <f>IF(SUMPRODUCT($J$76:AC$76,$J11:AC11)&lt;0.5, "Pending", IF(AC11&lt;0.5, "Complete", "In Progress"))</f>
        <v>Complete</v>
      </c>
      <c r="AE11" s="22">
        <v>0</v>
      </c>
      <c r="AF11" s="22">
        <f t="shared" si="31"/>
        <v>0</v>
      </c>
      <c r="AG11" s="23" t="str">
        <f>IF(SUMPRODUCT($J$76:AF$76,$J11:AF11)&lt;0.5, "Pending", IF(AF11&lt;0.5, "Complete", "In Progress"))</f>
        <v>Complete</v>
      </c>
      <c r="AH11" s="22">
        <v>0</v>
      </c>
      <c r="AI11" s="22">
        <f t="shared" si="32"/>
        <v>0</v>
      </c>
      <c r="AJ11" s="23" t="str">
        <f>IF(SUMPRODUCT($J$76:AI$76,$J11:AI11)&lt;0.5, "Pending", IF(AI11&lt;0.5, "Complete", "In Progress"))</f>
        <v>Complete</v>
      </c>
      <c r="AK11" s="22">
        <v>0</v>
      </c>
      <c r="AL11" s="22">
        <f t="shared" si="33"/>
        <v>0</v>
      </c>
      <c r="AM11" s="23" t="str">
        <f>IF(SUMPRODUCT($J$76:AL$76,$J11:AL11)&lt;0.5, "Pending", IF(AL11&lt;0.5, "Complete", "In Progress"))</f>
        <v>Complete</v>
      </c>
      <c r="AN11" s="22">
        <v>0</v>
      </c>
      <c r="AO11" s="22">
        <f t="shared" si="34"/>
        <v>0</v>
      </c>
      <c r="AP11" s="23" t="str">
        <f>IF(SUMPRODUCT($J$76:AO$76,$J11:AO11)&lt;0.5, "Pending", IF(AO11&lt;0.5, "Complete", "In Progress"))</f>
        <v>Complete</v>
      </c>
      <c r="AQ11" s="22">
        <v>0</v>
      </c>
      <c r="AR11" s="22">
        <f t="shared" si="35"/>
        <v>0</v>
      </c>
      <c r="AS11" s="23" t="str">
        <f>IF(SUMPRODUCT($J$76:AR$76,$J11:AR11)&lt;0.5, "Pending", IF(AR11&lt;0.5, "Complete", "In Progress"))</f>
        <v>Complete</v>
      </c>
      <c r="AT11" s="22">
        <v>0</v>
      </c>
      <c r="AU11" s="22">
        <f t="shared" si="36"/>
        <v>0</v>
      </c>
      <c r="AV11" s="23" t="str">
        <f>IF(SUMPRODUCT($J$76:AU$76,$J11:AU11)&lt;0.5, "Pending", IF(AU11&lt;0.5, "Complete", "In Progress"))</f>
        <v>Complete</v>
      </c>
      <c r="AW11" s="22">
        <v>0</v>
      </c>
      <c r="AX11" s="22">
        <f t="shared" si="37"/>
        <v>0</v>
      </c>
      <c r="AY11" s="23" t="str">
        <f>IF(SUMPRODUCT($J$76:AX$76,$J11:AX11)&lt;0.5, "Pending", IF(AX11&lt;0.5, "Complete", "In Progress"))</f>
        <v>Complete</v>
      </c>
      <c r="AZ11" s="22">
        <v>0</v>
      </c>
      <c r="BA11" s="22" t="e">
        <f>MAX(#REF!-AZ11,0)</f>
        <v>#REF!</v>
      </c>
      <c r="BB11" s="23" t="e">
        <f>IF(SUMPRODUCT($J$76:BA$76,$J11:BA11)&lt;0.5, "Pending", IF(BA11&lt;0.5, "Complete", "In Progress"))</f>
        <v>#REF!</v>
      </c>
      <c r="BC11" s="22">
        <v>0</v>
      </c>
      <c r="BD11" s="22" t="e">
        <f t="shared" si="38"/>
        <v>#REF!</v>
      </c>
      <c r="BE11" s="23" t="e">
        <f>IF(SUMPRODUCT($J$76:BD$76,$J11:BD11)&lt;0.5, "Pending", IF(BD11&lt;0.5, "Complete", "In Progress"))</f>
        <v>#REF!</v>
      </c>
      <c r="BF11" s="22">
        <v>0</v>
      </c>
      <c r="BG11" s="22" t="e">
        <f t="shared" si="39"/>
        <v>#REF!</v>
      </c>
      <c r="BH11" s="23" t="e">
        <f>IF(SUMPRODUCT($J$76:BG$76,$J11:BG11)&lt;0.5, "Pending", IF(BG11&lt;0.5, "Complete", "In Progress"))</f>
        <v>#REF!</v>
      </c>
      <c r="BI11" s="22">
        <v>0</v>
      </c>
      <c r="BJ11" s="22" t="e">
        <f t="shared" si="40"/>
        <v>#REF!</v>
      </c>
      <c r="BK11" s="23" t="e">
        <f>IF(SUMPRODUCT($J$76:BJ$76,$J11:BJ11)&lt;0.5, "Pending", IF(BJ11&lt;0.5, "Complete", "In Progress"))</f>
        <v>#REF!</v>
      </c>
      <c r="BL11" s="22">
        <v>0</v>
      </c>
      <c r="BM11" s="22" t="e">
        <f t="shared" si="41"/>
        <v>#REF!</v>
      </c>
      <c r="BN11" s="23" t="e">
        <f>IF(SUMPRODUCT($J$76:BM$76,$J11:BM11)&lt;0.5, "Pending", IF(BM11&lt;0.5, "Complete", "In Progress"))</f>
        <v>#REF!</v>
      </c>
      <c r="BO11" s="22">
        <v>0</v>
      </c>
      <c r="BP11" s="22" t="e">
        <f t="shared" si="42"/>
        <v>#REF!</v>
      </c>
      <c r="BQ11" s="23" t="e">
        <f>IF(SUMPRODUCT($J$76:BP$76,$J11:BP11)&lt;0.5, "Pending", IF(BP11&lt;0.5, "Complete", "In Progress"))</f>
        <v>#REF!</v>
      </c>
      <c r="BR11" s="22">
        <v>0</v>
      </c>
      <c r="BS11" s="22" t="e">
        <f t="shared" si="43"/>
        <v>#REF!</v>
      </c>
      <c r="BT11" s="23" t="e">
        <f>IF(SUMPRODUCT($J$76:BS$76,$J11:BS11)&lt;0.5, "Pending", IF(BS11&lt;0.5, "Complete", "In Progress"))</f>
        <v>#REF!</v>
      </c>
      <c r="BU11" s="22">
        <v>0</v>
      </c>
      <c r="BV11" s="22" t="e">
        <f t="shared" si="44"/>
        <v>#REF!</v>
      </c>
      <c r="BW11" s="23" t="e">
        <f>IF(SUMPRODUCT($J$76:BV$76,$J11:BV11)&lt;0.5, "Pending", IF(BV11&lt;0.5, "Complete", "In Progress"))</f>
        <v>#REF!</v>
      </c>
      <c r="BX11" s="22">
        <v>0</v>
      </c>
      <c r="BY11" s="22" t="e">
        <f t="shared" si="45"/>
        <v>#REF!</v>
      </c>
      <c r="BZ11" s="23" t="e">
        <f>IF(SUMPRODUCT($J$76:BY$76,$J11:BY11)&lt;0.5, "Pending", IF(BY11&lt;0.5, "Complete", "In Progress"))</f>
        <v>#REF!</v>
      </c>
      <c r="CA11" s="22">
        <v>0</v>
      </c>
      <c r="CB11" s="22" t="e">
        <f t="shared" si="46"/>
        <v>#REF!</v>
      </c>
      <c r="CC11" s="23" t="e">
        <f>IF(SUMPRODUCT($J$76:CB$76,$J11:CB11)&lt;0.5, "Pending", IF(CB11&lt;0.5, "Complete", "In Progress"))</f>
        <v>#REF!</v>
      </c>
      <c r="CD11" s="24"/>
      <c r="CE11" s="25">
        <f>SUMPRODUCT($H$76:AY$76,$H11:AY11)</f>
        <v>1</v>
      </c>
    </row>
    <row r="12" spans="1:83">
      <c r="A12" s="16"/>
      <c r="B12" s="16" t="s">
        <v>125</v>
      </c>
      <c r="C12" s="16" t="s">
        <v>149</v>
      </c>
      <c r="D12" s="17" t="s">
        <v>157</v>
      </c>
      <c r="E12" s="178" t="s">
        <v>155</v>
      </c>
      <c r="F12" s="18" t="s">
        <v>121</v>
      </c>
      <c r="G12" s="19" t="str">
        <f t="shared" ca="1" si="0"/>
        <v>In Progress</v>
      </c>
      <c r="H12" s="20">
        <v>1</v>
      </c>
      <c r="I12" s="21">
        <v>2</v>
      </c>
      <c r="J12" s="22">
        <v>1.5</v>
      </c>
      <c r="K12" s="22">
        <f t="shared" si="24"/>
        <v>0.5</v>
      </c>
      <c r="L12" s="23" t="str">
        <f>IF(SUMPRODUCT($J$76:K$76,$J12:K12)&lt;0.5, "Pending", IF(K12&lt;0.5, "Complete", "In Progress"))</f>
        <v>In Progress</v>
      </c>
      <c r="M12" s="22">
        <v>0</v>
      </c>
      <c r="N12" s="22">
        <f t="shared" si="25"/>
        <v>0.5</v>
      </c>
      <c r="O12" s="23" t="str">
        <f>IF(SUMPRODUCT($J$76:N$76,$J12:N12)&lt;0.5, "Pending", IF(N12&lt;0.5, "Complete", "In Progress"))</f>
        <v>In Progress</v>
      </c>
      <c r="P12" s="22">
        <v>0</v>
      </c>
      <c r="Q12" s="22">
        <f t="shared" si="26"/>
        <v>0.5</v>
      </c>
      <c r="R12" s="23" t="str">
        <f>IF(SUMPRODUCT($J$76:Q$76,$J12:Q12)&lt;0.5, "Pending", IF(Q12&lt;0.5, "Complete", "In Progress"))</f>
        <v>In Progress</v>
      </c>
      <c r="S12" s="22">
        <v>0</v>
      </c>
      <c r="T12" s="22">
        <f t="shared" si="27"/>
        <v>0.5</v>
      </c>
      <c r="U12" s="23" t="str">
        <f>IF(SUMPRODUCT($J$76:T$76,$J12:T12)&lt;0.5, "Pending", IF(T12&lt;0.5, "Complete", "In Progress"))</f>
        <v>In Progress</v>
      </c>
      <c r="V12" s="22">
        <v>0</v>
      </c>
      <c r="W12" s="22">
        <f t="shared" si="28"/>
        <v>0.5</v>
      </c>
      <c r="X12" s="23" t="str">
        <f>IF(SUMPRODUCT($J$76:W$76,$J12:W12)&lt;0.5, "Pending", IF(W12&lt;0.5, "Complete", "In Progress"))</f>
        <v>In Progress</v>
      </c>
      <c r="Y12" s="22">
        <v>0</v>
      </c>
      <c r="Z12" s="22">
        <f t="shared" si="29"/>
        <v>0.5</v>
      </c>
      <c r="AA12" s="23" t="str">
        <f>IF(SUMPRODUCT($J$76:Z$76,$J12:Z12)&lt;0.5, "Pending", IF(Z12&lt;0.5, "Complete", "In Progress"))</f>
        <v>In Progress</v>
      </c>
      <c r="AB12" s="22">
        <v>0</v>
      </c>
      <c r="AC12" s="22">
        <f t="shared" si="30"/>
        <v>0.5</v>
      </c>
      <c r="AD12" s="23" t="str">
        <f>IF(SUMPRODUCT($J$76:AC$76,$J12:AC12)&lt;0.5, "Pending", IF(AC12&lt;0.5, "Complete", "In Progress"))</f>
        <v>In Progress</v>
      </c>
      <c r="AE12" s="22">
        <v>0</v>
      </c>
      <c r="AF12" s="22">
        <f t="shared" si="31"/>
        <v>0.5</v>
      </c>
      <c r="AG12" s="23" t="str">
        <f>IF(SUMPRODUCT($J$76:AF$76,$J12:AF12)&lt;0.5, "Pending", IF(AF12&lt;0.5, "Complete", "In Progress"))</f>
        <v>In Progress</v>
      </c>
      <c r="AH12" s="22">
        <v>0</v>
      </c>
      <c r="AI12" s="22">
        <f t="shared" si="32"/>
        <v>0.5</v>
      </c>
      <c r="AJ12" s="23" t="str">
        <f>IF(SUMPRODUCT($J$76:AI$76,$J12:AI12)&lt;0.5, "Pending", IF(AI12&lt;0.5, "Complete", "In Progress"))</f>
        <v>In Progress</v>
      </c>
      <c r="AK12" s="22">
        <v>0</v>
      </c>
      <c r="AL12" s="22">
        <f t="shared" si="33"/>
        <v>0.5</v>
      </c>
      <c r="AM12" s="23" t="str">
        <f>IF(SUMPRODUCT($J$76:AL$76,$J12:AL12)&lt;0.5, "Pending", IF(AL12&lt;0.5, "Complete", "In Progress"))</f>
        <v>In Progress</v>
      </c>
      <c r="AN12" s="22">
        <v>0</v>
      </c>
      <c r="AO12" s="22">
        <f t="shared" si="34"/>
        <v>0.5</v>
      </c>
      <c r="AP12" s="23" t="str">
        <f>IF(SUMPRODUCT($J$76:AO$76,$J12:AO12)&lt;0.5, "Pending", IF(AO12&lt;0.5, "Complete", "In Progress"))</f>
        <v>In Progress</v>
      </c>
      <c r="AQ12" s="22">
        <v>0</v>
      </c>
      <c r="AR12" s="22">
        <f t="shared" si="35"/>
        <v>0.5</v>
      </c>
      <c r="AS12" s="23" t="str">
        <f>IF(SUMPRODUCT($J$76:AR$76,$J12:AR12)&lt;0.5, "Pending", IF(AR12&lt;0.5, "Complete", "In Progress"))</f>
        <v>In Progress</v>
      </c>
      <c r="AT12" s="22">
        <v>0</v>
      </c>
      <c r="AU12" s="22">
        <f t="shared" si="36"/>
        <v>0.5</v>
      </c>
      <c r="AV12" s="23" t="str">
        <f>IF(SUMPRODUCT($J$76:AU$76,$J12:AU12)&lt;0.5, "Pending", IF(AU12&lt;0.5, "Complete", "In Progress"))</f>
        <v>In Progress</v>
      </c>
      <c r="AW12" s="22">
        <v>0</v>
      </c>
      <c r="AX12" s="22">
        <f t="shared" si="37"/>
        <v>0.5</v>
      </c>
      <c r="AY12" s="23" t="str">
        <f>IF(SUMPRODUCT($J$76:AX$76,$J12:AX12)&lt;0.5, "Pending", IF(AX12&lt;0.5, "Complete", "In Progress"))</f>
        <v>In Progress</v>
      </c>
      <c r="AZ12" s="22">
        <v>0</v>
      </c>
      <c r="BA12" s="22" t="e">
        <f>MAX(#REF!-AZ12,0)</f>
        <v>#REF!</v>
      </c>
      <c r="BB12" s="23" t="e">
        <f>IF(SUMPRODUCT($J$76:BA$76,$J12:BA12)&lt;0.5, "Pending", IF(BA12&lt;0.5, "Complete", "In Progress"))</f>
        <v>#REF!</v>
      </c>
      <c r="BC12" s="22">
        <v>0</v>
      </c>
      <c r="BD12" s="22" t="e">
        <f t="shared" si="38"/>
        <v>#REF!</v>
      </c>
      <c r="BE12" s="23" t="e">
        <f>IF(SUMPRODUCT($J$76:BD$76,$J12:BD12)&lt;0.5, "Pending", IF(BD12&lt;0.5, "Complete", "In Progress"))</f>
        <v>#REF!</v>
      </c>
      <c r="BF12" s="22">
        <v>0</v>
      </c>
      <c r="BG12" s="22" t="e">
        <f t="shared" si="39"/>
        <v>#REF!</v>
      </c>
      <c r="BH12" s="23" t="e">
        <f>IF(SUMPRODUCT($J$76:BG$76,$J12:BG12)&lt;0.5, "Pending", IF(BG12&lt;0.5, "Complete", "In Progress"))</f>
        <v>#REF!</v>
      </c>
      <c r="BI12" s="22">
        <v>0</v>
      </c>
      <c r="BJ12" s="22" t="e">
        <f t="shared" si="40"/>
        <v>#REF!</v>
      </c>
      <c r="BK12" s="23" t="e">
        <f>IF(SUMPRODUCT($J$76:BJ$76,$J12:BJ12)&lt;0.5, "Pending", IF(BJ12&lt;0.5, "Complete", "In Progress"))</f>
        <v>#REF!</v>
      </c>
      <c r="BL12" s="22">
        <v>0</v>
      </c>
      <c r="BM12" s="22" t="e">
        <f t="shared" si="41"/>
        <v>#REF!</v>
      </c>
      <c r="BN12" s="23" t="e">
        <f>IF(SUMPRODUCT($J$76:BM$76,$J12:BM12)&lt;0.5, "Pending", IF(BM12&lt;0.5, "Complete", "In Progress"))</f>
        <v>#REF!</v>
      </c>
      <c r="BO12" s="22">
        <v>0</v>
      </c>
      <c r="BP12" s="22" t="e">
        <f t="shared" si="42"/>
        <v>#REF!</v>
      </c>
      <c r="BQ12" s="23" t="e">
        <f>IF(SUMPRODUCT($J$76:BP$76,$J12:BP12)&lt;0.5, "Pending", IF(BP12&lt;0.5, "Complete", "In Progress"))</f>
        <v>#REF!</v>
      </c>
      <c r="BR12" s="22">
        <v>0</v>
      </c>
      <c r="BS12" s="22" t="e">
        <f t="shared" si="43"/>
        <v>#REF!</v>
      </c>
      <c r="BT12" s="23" t="e">
        <f>IF(SUMPRODUCT($J$76:BS$76,$J12:BS12)&lt;0.5, "Pending", IF(BS12&lt;0.5, "Complete", "In Progress"))</f>
        <v>#REF!</v>
      </c>
      <c r="BU12" s="22">
        <v>0</v>
      </c>
      <c r="BV12" s="22" t="e">
        <f t="shared" si="44"/>
        <v>#REF!</v>
      </c>
      <c r="BW12" s="23" t="e">
        <f>IF(SUMPRODUCT($J$76:BV$76,$J12:BV12)&lt;0.5, "Pending", IF(BV12&lt;0.5, "Complete", "In Progress"))</f>
        <v>#REF!</v>
      </c>
      <c r="BX12" s="22">
        <v>0</v>
      </c>
      <c r="BY12" s="22" t="e">
        <f t="shared" si="45"/>
        <v>#REF!</v>
      </c>
      <c r="BZ12" s="23" t="e">
        <f>IF(SUMPRODUCT($J$76:BY$76,$J12:BY12)&lt;0.5, "Pending", IF(BY12&lt;0.5, "Complete", "In Progress"))</f>
        <v>#REF!</v>
      </c>
      <c r="CA12" s="22">
        <v>0</v>
      </c>
      <c r="CB12" s="22" t="e">
        <f t="shared" si="46"/>
        <v>#REF!</v>
      </c>
      <c r="CC12" s="23" t="e">
        <f>IF(SUMPRODUCT($J$76:CB$76,$J12:CB12)&lt;0.5, "Pending", IF(CB12&lt;0.5, "Complete", "In Progress"))</f>
        <v>#REF!</v>
      </c>
      <c r="CD12" s="24"/>
      <c r="CE12" s="25">
        <f>SUMPRODUCT($H$76:AY$76,$H12:AY12)</f>
        <v>1.5</v>
      </c>
    </row>
    <row r="13" spans="1:83">
      <c r="A13" s="16"/>
      <c r="B13" s="16" t="s">
        <v>125</v>
      </c>
      <c r="C13" s="16" t="s">
        <v>149</v>
      </c>
      <c r="D13" s="17" t="s">
        <v>158</v>
      </c>
      <c r="E13" s="178" t="s">
        <v>156</v>
      </c>
      <c r="F13" s="18" t="s">
        <v>121</v>
      </c>
      <c r="G13" s="19" t="str">
        <f t="shared" ca="1" si="0"/>
        <v>Pending</v>
      </c>
      <c r="H13" s="20">
        <v>1</v>
      </c>
      <c r="I13" s="21">
        <v>4</v>
      </c>
      <c r="J13" s="22">
        <v>0</v>
      </c>
      <c r="K13" s="22">
        <f t="shared" ref="K13:K15" si="47">MAX(I13-J13, 0)</f>
        <v>4</v>
      </c>
      <c r="L13" s="23" t="str">
        <f>IF(SUMPRODUCT($J$76:K$76,$J13:K13)&lt;0.5, "Pending", IF(K13&lt;0.5, "Complete", "In Progress"))</f>
        <v>Pending</v>
      </c>
      <c r="M13" s="22">
        <v>0</v>
      </c>
      <c r="N13" s="22">
        <f t="shared" ref="N13:N15" si="48">MAX(K13-M13,0)</f>
        <v>4</v>
      </c>
      <c r="O13" s="23" t="str">
        <f>IF(SUMPRODUCT($J$76:N$76,$J13:N13)&lt;0.5, "Pending", IF(N13&lt;0.5, "Complete", "In Progress"))</f>
        <v>Pending</v>
      </c>
      <c r="P13" s="22">
        <v>0</v>
      </c>
      <c r="Q13" s="22">
        <f t="shared" ref="Q13:Q15" si="49">MAX(N13-P13,0)</f>
        <v>4</v>
      </c>
      <c r="R13" s="23" t="str">
        <f>IF(SUMPRODUCT($J$76:Q$76,$J13:Q13)&lt;0.5, "Pending", IF(Q13&lt;0.5, "Complete", "In Progress"))</f>
        <v>Pending</v>
      </c>
      <c r="S13" s="22">
        <v>0</v>
      </c>
      <c r="T13" s="22">
        <f t="shared" ref="T13:T15" si="50">MAX(Q13-S13,0)</f>
        <v>4</v>
      </c>
      <c r="U13" s="23" t="str">
        <f>IF(SUMPRODUCT($J$76:T$76,$J13:T13)&lt;0.5, "Pending", IF(T13&lt;0.5, "Complete", "In Progress"))</f>
        <v>Pending</v>
      </c>
      <c r="V13" s="22">
        <v>0</v>
      </c>
      <c r="W13" s="22">
        <f t="shared" ref="W13:W15" si="51">MAX(T13-V13,0)</f>
        <v>4</v>
      </c>
      <c r="X13" s="23" t="str">
        <f>IF(SUMPRODUCT($J$76:W$76,$J13:W13)&lt;0.5, "Pending", IF(W13&lt;0.5, "Complete", "In Progress"))</f>
        <v>Pending</v>
      </c>
      <c r="Y13" s="22">
        <v>0</v>
      </c>
      <c r="Z13" s="22">
        <f t="shared" ref="Z13:Z15" si="52">MAX(W13-Y13,0)</f>
        <v>4</v>
      </c>
      <c r="AA13" s="23" t="str">
        <f>IF(SUMPRODUCT($J$76:Z$76,$J13:Z13)&lt;0.5, "Pending", IF(Z13&lt;0.5, "Complete", "In Progress"))</f>
        <v>Pending</v>
      </c>
      <c r="AB13" s="22">
        <v>0</v>
      </c>
      <c r="AC13" s="22">
        <f t="shared" ref="AC13:AC15" si="53">MAX(Z13-AB13,0)</f>
        <v>4</v>
      </c>
      <c r="AD13" s="23" t="str">
        <f>IF(SUMPRODUCT($J$76:AC$76,$J13:AC13)&lt;0.5, "Pending", IF(AC13&lt;0.5, "Complete", "In Progress"))</f>
        <v>Pending</v>
      </c>
      <c r="AE13" s="22">
        <v>0</v>
      </c>
      <c r="AF13" s="22">
        <f t="shared" ref="AF13:AF15" si="54">MAX(AC13-AE13,0)</f>
        <v>4</v>
      </c>
      <c r="AG13" s="23" t="str">
        <f>IF(SUMPRODUCT($J$76:AF$76,$J13:AF13)&lt;0.5, "Pending", IF(AF13&lt;0.5, "Complete", "In Progress"))</f>
        <v>Pending</v>
      </c>
      <c r="AH13" s="22">
        <v>0</v>
      </c>
      <c r="AI13" s="22">
        <f t="shared" ref="AI13:AI15" si="55">MAX(AF13-AH13,0)</f>
        <v>4</v>
      </c>
      <c r="AJ13" s="23" t="str">
        <f>IF(SUMPRODUCT($J$76:AI$76,$J13:AI13)&lt;0.5, "Pending", IF(AI13&lt;0.5, "Complete", "In Progress"))</f>
        <v>Pending</v>
      </c>
      <c r="AK13" s="22">
        <v>0</v>
      </c>
      <c r="AL13" s="22">
        <f t="shared" ref="AL13:AL15" si="56">MAX(AI13-AK13,0)</f>
        <v>4</v>
      </c>
      <c r="AM13" s="23" t="str">
        <f>IF(SUMPRODUCT($J$76:AL$76,$J13:AL13)&lt;0.5, "Pending", IF(AL13&lt;0.5, "Complete", "In Progress"))</f>
        <v>Pending</v>
      </c>
      <c r="AN13" s="22">
        <v>0</v>
      </c>
      <c r="AO13" s="22">
        <f t="shared" ref="AO13:AO15" si="57">MAX(AL13-AN13,0)</f>
        <v>4</v>
      </c>
      <c r="AP13" s="23" t="str">
        <f>IF(SUMPRODUCT($J$76:AO$76,$J13:AO13)&lt;0.5, "Pending", IF(AO13&lt;0.5, "Complete", "In Progress"))</f>
        <v>Pending</v>
      </c>
      <c r="AQ13" s="22">
        <v>0</v>
      </c>
      <c r="AR13" s="22">
        <f t="shared" ref="AR13:AR15" si="58">MAX(AO13-AQ13,0)</f>
        <v>4</v>
      </c>
      <c r="AS13" s="23" t="str">
        <f>IF(SUMPRODUCT($J$76:AR$76,$J13:AR13)&lt;0.5, "Pending", IF(AR13&lt;0.5, "Complete", "In Progress"))</f>
        <v>Pending</v>
      </c>
      <c r="AT13" s="22">
        <v>0</v>
      </c>
      <c r="AU13" s="22">
        <f t="shared" ref="AU13:AU15" si="59">MAX(AR13-AT13,0)</f>
        <v>4</v>
      </c>
      <c r="AV13" s="23" t="str">
        <f>IF(SUMPRODUCT($J$76:AU$76,$J13:AU13)&lt;0.5, "Pending", IF(AU13&lt;0.5, "Complete", "In Progress"))</f>
        <v>Pending</v>
      </c>
      <c r="AW13" s="22">
        <v>0</v>
      </c>
      <c r="AX13" s="22">
        <f t="shared" ref="AX13:AX15" si="60">MAX(AU13-AW13,0)</f>
        <v>4</v>
      </c>
      <c r="AY13" s="23" t="str">
        <f>IF(SUMPRODUCT($J$76:AX$76,$J13:AX13)&lt;0.5, "Pending", IF(AX13&lt;0.5, "Complete", "In Progress"))</f>
        <v>Pending</v>
      </c>
      <c r="AZ13" s="22">
        <v>0</v>
      </c>
      <c r="BA13" s="22" t="e">
        <f>MAX(#REF!-AZ13,0)</f>
        <v>#REF!</v>
      </c>
      <c r="BB13" s="23" t="e">
        <f>IF(SUMPRODUCT($J$76:BA$76,$J13:BA13)&lt;0.5, "Pending", IF(BA13&lt;0.5, "Complete", "In Progress"))</f>
        <v>#REF!</v>
      </c>
      <c r="BC13" s="22">
        <v>0</v>
      </c>
      <c r="BD13" s="22" t="e">
        <f t="shared" ref="BD13:BD15" si="61">MAX(BA13-BC13,0)</f>
        <v>#REF!</v>
      </c>
      <c r="BE13" s="23" t="e">
        <f>IF(SUMPRODUCT($J$76:BD$76,$J13:BD13)&lt;0.5, "Pending", IF(BD13&lt;0.5, "Complete", "In Progress"))</f>
        <v>#REF!</v>
      </c>
      <c r="BF13" s="22">
        <v>0</v>
      </c>
      <c r="BG13" s="22" t="e">
        <f t="shared" ref="BG13:BG15" si="62">MAX(BD13-BF13,0)</f>
        <v>#REF!</v>
      </c>
      <c r="BH13" s="23" t="e">
        <f>IF(SUMPRODUCT($J$76:BG$76,$J13:BG13)&lt;0.5, "Pending", IF(BG13&lt;0.5, "Complete", "In Progress"))</f>
        <v>#REF!</v>
      </c>
      <c r="BI13" s="22">
        <v>0</v>
      </c>
      <c r="BJ13" s="22" t="e">
        <f t="shared" ref="BJ13:BJ15" si="63">MAX(BG13-BI13,0)</f>
        <v>#REF!</v>
      </c>
      <c r="BK13" s="23" t="e">
        <f>IF(SUMPRODUCT($J$76:BJ$76,$J13:BJ13)&lt;0.5, "Pending", IF(BJ13&lt;0.5, "Complete", "In Progress"))</f>
        <v>#REF!</v>
      </c>
      <c r="BL13" s="22">
        <v>0</v>
      </c>
      <c r="BM13" s="22" t="e">
        <f t="shared" ref="BM13:BM15" si="64">MAX(BJ13-BL13,0)</f>
        <v>#REF!</v>
      </c>
      <c r="BN13" s="23" t="e">
        <f>IF(SUMPRODUCT($J$76:BM$76,$J13:BM13)&lt;0.5, "Pending", IF(BM13&lt;0.5, "Complete", "In Progress"))</f>
        <v>#REF!</v>
      </c>
      <c r="BO13" s="22">
        <v>0</v>
      </c>
      <c r="BP13" s="22" t="e">
        <f t="shared" ref="BP13:BP15" si="65">MAX(BM13-BO13,0)</f>
        <v>#REF!</v>
      </c>
      <c r="BQ13" s="23" t="e">
        <f>IF(SUMPRODUCT($J$76:BP$76,$J13:BP13)&lt;0.5, "Pending", IF(BP13&lt;0.5, "Complete", "In Progress"))</f>
        <v>#REF!</v>
      </c>
      <c r="BR13" s="22">
        <v>0</v>
      </c>
      <c r="BS13" s="22" t="e">
        <f t="shared" ref="BS13:BS15" si="66">MAX(BP13-BR13,0)</f>
        <v>#REF!</v>
      </c>
      <c r="BT13" s="23" t="e">
        <f>IF(SUMPRODUCT($J$76:BS$76,$J13:BS13)&lt;0.5, "Pending", IF(BS13&lt;0.5, "Complete", "In Progress"))</f>
        <v>#REF!</v>
      </c>
      <c r="BU13" s="22">
        <v>0</v>
      </c>
      <c r="BV13" s="22" t="e">
        <f t="shared" ref="BV13:BV15" si="67">MAX(BS13-BU13,0)</f>
        <v>#REF!</v>
      </c>
      <c r="BW13" s="23" t="e">
        <f>IF(SUMPRODUCT($J$76:BV$76,$J13:BV13)&lt;0.5, "Pending", IF(BV13&lt;0.5, "Complete", "In Progress"))</f>
        <v>#REF!</v>
      </c>
      <c r="BX13" s="22">
        <v>0</v>
      </c>
      <c r="BY13" s="22" t="e">
        <f t="shared" ref="BY13:BY15" si="68">MAX(BV13-BX13,0)</f>
        <v>#REF!</v>
      </c>
      <c r="BZ13" s="23" t="e">
        <f>IF(SUMPRODUCT($J$76:BY$76,$J13:BY13)&lt;0.5, "Pending", IF(BY13&lt;0.5, "Complete", "In Progress"))</f>
        <v>#REF!</v>
      </c>
      <c r="CA13" s="22">
        <v>0</v>
      </c>
      <c r="CB13" s="22" t="e">
        <f t="shared" ref="CB13:CB15" si="69">MAX(BY13-CA13,0)</f>
        <v>#REF!</v>
      </c>
      <c r="CC13" s="23" t="e">
        <f>IF(SUMPRODUCT($J$76:CB$76,$J13:CB13)&lt;0.5, "Pending", IF(CB13&lt;0.5, "Complete", "In Progress"))</f>
        <v>#REF!</v>
      </c>
      <c r="CD13" s="24"/>
      <c r="CE13" s="25">
        <f>SUMPRODUCT($H$76:AY$76,$H13:AY13)</f>
        <v>0</v>
      </c>
    </row>
    <row r="14" spans="1:83">
      <c r="A14" s="16"/>
      <c r="B14" s="16" t="s">
        <v>175</v>
      </c>
      <c r="C14" s="16" t="s">
        <v>159</v>
      </c>
      <c r="D14" s="17" t="s">
        <v>160</v>
      </c>
      <c r="E14" s="178" t="s">
        <v>176</v>
      </c>
      <c r="F14" s="18" t="s">
        <v>161</v>
      </c>
      <c r="G14" s="19" t="str">
        <f t="shared" ca="1" si="0"/>
        <v>Complete</v>
      </c>
      <c r="H14" s="20">
        <v>1</v>
      </c>
      <c r="I14" s="21">
        <v>2</v>
      </c>
      <c r="J14" s="22">
        <v>2</v>
      </c>
      <c r="K14" s="22">
        <f t="shared" ref="K14" si="70">MAX(I14-J14, 0)</f>
        <v>0</v>
      </c>
      <c r="L14" s="23" t="str">
        <f>IF(SUMPRODUCT($J$76:K$76,$J14:K14)&lt;0.5, "Pending", IF(K14&lt;0.5, "Complete", "In Progress"))</f>
        <v>Complete</v>
      </c>
      <c r="M14" s="22">
        <v>0</v>
      </c>
      <c r="N14" s="22">
        <f t="shared" ref="N14" si="71">MAX(K14-M14,0)</f>
        <v>0</v>
      </c>
      <c r="O14" s="23" t="str">
        <f>IF(SUMPRODUCT($J$76:N$76,$J14:N14)&lt;0.5, "Pending", IF(N14&lt;0.5, "Complete", "In Progress"))</f>
        <v>Complete</v>
      </c>
      <c r="P14" s="22">
        <v>0</v>
      </c>
      <c r="Q14" s="22">
        <f t="shared" ref="Q14" si="72">MAX(N14-P14,0)</f>
        <v>0</v>
      </c>
      <c r="R14" s="23" t="str">
        <f>IF(SUMPRODUCT($J$76:Q$76,$J14:Q14)&lt;0.5, "Pending", IF(Q14&lt;0.5, "Complete", "In Progress"))</f>
        <v>Complete</v>
      </c>
      <c r="S14" s="22">
        <v>0</v>
      </c>
      <c r="T14" s="22">
        <f t="shared" ref="T14" si="73">MAX(Q14-S14,0)</f>
        <v>0</v>
      </c>
      <c r="U14" s="23" t="str">
        <f>IF(SUMPRODUCT($J$76:T$76,$J14:T14)&lt;0.5, "Pending", IF(T14&lt;0.5, "Complete", "In Progress"))</f>
        <v>Complete</v>
      </c>
      <c r="V14" s="22">
        <v>0</v>
      </c>
      <c r="W14" s="22">
        <f t="shared" ref="W14" si="74">MAX(T14-V14,0)</f>
        <v>0</v>
      </c>
      <c r="X14" s="23" t="str">
        <f>IF(SUMPRODUCT($J$76:W$76,$J14:W14)&lt;0.5, "Pending", IF(W14&lt;0.5, "Complete", "In Progress"))</f>
        <v>Complete</v>
      </c>
      <c r="Y14" s="22">
        <v>0</v>
      </c>
      <c r="Z14" s="22">
        <f t="shared" ref="Z14" si="75">MAX(W14-Y14,0)</f>
        <v>0</v>
      </c>
      <c r="AA14" s="23" t="str">
        <f>IF(SUMPRODUCT($J$76:Z$76,$J14:Z14)&lt;0.5, "Pending", IF(Z14&lt;0.5, "Complete", "In Progress"))</f>
        <v>Complete</v>
      </c>
      <c r="AB14" s="22">
        <v>0</v>
      </c>
      <c r="AC14" s="22">
        <f t="shared" ref="AC14" si="76">MAX(Z14-AB14,0)</f>
        <v>0</v>
      </c>
      <c r="AD14" s="23" t="str">
        <f>IF(SUMPRODUCT($J$76:AC$76,$J14:AC14)&lt;0.5, "Pending", IF(AC14&lt;0.5, "Complete", "In Progress"))</f>
        <v>Complete</v>
      </c>
      <c r="AE14" s="22">
        <v>0</v>
      </c>
      <c r="AF14" s="22">
        <f t="shared" ref="AF14" si="77">MAX(AC14-AE14,0)</f>
        <v>0</v>
      </c>
      <c r="AG14" s="23" t="str">
        <f>IF(SUMPRODUCT($J$76:AF$76,$J14:AF14)&lt;0.5, "Pending", IF(AF14&lt;0.5, "Complete", "In Progress"))</f>
        <v>Complete</v>
      </c>
      <c r="AH14" s="22">
        <v>0</v>
      </c>
      <c r="AI14" s="22">
        <f t="shared" ref="AI14" si="78">MAX(AF14-AH14,0)</f>
        <v>0</v>
      </c>
      <c r="AJ14" s="23" t="str">
        <f>IF(SUMPRODUCT($J$76:AI$76,$J14:AI14)&lt;0.5, "Pending", IF(AI14&lt;0.5, "Complete", "In Progress"))</f>
        <v>Complete</v>
      </c>
      <c r="AK14" s="22">
        <v>0</v>
      </c>
      <c r="AL14" s="22">
        <f t="shared" ref="AL14" si="79">MAX(AI14-AK14,0)</f>
        <v>0</v>
      </c>
      <c r="AM14" s="23" t="str">
        <f>IF(SUMPRODUCT($J$76:AL$76,$J14:AL14)&lt;0.5, "Pending", IF(AL14&lt;0.5, "Complete", "In Progress"))</f>
        <v>Complete</v>
      </c>
      <c r="AN14" s="22">
        <v>0</v>
      </c>
      <c r="AO14" s="22">
        <f t="shared" ref="AO14" si="80">MAX(AL14-AN14,0)</f>
        <v>0</v>
      </c>
      <c r="AP14" s="23" t="str">
        <f>IF(SUMPRODUCT($J$76:AO$76,$J14:AO14)&lt;0.5, "Pending", IF(AO14&lt;0.5, "Complete", "In Progress"))</f>
        <v>Complete</v>
      </c>
      <c r="AQ14" s="22">
        <v>0</v>
      </c>
      <c r="AR14" s="22">
        <f t="shared" ref="AR14" si="81">MAX(AO14-AQ14,0)</f>
        <v>0</v>
      </c>
      <c r="AS14" s="23" t="str">
        <f>IF(SUMPRODUCT($J$76:AR$76,$J14:AR14)&lt;0.5, "Pending", IF(AR14&lt;0.5, "Complete", "In Progress"))</f>
        <v>Complete</v>
      </c>
      <c r="AT14" s="22">
        <v>0</v>
      </c>
      <c r="AU14" s="22">
        <f t="shared" ref="AU14" si="82">MAX(AR14-AT14,0)</f>
        <v>0</v>
      </c>
      <c r="AV14" s="23" t="str">
        <f>IF(SUMPRODUCT($J$76:AU$76,$J14:AU14)&lt;0.5, "Pending", IF(AU14&lt;0.5, "Complete", "In Progress"))</f>
        <v>Complete</v>
      </c>
      <c r="AW14" s="22">
        <v>0</v>
      </c>
      <c r="AX14" s="22">
        <f t="shared" ref="AX14" si="83">MAX(AU14-AW14,0)</f>
        <v>0</v>
      </c>
      <c r="AY14" s="23" t="str">
        <f>IF(SUMPRODUCT($J$76:AX$76,$J14:AX14)&lt;0.5, "Pending", IF(AX14&lt;0.5, "Complete", "In Progress"))</f>
        <v>Complete</v>
      </c>
      <c r="AZ14" s="22">
        <v>0</v>
      </c>
      <c r="BA14" s="22" t="e">
        <f>MAX(#REF!-AZ14,0)</f>
        <v>#REF!</v>
      </c>
      <c r="BB14" s="23" t="e">
        <f>IF(SUMPRODUCT($J$76:BA$76,$J14:BA14)&lt;0.5, "Pending", IF(BA14&lt;0.5, "Complete", "In Progress"))</f>
        <v>#REF!</v>
      </c>
      <c r="BC14" s="22">
        <v>0</v>
      </c>
      <c r="BD14" s="22" t="e">
        <f t="shared" ref="BD14" si="84">MAX(BA14-BC14,0)</f>
        <v>#REF!</v>
      </c>
      <c r="BE14" s="23" t="e">
        <f>IF(SUMPRODUCT($J$76:BD$76,$J14:BD14)&lt;0.5, "Pending", IF(BD14&lt;0.5, "Complete", "In Progress"))</f>
        <v>#REF!</v>
      </c>
      <c r="BF14" s="22">
        <v>0</v>
      </c>
      <c r="BG14" s="22" t="e">
        <f t="shared" ref="BG14" si="85">MAX(BD14-BF14,0)</f>
        <v>#REF!</v>
      </c>
      <c r="BH14" s="23" t="e">
        <f>IF(SUMPRODUCT($J$76:BG$76,$J14:BG14)&lt;0.5, "Pending", IF(BG14&lt;0.5, "Complete", "In Progress"))</f>
        <v>#REF!</v>
      </c>
      <c r="BI14" s="22">
        <v>0</v>
      </c>
      <c r="BJ14" s="22" t="e">
        <f t="shared" ref="BJ14" si="86">MAX(BG14-BI14,0)</f>
        <v>#REF!</v>
      </c>
      <c r="BK14" s="23" t="e">
        <f>IF(SUMPRODUCT($J$76:BJ$76,$J14:BJ14)&lt;0.5, "Pending", IF(BJ14&lt;0.5, "Complete", "In Progress"))</f>
        <v>#REF!</v>
      </c>
      <c r="BL14" s="22">
        <v>0</v>
      </c>
      <c r="BM14" s="22" t="e">
        <f t="shared" ref="BM14" si="87">MAX(BJ14-BL14,0)</f>
        <v>#REF!</v>
      </c>
      <c r="BN14" s="23" t="e">
        <f>IF(SUMPRODUCT($J$76:BM$76,$J14:BM14)&lt;0.5, "Pending", IF(BM14&lt;0.5, "Complete", "In Progress"))</f>
        <v>#REF!</v>
      </c>
      <c r="BO14" s="22">
        <v>0</v>
      </c>
      <c r="BP14" s="22" t="e">
        <f t="shared" ref="BP14" si="88">MAX(BM14-BO14,0)</f>
        <v>#REF!</v>
      </c>
      <c r="BQ14" s="23" t="e">
        <f>IF(SUMPRODUCT($J$76:BP$76,$J14:BP14)&lt;0.5, "Pending", IF(BP14&lt;0.5, "Complete", "In Progress"))</f>
        <v>#REF!</v>
      </c>
      <c r="BR14" s="22">
        <v>0</v>
      </c>
      <c r="BS14" s="22" t="e">
        <f t="shared" ref="BS14" si="89">MAX(BP14-BR14,0)</f>
        <v>#REF!</v>
      </c>
      <c r="BT14" s="23" t="e">
        <f>IF(SUMPRODUCT($J$76:BS$76,$J14:BS14)&lt;0.5, "Pending", IF(BS14&lt;0.5, "Complete", "In Progress"))</f>
        <v>#REF!</v>
      </c>
      <c r="BU14" s="22">
        <v>0</v>
      </c>
      <c r="BV14" s="22" t="e">
        <f t="shared" ref="BV14" si="90">MAX(BS14-BU14,0)</f>
        <v>#REF!</v>
      </c>
      <c r="BW14" s="23" t="e">
        <f>IF(SUMPRODUCT($J$76:BV$76,$J14:BV14)&lt;0.5, "Pending", IF(BV14&lt;0.5, "Complete", "In Progress"))</f>
        <v>#REF!</v>
      </c>
      <c r="BX14" s="22">
        <v>0</v>
      </c>
      <c r="BY14" s="22" t="e">
        <f t="shared" ref="BY14" si="91">MAX(BV14-BX14,0)</f>
        <v>#REF!</v>
      </c>
      <c r="BZ14" s="23" t="e">
        <f>IF(SUMPRODUCT($J$76:BY$76,$J14:BY14)&lt;0.5, "Pending", IF(BY14&lt;0.5, "Complete", "In Progress"))</f>
        <v>#REF!</v>
      </c>
      <c r="CA14" s="22">
        <v>0</v>
      </c>
      <c r="CB14" s="22" t="e">
        <f t="shared" ref="CB14" si="92">MAX(BY14-CA14,0)</f>
        <v>#REF!</v>
      </c>
      <c r="CC14" s="23" t="e">
        <f>IF(SUMPRODUCT($J$76:CB$76,$J14:CB14)&lt;0.5, "Pending", IF(CB14&lt;0.5, "Complete", "In Progress"))</f>
        <v>#REF!</v>
      </c>
      <c r="CD14" s="24"/>
      <c r="CE14" s="25">
        <f>SUMPRODUCT($H$76:AY$76,$H14:AY14)</f>
        <v>2</v>
      </c>
    </row>
    <row r="15" spans="1:83">
      <c r="A15" s="16"/>
      <c r="B15" s="16" t="s">
        <v>175</v>
      </c>
      <c r="C15" s="16" t="s">
        <v>159</v>
      </c>
      <c r="D15" s="17" t="s">
        <v>163</v>
      </c>
      <c r="E15" s="178" t="s">
        <v>174</v>
      </c>
      <c r="F15" s="18" t="s">
        <v>161</v>
      </c>
      <c r="G15" s="19" t="str">
        <f t="shared" ca="1" si="0"/>
        <v>Complete</v>
      </c>
      <c r="H15" s="20">
        <v>1</v>
      </c>
      <c r="I15" s="21">
        <v>2.5</v>
      </c>
      <c r="J15" s="22">
        <v>3</v>
      </c>
      <c r="K15" s="22">
        <f t="shared" si="47"/>
        <v>0</v>
      </c>
      <c r="L15" s="23" t="str">
        <f>IF(SUMPRODUCT($J$76:K$76,$J15:K15)&lt;0.5, "Pending", IF(K15&lt;0.5, "Complete", "In Progress"))</f>
        <v>Complete</v>
      </c>
      <c r="M15" s="22">
        <v>0</v>
      </c>
      <c r="N15" s="22">
        <f t="shared" si="48"/>
        <v>0</v>
      </c>
      <c r="O15" s="23" t="str">
        <f>IF(SUMPRODUCT($J$76:N$76,$J15:N15)&lt;0.5, "Pending", IF(N15&lt;0.5, "Complete", "In Progress"))</f>
        <v>Complete</v>
      </c>
      <c r="P15" s="22">
        <v>0</v>
      </c>
      <c r="Q15" s="22">
        <f t="shared" si="49"/>
        <v>0</v>
      </c>
      <c r="R15" s="23" t="str">
        <f>IF(SUMPRODUCT($J$76:Q$76,$J15:Q15)&lt;0.5, "Pending", IF(Q15&lt;0.5, "Complete", "In Progress"))</f>
        <v>Complete</v>
      </c>
      <c r="S15" s="22">
        <v>0</v>
      </c>
      <c r="T15" s="22">
        <f t="shared" si="50"/>
        <v>0</v>
      </c>
      <c r="U15" s="23" t="str">
        <f>IF(SUMPRODUCT($J$76:T$76,$J15:T15)&lt;0.5, "Pending", IF(T15&lt;0.5, "Complete", "In Progress"))</f>
        <v>Complete</v>
      </c>
      <c r="V15" s="22">
        <v>0</v>
      </c>
      <c r="W15" s="22">
        <f t="shared" si="51"/>
        <v>0</v>
      </c>
      <c r="X15" s="23" t="str">
        <f>IF(SUMPRODUCT($J$76:W$76,$J15:W15)&lt;0.5, "Pending", IF(W15&lt;0.5, "Complete", "In Progress"))</f>
        <v>Complete</v>
      </c>
      <c r="Y15" s="22">
        <v>0</v>
      </c>
      <c r="Z15" s="22">
        <f t="shared" si="52"/>
        <v>0</v>
      </c>
      <c r="AA15" s="23" t="str">
        <f>IF(SUMPRODUCT($J$76:Z$76,$J15:Z15)&lt;0.5, "Pending", IF(Z15&lt;0.5, "Complete", "In Progress"))</f>
        <v>Complete</v>
      </c>
      <c r="AB15" s="22">
        <v>0</v>
      </c>
      <c r="AC15" s="22">
        <f t="shared" si="53"/>
        <v>0</v>
      </c>
      <c r="AD15" s="23" t="str">
        <f>IF(SUMPRODUCT($J$76:AC$76,$J15:AC15)&lt;0.5, "Pending", IF(AC15&lt;0.5, "Complete", "In Progress"))</f>
        <v>Complete</v>
      </c>
      <c r="AE15" s="22">
        <v>0</v>
      </c>
      <c r="AF15" s="22">
        <f t="shared" si="54"/>
        <v>0</v>
      </c>
      <c r="AG15" s="23" t="str">
        <f>IF(SUMPRODUCT($J$76:AF$76,$J15:AF15)&lt;0.5, "Pending", IF(AF15&lt;0.5, "Complete", "In Progress"))</f>
        <v>Complete</v>
      </c>
      <c r="AH15" s="22">
        <v>0</v>
      </c>
      <c r="AI15" s="22">
        <f t="shared" si="55"/>
        <v>0</v>
      </c>
      <c r="AJ15" s="23" t="str">
        <f>IF(SUMPRODUCT($J$76:AI$76,$J15:AI15)&lt;0.5, "Pending", IF(AI15&lt;0.5, "Complete", "In Progress"))</f>
        <v>Complete</v>
      </c>
      <c r="AK15" s="22">
        <v>0</v>
      </c>
      <c r="AL15" s="22">
        <f t="shared" si="56"/>
        <v>0</v>
      </c>
      <c r="AM15" s="23" t="str">
        <f>IF(SUMPRODUCT($J$76:AL$76,$J15:AL15)&lt;0.5, "Pending", IF(AL15&lt;0.5, "Complete", "In Progress"))</f>
        <v>Complete</v>
      </c>
      <c r="AN15" s="22">
        <v>0</v>
      </c>
      <c r="AO15" s="22">
        <f t="shared" si="57"/>
        <v>0</v>
      </c>
      <c r="AP15" s="23" t="str">
        <f>IF(SUMPRODUCT($J$76:AO$76,$J15:AO15)&lt;0.5, "Pending", IF(AO15&lt;0.5, "Complete", "In Progress"))</f>
        <v>Complete</v>
      </c>
      <c r="AQ15" s="22">
        <v>0</v>
      </c>
      <c r="AR15" s="22">
        <f t="shared" si="58"/>
        <v>0</v>
      </c>
      <c r="AS15" s="23" t="str">
        <f>IF(SUMPRODUCT($J$76:AR$76,$J15:AR15)&lt;0.5, "Pending", IF(AR15&lt;0.5, "Complete", "In Progress"))</f>
        <v>Complete</v>
      </c>
      <c r="AT15" s="22">
        <v>0</v>
      </c>
      <c r="AU15" s="22">
        <f t="shared" si="59"/>
        <v>0</v>
      </c>
      <c r="AV15" s="23" t="str">
        <f>IF(SUMPRODUCT($J$76:AU$76,$J15:AU15)&lt;0.5, "Pending", IF(AU15&lt;0.5, "Complete", "In Progress"))</f>
        <v>Complete</v>
      </c>
      <c r="AW15" s="22">
        <v>0</v>
      </c>
      <c r="AX15" s="22">
        <f t="shared" si="60"/>
        <v>0</v>
      </c>
      <c r="AY15" s="23" t="str">
        <f>IF(SUMPRODUCT($J$76:AX$76,$J15:AX15)&lt;0.5, "Pending", IF(AX15&lt;0.5, "Complete", "In Progress"))</f>
        <v>Complete</v>
      </c>
      <c r="AZ15" s="22">
        <v>0</v>
      </c>
      <c r="BA15" s="22" t="e">
        <f>MAX(#REF!-AZ15,0)</f>
        <v>#REF!</v>
      </c>
      <c r="BB15" s="23" t="e">
        <f>IF(SUMPRODUCT($J$76:BA$76,$J15:BA15)&lt;0.5, "Pending", IF(BA15&lt;0.5, "Complete", "In Progress"))</f>
        <v>#REF!</v>
      </c>
      <c r="BC15" s="22">
        <v>0</v>
      </c>
      <c r="BD15" s="22" t="e">
        <f t="shared" si="61"/>
        <v>#REF!</v>
      </c>
      <c r="BE15" s="23" t="e">
        <f>IF(SUMPRODUCT($J$76:BD$76,$J15:BD15)&lt;0.5, "Pending", IF(BD15&lt;0.5, "Complete", "In Progress"))</f>
        <v>#REF!</v>
      </c>
      <c r="BF15" s="22">
        <v>0</v>
      </c>
      <c r="BG15" s="22" t="e">
        <f t="shared" si="62"/>
        <v>#REF!</v>
      </c>
      <c r="BH15" s="23" t="e">
        <f>IF(SUMPRODUCT($J$76:BG$76,$J15:BG15)&lt;0.5, "Pending", IF(BG15&lt;0.5, "Complete", "In Progress"))</f>
        <v>#REF!</v>
      </c>
      <c r="BI15" s="22">
        <v>0</v>
      </c>
      <c r="BJ15" s="22" t="e">
        <f t="shared" si="63"/>
        <v>#REF!</v>
      </c>
      <c r="BK15" s="23" t="e">
        <f>IF(SUMPRODUCT($J$76:BJ$76,$J15:BJ15)&lt;0.5, "Pending", IF(BJ15&lt;0.5, "Complete", "In Progress"))</f>
        <v>#REF!</v>
      </c>
      <c r="BL15" s="22">
        <v>0</v>
      </c>
      <c r="BM15" s="22" t="e">
        <f t="shared" si="64"/>
        <v>#REF!</v>
      </c>
      <c r="BN15" s="23" t="e">
        <f>IF(SUMPRODUCT($J$76:BM$76,$J15:BM15)&lt;0.5, "Pending", IF(BM15&lt;0.5, "Complete", "In Progress"))</f>
        <v>#REF!</v>
      </c>
      <c r="BO15" s="22">
        <v>0</v>
      </c>
      <c r="BP15" s="22" t="e">
        <f t="shared" si="65"/>
        <v>#REF!</v>
      </c>
      <c r="BQ15" s="23" t="e">
        <f>IF(SUMPRODUCT($J$76:BP$76,$J15:BP15)&lt;0.5, "Pending", IF(BP15&lt;0.5, "Complete", "In Progress"))</f>
        <v>#REF!</v>
      </c>
      <c r="BR15" s="22">
        <v>0</v>
      </c>
      <c r="BS15" s="22" t="e">
        <f t="shared" si="66"/>
        <v>#REF!</v>
      </c>
      <c r="BT15" s="23" t="e">
        <f>IF(SUMPRODUCT($J$76:BS$76,$J15:BS15)&lt;0.5, "Pending", IF(BS15&lt;0.5, "Complete", "In Progress"))</f>
        <v>#REF!</v>
      </c>
      <c r="BU15" s="22">
        <v>0</v>
      </c>
      <c r="BV15" s="22" t="e">
        <f t="shared" si="67"/>
        <v>#REF!</v>
      </c>
      <c r="BW15" s="23" t="e">
        <f>IF(SUMPRODUCT($J$76:BV$76,$J15:BV15)&lt;0.5, "Pending", IF(BV15&lt;0.5, "Complete", "In Progress"))</f>
        <v>#REF!</v>
      </c>
      <c r="BX15" s="22">
        <v>0</v>
      </c>
      <c r="BY15" s="22" t="e">
        <f t="shared" si="68"/>
        <v>#REF!</v>
      </c>
      <c r="BZ15" s="23" t="e">
        <f>IF(SUMPRODUCT($J$76:BY$76,$J15:BY15)&lt;0.5, "Pending", IF(BY15&lt;0.5, "Complete", "In Progress"))</f>
        <v>#REF!</v>
      </c>
      <c r="CA15" s="22">
        <v>0</v>
      </c>
      <c r="CB15" s="22" t="e">
        <f t="shared" si="69"/>
        <v>#REF!</v>
      </c>
      <c r="CC15" s="23" t="e">
        <f>IF(SUMPRODUCT($J$76:CB$76,$J15:CB15)&lt;0.5, "Pending", IF(CB15&lt;0.5, "Complete", "In Progress"))</f>
        <v>#REF!</v>
      </c>
      <c r="CD15" s="24"/>
      <c r="CE15" s="25">
        <f>SUMPRODUCT($H$76:AY$76,$H15:AY15)</f>
        <v>3</v>
      </c>
    </row>
    <row r="16" spans="1:83">
      <c r="A16" s="16"/>
      <c r="B16" s="16" t="s">
        <v>123</v>
      </c>
      <c r="C16" s="16" t="s">
        <v>159</v>
      </c>
      <c r="D16" s="17" t="s">
        <v>164</v>
      </c>
      <c r="E16" s="178" t="s">
        <v>140</v>
      </c>
      <c r="F16" s="18" t="s">
        <v>116</v>
      </c>
      <c r="G16" s="19" t="str">
        <f t="shared" ca="1" si="0"/>
        <v>Pending</v>
      </c>
      <c r="H16" s="20">
        <v>1</v>
      </c>
      <c r="I16" s="21">
        <v>1</v>
      </c>
      <c r="J16" s="22">
        <v>0</v>
      </c>
      <c r="K16" s="22">
        <f t="shared" si="24"/>
        <v>1</v>
      </c>
      <c r="L16" s="23" t="str">
        <f>IF(SUMPRODUCT($J$76:K$76,$J16:K16)&lt;0.5, "Pending", IF(K16&lt;0.5, "Complete", "In Progress"))</f>
        <v>Pending</v>
      </c>
      <c r="M16" s="22">
        <v>0</v>
      </c>
      <c r="N16" s="22">
        <f t="shared" si="25"/>
        <v>1</v>
      </c>
      <c r="O16" s="23" t="str">
        <f>IF(SUMPRODUCT($J$76:N$76,$J16:N16)&lt;0.5, "Pending", IF(N16&lt;0.5, "Complete", "In Progress"))</f>
        <v>Pending</v>
      </c>
      <c r="P16" s="22">
        <v>0</v>
      </c>
      <c r="Q16" s="22">
        <f t="shared" si="26"/>
        <v>1</v>
      </c>
      <c r="R16" s="23" t="str">
        <f>IF(SUMPRODUCT($J$76:Q$76,$J16:Q16)&lt;0.5, "Pending", IF(Q16&lt;0.5, "Complete", "In Progress"))</f>
        <v>Pending</v>
      </c>
      <c r="S16" s="22">
        <v>0</v>
      </c>
      <c r="T16" s="22">
        <f t="shared" si="27"/>
        <v>1</v>
      </c>
      <c r="U16" s="23" t="str">
        <f>IF(SUMPRODUCT($J$76:T$76,$J16:T16)&lt;0.5, "Pending", IF(T16&lt;0.5, "Complete", "In Progress"))</f>
        <v>Pending</v>
      </c>
      <c r="V16" s="22">
        <v>0</v>
      </c>
      <c r="W16" s="22">
        <f t="shared" si="28"/>
        <v>1</v>
      </c>
      <c r="X16" s="23" t="str">
        <f>IF(SUMPRODUCT($J$76:W$76,$J16:W16)&lt;0.5, "Pending", IF(W16&lt;0.5, "Complete", "In Progress"))</f>
        <v>Pending</v>
      </c>
      <c r="Y16" s="22">
        <v>0</v>
      </c>
      <c r="Z16" s="22">
        <f t="shared" si="29"/>
        <v>1</v>
      </c>
      <c r="AA16" s="23" t="str">
        <f>IF(SUMPRODUCT($J$76:Z$76,$J16:Z16)&lt;0.5, "Pending", IF(Z16&lt;0.5, "Complete", "In Progress"))</f>
        <v>Pending</v>
      </c>
      <c r="AB16" s="22">
        <v>0</v>
      </c>
      <c r="AC16" s="22">
        <f t="shared" si="30"/>
        <v>1</v>
      </c>
      <c r="AD16" s="23" t="str">
        <f>IF(SUMPRODUCT($J$76:AC$76,$J16:AC16)&lt;0.5, "Pending", IF(AC16&lt;0.5, "Complete", "In Progress"))</f>
        <v>Pending</v>
      </c>
      <c r="AE16" s="22">
        <v>0</v>
      </c>
      <c r="AF16" s="22">
        <f t="shared" si="31"/>
        <v>1</v>
      </c>
      <c r="AG16" s="23" t="str">
        <f>IF(SUMPRODUCT($J$76:AF$76,$J16:AF16)&lt;0.5, "Pending", IF(AF16&lt;0.5, "Complete", "In Progress"))</f>
        <v>Pending</v>
      </c>
      <c r="AH16" s="22">
        <v>0</v>
      </c>
      <c r="AI16" s="22">
        <f t="shared" si="32"/>
        <v>1</v>
      </c>
      <c r="AJ16" s="23" t="str">
        <f>IF(SUMPRODUCT($J$76:AI$76,$J16:AI16)&lt;0.5, "Pending", IF(AI16&lt;0.5, "Complete", "In Progress"))</f>
        <v>Pending</v>
      </c>
      <c r="AK16" s="22">
        <v>0</v>
      </c>
      <c r="AL16" s="22">
        <f t="shared" si="33"/>
        <v>1</v>
      </c>
      <c r="AM16" s="23" t="str">
        <f>IF(SUMPRODUCT($J$76:AL$76,$J16:AL16)&lt;0.5, "Pending", IF(AL16&lt;0.5, "Complete", "In Progress"))</f>
        <v>Pending</v>
      </c>
      <c r="AN16" s="22">
        <v>0</v>
      </c>
      <c r="AO16" s="22">
        <f t="shared" si="34"/>
        <v>1</v>
      </c>
      <c r="AP16" s="23" t="str">
        <f>IF(SUMPRODUCT($J$76:AO$76,$J16:AO16)&lt;0.5, "Pending", IF(AO16&lt;0.5, "Complete", "In Progress"))</f>
        <v>Pending</v>
      </c>
      <c r="AQ16" s="22">
        <v>0</v>
      </c>
      <c r="AR16" s="22">
        <f t="shared" si="35"/>
        <v>1</v>
      </c>
      <c r="AS16" s="23" t="str">
        <f>IF(SUMPRODUCT($J$76:AR$76,$J16:AR16)&lt;0.5, "Pending", IF(AR16&lt;0.5, "Complete", "In Progress"))</f>
        <v>Pending</v>
      </c>
      <c r="AT16" s="22">
        <v>0</v>
      </c>
      <c r="AU16" s="22">
        <f t="shared" si="36"/>
        <v>1</v>
      </c>
      <c r="AV16" s="23" t="str">
        <f>IF(SUMPRODUCT($J$76:AU$76,$J16:AU16)&lt;0.5, "Pending", IF(AU16&lt;0.5, "Complete", "In Progress"))</f>
        <v>Pending</v>
      </c>
      <c r="AW16" s="22">
        <v>0</v>
      </c>
      <c r="AX16" s="22">
        <f t="shared" si="37"/>
        <v>1</v>
      </c>
      <c r="AY16" s="23" t="str">
        <f>IF(SUMPRODUCT($J$76:AX$76,$J16:AX16)&lt;0.5, "Pending", IF(AX16&lt;0.5, "Complete", "In Progress"))</f>
        <v>Pending</v>
      </c>
      <c r="AZ16" s="22">
        <v>0</v>
      </c>
      <c r="BA16" s="22" t="e">
        <f>MAX(#REF!-AZ16,0)</f>
        <v>#REF!</v>
      </c>
      <c r="BB16" s="23" t="e">
        <f>IF(SUMPRODUCT($J$76:BA$76,$J16:BA16)&lt;0.5, "Pending", IF(BA16&lt;0.5, "Complete", "In Progress"))</f>
        <v>#REF!</v>
      </c>
      <c r="BC16" s="22">
        <v>0</v>
      </c>
      <c r="BD16" s="22" t="e">
        <f t="shared" si="38"/>
        <v>#REF!</v>
      </c>
      <c r="BE16" s="23" t="e">
        <f>IF(SUMPRODUCT($J$76:BD$76,$J16:BD16)&lt;0.5, "Pending", IF(BD16&lt;0.5, "Complete", "In Progress"))</f>
        <v>#REF!</v>
      </c>
      <c r="BF16" s="22">
        <v>0</v>
      </c>
      <c r="BG16" s="22" t="e">
        <f t="shared" si="39"/>
        <v>#REF!</v>
      </c>
      <c r="BH16" s="23" t="e">
        <f>IF(SUMPRODUCT($J$76:BG$76,$J16:BG16)&lt;0.5, "Pending", IF(BG16&lt;0.5, "Complete", "In Progress"))</f>
        <v>#REF!</v>
      </c>
      <c r="BI16" s="22">
        <v>0</v>
      </c>
      <c r="BJ16" s="22" t="e">
        <f t="shared" si="40"/>
        <v>#REF!</v>
      </c>
      <c r="BK16" s="23" t="e">
        <f>IF(SUMPRODUCT($J$76:BJ$76,$J16:BJ16)&lt;0.5, "Pending", IF(BJ16&lt;0.5, "Complete", "In Progress"))</f>
        <v>#REF!</v>
      </c>
      <c r="BL16" s="22">
        <v>0</v>
      </c>
      <c r="BM16" s="22" t="e">
        <f t="shared" si="41"/>
        <v>#REF!</v>
      </c>
      <c r="BN16" s="23" t="e">
        <f>IF(SUMPRODUCT($J$76:BM$76,$J16:BM16)&lt;0.5, "Pending", IF(BM16&lt;0.5, "Complete", "In Progress"))</f>
        <v>#REF!</v>
      </c>
      <c r="BO16" s="22">
        <v>0</v>
      </c>
      <c r="BP16" s="22" t="e">
        <f t="shared" si="42"/>
        <v>#REF!</v>
      </c>
      <c r="BQ16" s="23" t="e">
        <f>IF(SUMPRODUCT($J$76:BP$76,$J16:BP16)&lt;0.5, "Pending", IF(BP16&lt;0.5, "Complete", "In Progress"))</f>
        <v>#REF!</v>
      </c>
      <c r="BR16" s="22">
        <v>0</v>
      </c>
      <c r="BS16" s="22" t="e">
        <f t="shared" si="43"/>
        <v>#REF!</v>
      </c>
      <c r="BT16" s="23" t="e">
        <f>IF(SUMPRODUCT($J$76:BS$76,$J16:BS16)&lt;0.5, "Pending", IF(BS16&lt;0.5, "Complete", "In Progress"))</f>
        <v>#REF!</v>
      </c>
      <c r="BU16" s="22">
        <v>0</v>
      </c>
      <c r="BV16" s="22" t="e">
        <f t="shared" si="44"/>
        <v>#REF!</v>
      </c>
      <c r="BW16" s="23" t="e">
        <f>IF(SUMPRODUCT($J$76:BV$76,$J16:BV16)&lt;0.5, "Pending", IF(BV16&lt;0.5, "Complete", "In Progress"))</f>
        <v>#REF!</v>
      </c>
      <c r="BX16" s="22">
        <v>0</v>
      </c>
      <c r="BY16" s="22" t="e">
        <f t="shared" si="45"/>
        <v>#REF!</v>
      </c>
      <c r="BZ16" s="23" t="e">
        <f>IF(SUMPRODUCT($J$76:BY$76,$J16:BY16)&lt;0.5, "Pending", IF(BY16&lt;0.5, "Complete", "In Progress"))</f>
        <v>#REF!</v>
      </c>
      <c r="CA16" s="22">
        <v>0</v>
      </c>
      <c r="CB16" s="22" t="e">
        <f t="shared" si="46"/>
        <v>#REF!</v>
      </c>
      <c r="CC16" s="23" t="e">
        <f>IF(SUMPRODUCT($J$76:CB$76,$J16:CB16)&lt;0.5, "Pending", IF(CB16&lt;0.5, "Complete", "In Progress"))</f>
        <v>#REF!</v>
      </c>
      <c r="CD16" s="24"/>
      <c r="CE16" s="25">
        <f>SUMPRODUCT($H$76:AY$76,$H16:AY16)</f>
        <v>0</v>
      </c>
    </row>
    <row r="17" spans="1:83">
      <c r="A17" s="16"/>
      <c r="B17" s="16" t="s">
        <v>123</v>
      </c>
      <c r="C17" s="16" t="s">
        <v>159</v>
      </c>
      <c r="D17" s="17" t="s">
        <v>165</v>
      </c>
      <c r="E17" s="178" t="s">
        <v>141</v>
      </c>
      <c r="F17" s="18" t="s">
        <v>115</v>
      </c>
      <c r="G17" s="19" t="str">
        <f t="shared" ca="1" si="0"/>
        <v>Complete</v>
      </c>
      <c r="H17" s="20">
        <v>1</v>
      </c>
      <c r="I17" s="21">
        <v>2</v>
      </c>
      <c r="J17" s="22">
        <v>2</v>
      </c>
      <c r="K17" s="22">
        <f t="shared" si="24"/>
        <v>0</v>
      </c>
      <c r="L17" s="23" t="str">
        <f>IF(SUMPRODUCT($J$76:K$76,$J17:K17)&lt;0.5, "Pending", IF(K17&lt;0.5, "Complete", "In Progress"))</f>
        <v>Complete</v>
      </c>
      <c r="M17" s="22">
        <v>0</v>
      </c>
      <c r="N17" s="22">
        <f t="shared" si="25"/>
        <v>0</v>
      </c>
      <c r="O17" s="23" t="str">
        <f>IF(SUMPRODUCT($J$76:N$76,$J17:N17)&lt;0.5, "Pending", IF(N17&lt;0.5, "Complete", "In Progress"))</f>
        <v>Complete</v>
      </c>
      <c r="P17" s="22">
        <v>2</v>
      </c>
      <c r="Q17" s="22">
        <f t="shared" si="26"/>
        <v>0</v>
      </c>
      <c r="R17" s="23" t="str">
        <f>IF(SUMPRODUCT($J$76:Q$76,$J17:Q17)&lt;0.5, "Pending", IF(Q17&lt;0.5, "Complete", "In Progress"))</f>
        <v>Complete</v>
      </c>
      <c r="S17" s="22">
        <v>0</v>
      </c>
      <c r="T17" s="22">
        <f t="shared" si="27"/>
        <v>0</v>
      </c>
      <c r="U17" s="23" t="str">
        <f>IF(SUMPRODUCT($J$76:T$76,$J17:T17)&lt;0.5, "Pending", IF(T17&lt;0.5, "Complete", "In Progress"))</f>
        <v>Complete</v>
      </c>
      <c r="V17" s="22">
        <v>0</v>
      </c>
      <c r="W17" s="22">
        <f t="shared" si="28"/>
        <v>0</v>
      </c>
      <c r="X17" s="23" t="str">
        <f>IF(SUMPRODUCT($J$76:W$76,$J17:W17)&lt;0.5, "Pending", IF(W17&lt;0.5, "Complete", "In Progress"))</f>
        <v>Complete</v>
      </c>
      <c r="Y17" s="22">
        <v>0</v>
      </c>
      <c r="Z17" s="22">
        <f t="shared" si="29"/>
        <v>0</v>
      </c>
      <c r="AA17" s="23" t="str">
        <f>IF(SUMPRODUCT($J$76:Z$76,$J17:Z17)&lt;0.5, "Pending", IF(Z17&lt;0.5, "Complete", "In Progress"))</f>
        <v>Complete</v>
      </c>
      <c r="AB17" s="22">
        <v>0</v>
      </c>
      <c r="AC17" s="22">
        <f t="shared" si="30"/>
        <v>0</v>
      </c>
      <c r="AD17" s="23" t="str">
        <f>IF(SUMPRODUCT($J$76:AC$76,$J17:AC17)&lt;0.5, "Pending", IF(AC17&lt;0.5, "Complete", "In Progress"))</f>
        <v>Complete</v>
      </c>
      <c r="AE17" s="22">
        <v>0</v>
      </c>
      <c r="AF17" s="22">
        <f t="shared" si="31"/>
        <v>0</v>
      </c>
      <c r="AG17" s="23" t="str">
        <f>IF(SUMPRODUCT($J$76:AF$76,$J17:AF17)&lt;0.5, "Pending", IF(AF17&lt;0.5, "Complete", "In Progress"))</f>
        <v>Complete</v>
      </c>
      <c r="AH17" s="22">
        <v>0</v>
      </c>
      <c r="AI17" s="22">
        <f t="shared" si="32"/>
        <v>0</v>
      </c>
      <c r="AJ17" s="23" t="str">
        <f>IF(SUMPRODUCT($J$76:AI$76,$J17:AI17)&lt;0.5, "Pending", IF(AI17&lt;0.5, "Complete", "In Progress"))</f>
        <v>Complete</v>
      </c>
      <c r="AK17" s="22">
        <v>0</v>
      </c>
      <c r="AL17" s="22">
        <f t="shared" si="33"/>
        <v>0</v>
      </c>
      <c r="AM17" s="23" t="str">
        <f>IF(SUMPRODUCT($J$76:AL$76,$J17:AL17)&lt;0.5, "Pending", IF(AL17&lt;0.5, "Complete", "In Progress"))</f>
        <v>Complete</v>
      </c>
      <c r="AN17" s="22">
        <v>0</v>
      </c>
      <c r="AO17" s="22">
        <f t="shared" si="34"/>
        <v>0</v>
      </c>
      <c r="AP17" s="23" t="str">
        <f>IF(SUMPRODUCT($J$76:AO$76,$J17:AO17)&lt;0.5, "Pending", IF(AO17&lt;0.5, "Complete", "In Progress"))</f>
        <v>Complete</v>
      </c>
      <c r="AQ17" s="22">
        <v>0</v>
      </c>
      <c r="AR17" s="22">
        <f t="shared" si="35"/>
        <v>0</v>
      </c>
      <c r="AS17" s="23" t="str">
        <f>IF(SUMPRODUCT($J$76:AR$76,$J17:AR17)&lt;0.5, "Pending", IF(AR17&lt;0.5, "Complete", "In Progress"))</f>
        <v>Complete</v>
      </c>
      <c r="AT17" s="22">
        <v>0</v>
      </c>
      <c r="AU17" s="22">
        <f t="shared" si="36"/>
        <v>0</v>
      </c>
      <c r="AV17" s="23" t="str">
        <f>IF(SUMPRODUCT($J$76:AU$76,$J17:AU17)&lt;0.5, "Pending", IF(AU17&lt;0.5, "Complete", "In Progress"))</f>
        <v>Complete</v>
      </c>
      <c r="AW17" s="22">
        <v>0</v>
      </c>
      <c r="AX17" s="22">
        <f t="shared" si="37"/>
        <v>0</v>
      </c>
      <c r="AY17" s="23" t="str">
        <f>IF(SUMPRODUCT($J$76:AX$76,$J17:AX17)&lt;0.5, "Pending", IF(AX17&lt;0.5, "Complete", "In Progress"))</f>
        <v>Complete</v>
      </c>
      <c r="AZ17" s="22">
        <v>0</v>
      </c>
      <c r="BA17" s="22" t="e">
        <f>MAX(#REF!-AZ17,0)</f>
        <v>#REF!</v>
      </c>
      <c r="BB17" s="23" t="e">
        <f>IF(SUMPRODUCT($J$76:BA$76,$J17:BA17)&lt;0.5, "Pending", IF(BA17&lt;0.5, "Complete", "In Progress"))</f>
        <v>#REF!</v>
      </c>
      <c r="BC17" s="22">
        <v>0</v>
      </c>
      <c r="BD17" s="22" t="e">
        <f t="shared" si="38"/>
        <v>#REF!</v>
      </c>
      <c r="BE17" s="23" t="e">
        <f>IF(SUMPRODUCT($J$76:BD$76,$J17:BD17)&lt;0.5, "Pending", IF(BD17&lt;0.5, "Complete", "In Progress"))</f>
        <v>#REF!</v>
      </c>
      <c r="BF17" s="22">
        <v>0</v>
      </c>
      <c r="BG17" s="22" t="e">
        <f t="shared" si="39"/>
        <v>#REF!</v>
      </c>
      <c r="BH17" s="23" t="e">
        <f>IF(SUMPRODUCT($J$76:BG$76,$J17:BG17)&lt;0.5, "Pending", IF(BG17&lt;0.5, "Complete", "In Progress"))</f>
        <v>#REF!</v>
      </c>
      <c r="BI17" s="22">
        <v>0</v>
      </c>
      <c r="BJ17" s="22" t="e">
        <f t="shared" si="40"/>
        <v>#REF!</v>
      </c>
      <c r="BK17" s="23" t="e">
        <f>IF(SUMPRODUCT($J$76:BJ$76,$J17:BJ17)&lt;0.5, "Pending", IF(BJ17&lt;0.5, "Complete", "In Progress"))</f>
        <v>#REF!</v>
      </c>
      <c r="BL17" s="22">
        <v>0</v>
      </c>
      <c r="BM17" s="22" t="e">
        <f t="shared" si="41"/>
        <v>#REF!</v>
      </c>
      <c r="BN17" s="23" t="e">
        <f>IF(SUMPRODUCT($J$76:BM$76,$J17:BM17)&lt;0.5, "Pending", IF(BM17&lt;0.5, "Complete", "In Progress"))</f>
        <v>#REF!</v>
      </c>
      <c r="BO17" s="22">
        <v>0</v>
      </c>
      <c r="BP17" s="22" t="e">
        <f t="shared" si="42"/>
        <v>#REF!</v>
      </c>
      <c r="BQ17" s="23" t="e">
        <f>IF(SUMPRODUCT($J$76:BP$76,$J17:BP17)&lt;0.5, "Pending", IF(BP17&lt;0.5, "Complete", "In Progress"))</f>
        <v>#REF!</v>
      </c>
      <c r="BR17" s="22">
        <v>0</v>
      </c>
      <c r="BS17" s="22" t="e">
        <f t="shared" si="43"/>
        <v>#REF!</v>
      </c>
      <c r="BT17" s="23" t="e">
        <f>IF(SUMPRODUCT($J$76:BS$76,$J17:BS17)&lt;0.5, "Pending", IF(BS17&lt;0.5, "Complete", "In Progress"))</f>
        <v>#REF!</v>
      </c>
      <c r="BU17" s="22">
        <v>0</v>
      </c>
      <c r="BV17" s="22" t="e">
        <f t="shared" si="44"/>
        <v>#REF!</v>
      </c>
      <c r="BW17" s="23" t="e">
        <f>IF(SUMPRODUCT($J$76:BV$76,$J17:BV17)&lt;0.5, "Pending", IF(BV17&lt;0.5, "Complete", "In Progress"))</f>
        <v>#REF!</v>
      </c>
      <c r="BX17" s="22">
        <v>0</v>
      </c>
      <c r="BY17" s="22" t="e">
        <f t="shared" si="45"/>
        <v>#REF!</v>
      </c>
      <c r="BZ17" s="23" t="e">
        <f>IF(SUMPRODUCT($J$76:BY$76,$J17:BY17)&lt;0.5, "Pending", IF(BY17&lt;0.5, "Complete", "In Progress"))</f>
        <v>#REF!</v>
      </c>
      <c r="CA17" s="22">
        <v>0</v>
      </c>
      <c r="CB17" s="22" t="e">
        <f t="shared" si="46"/>
        <v>#REF!</v>
      </c>
      <c r="CC17" s="23" t="e">
        <f>IF(SUMPRODUCT($J$76:CB$76,$J17:CB17)&lt;0.5, "Pending", IF(CB17&lt;0.5, "Complete", "In Progress"))</f>
        <v>#REF!</v>
      </c>
      <c r="CD17" s="24"/>
      <c r="CE17" s="25">
        <f>SUMPRODUCT($H$76:AY$76,$H17:AY17)</f>
        <v>4</v>
      </c>
    </row>
    <row r="18" spans="1:83">
      <c r="A18" s="16"/>
      <c r="B18" s="16" t="s">
        <v>123</v>
      </c>
      <c r="C18" s="16" t="s">
        <v>159</v>
      </c>
      <c r="D18" s="17" t="s">
        <v>172</v>
      </c>
      <c r="E18" s="178" t="s">
        <v>142</v>
      </c>
      <c r="F18" s="18" t="s">
        <v>116</v>
      </c>
      <c r="G18" s="19" t="str">
        <f t="shared" ca="1" si="0"/>
        <v>Complete</v>
      </c>
      <c r="H18" s="20">
        <v>1</v>
      </c>
      <c r="I18" s="21">
        <v>2</v>
      </c>
      <c r="J18" s="22">
        <v>2</v>
      </c>
      <c r="K18" s="22">
        <f t="shared" si="24"/>
        <v>0</v>
      </c>
      <c r="L18" s="23" t="str">
        <f>IF(SUMPRODUCT($J$76:K$76,$J18:K18)&lt;0.5, "Pending", IF(K18&lt;0.5, "Complete", "In Progress"))</f>
        <v>Complete</v>
      </c>
      <c r="M18" s="22">
        <v>0</v>
      </c>
      <c r="N18" s="22">
        <f t="shared" si="25"/>
        <v>0</v>
      </c>
      <c r="O18" s="23" t="str">
        <f>IF(SUMPRODUCT($J$76:N$76,$J18:N18)&lt;0.5, "Pending", IF(N18&lt;0.5, "Complete", "In Progress"))</f>
        <v>Complete</v>
      </c>
      <c r="P18" s="22">
        <v>0</v>
      </c>
      <c r="Q18" s="22">
        <f t="shared" si="26"/>
        <v>0</v>
      </c>
      <c r="R18" s="23" t="str">
        <f>IF(SUMPRODUCT($J$76:Q$76,$J18:Q18)&lt;0.5, "Pending", IF(Q18&lt;0.5, "Complete", "In Progress"))</f>
        <v>Complete</v>
      </c>
      <c r="S18" s="22">
        <v>0</v>
      </c>
      <c r="T18" s="22">
        <f t="shared" si="27"/>
        <v>0</v>
      </c>
      <c r="U18" s="23" t="str">
        <f>IF(SUMPRODUCT($J$76:T$76,$J18:T18)&lt;0.5, "Pending", IF(T18&lt;0.5, "Complete", "In Progress"))</f>
        <v>Complete</v>
      </c>
      <c r="V18" s="22">
        <v>0</v>
      </c>
      <c r="W18" s="22">
        <f t="shared" si="28"/>
        <v>0</v>
      </c>
      <c r="X18" s="23" t="str">
        <f>IF(SUMPRODUCT($J$76:W$76,$J18:W18)&lt;0.5, "Pending", IF(W18&lt;0.5, "Complete", "In Progress"))</f>
        <v>Complete</v>
      </c>
      <c r="Y18" s="22">
        <v>0</v>
      </c>
      <c r="Z18" s="22">
        <f t="shared" si="29"/>
        <v>0</v>
      </c>
      <c r="AA18" s="23" t="str">
        <f>IF(SUMPRODUCT($J$76:Z$76,$J18:Z18)&lt;0.5, "Pending", IF(Z18&lt;0.5, "Complete", "In Progress"))</f>
        <v>Complete</v>
      </c>
      <c r="AB18" s="22">
        <v>0</v>
      </c>
      <c r="AC18" s="22">
        <f t="shared" si="30"/>
        <v>0</v>
      </c>
      <c r="AD18" s="23" t="str">
        <f>IF(SUMPRODUCT($J$76:AC$76,$J18:AC18)&lt;0.5, "Pending", IF(AC18&lt;0.5, "Complete", "In Progress"))</f>
        <v>Complete</v>
      </c>
      <c r="AE18" s="22">
        <v>0</v>
      </c>
      <c r="AF18" s="22">
        <f t="shared" si="31"/>
        <v>0</v>
      </c>
      <c r="AG18" s="23" t="str">
        <f>IF(SUMPRODUCT($J$76:AF$76,$J18:AF18)&lt;0.5, "Pending", IF(AF18&lt;0.5, "Complete", "In Progress"))</f>
        <v>Complete</v>
      </c>
      <c r="AH18" s="22">
        <v>0</v>
      </c>
      <c r="AI18" s="22">
        <f t="shared" si="32"/>
        <v>0</v>
      </c>
      <c r="AJ18" s="23" t="str">
        <f>IF(SUMPRODUCT($J$76:AI$76,$J18:AI18)&lt;0.5, "Pending", IF(AI18&lt;0.5, "Complete", "In Progress"))</f>
        <v>Complete</v>
      </c>
      <c r="AK18" s="22">
        <v>0</v>
      </c>
      <c r="AL18" s="22">
        <f t="shared" si="33"/>
        <v>0</v>
      </c>
      <c r="AM18" s="23" t="str">
        <f>IF(SUMPRODUCT($J$76:AL$76,$J18:AL18)&lt;0.5, "Pending", IF(AL18&lt;0.5, "Complete", "In Progress"))</f>
        <v>Complete</v>
      </c>
      <c r="AN18" s="22">
        <v>0</v>
      </c>
      <c r="AO18" s="22">
        <f t="shared" si="34"/>
        <v>0</v>
      </c>
      <c r="AP18" s="23" t="str">
        <f>IF(SUMPRODUCT($J$76:AO$76,$J18:AO18)&lt;0.5, "Pending", IF(AO18&lt;0.5, "Complete", "In Progress"))</f>
        <v>Complete</v>
      </c>
      <c r="AQ18" s="22">
        <v>0</v>
      </c>
      <c r="AR18" s="22">
        <f t="shared" si="35"/>
        <v>0</v>
      </c>
      <c r="AS18" s="23" t="str">
        <f>IF(SUMPRODUCT($J$76:AR$76,$J18:AR18)&lt;0.5, "Pending", IF(AR18&lt;0.5, "Complete", "In Progress"))</f>
        <v>Complete</v>
      </c>
      <c r="AT18" s="22">
        <v>0</v>
      </c>
      <c r="AU18" s="22">
        <f t="shared" si="36"/>
        <v>0</v>
      </c>
      <c r="AV18" s="23" t="str">
        <f>IF(SUMPRODUCT($J$76:AU$76,$J18:AU18)&lt;0.5, "Pending", IF(AU18&lt;0.5, "Complete", "In Progress"))</f>
        <v>Complete</v>
      </c>
      <c r="AW18" s="22">
        <v>0</v>
      </c>
      <c r="AX18" s="22">
        <f t="shared" si="37"/>
        <v>0</v>
      </c>
      <c r="AY18" s="23" t="str">
        <f>IF(SUMPRODUCT($J$76:AX$76,$J18:AX18)&lt;0.5, "Pending", IF(AX18&lt;0.5, "Complete", "In Progress"))</f>
        <v>Complete</v>
      </c>
      <c r="AZ18" s="22">
        <v>0</v>
      </c>
      <c r="BA18" s="22" t="e">
        <f>MAX(#REF!-AZ18,0)</f>
        <v>#REF!</v>
      </c>
      <c r="BB18" s="23" t="e">
        <f>IF(SUMPRODUCT($J$76:BA$76,$J18:BA18)&lt;0.5, "Pending", IF(BA18&lt;0.5, "Complete", "In Progress"))</f>
        <v>#REF!</v>
      </c>
      <c r="BC18" s="22">
        <v>0</v>
      </c>
      <c r="BD18" s="22" t="e">
        <f t="shared" si="38"/>
        <v>#REF!</v>
      </c>
      <c r="BE18" s="23" t="e">
        <f>IF(SUMPRODUCT($J$76:BD$76,$J18:BD18)&lt;0.5, "Pending", IF(BD18&lt;0.5, "Complete", "In Progress"))</f>
        <v>#REF!</v>
      </c>
      <c r="BF18" s="22">
        <v>0</v>
      </c>
      <c r="BG18" s="22" t="e">
        <f t="shared" si="39"/>
        <v>#REF!</v>
      </c>
      <c r="BH18" s="23" t="e">
        <f>IF(SUMPRODUCT($J$76:BG$76,$J18:BG18)&lt;0.5, "Pending", IF(BG18&lt;0.5, "Complete", "In Progress"))</f>
        <v>#REF!</v>
      </c>
      <c r="BI18" s="22">
        <v>0</v>
      </c>
      <c r="BJ18" s="22" t="e">
        <f t="shared" si="40"/>
        <v>#REF!</v>
      </c>
      <c r="BK18" s="23" t="e">
        <f>IF(SUMPRODUCT($J$76:BJ$76,$J18:BJ18)&lt;0.5, "Pending", IF(BJ18&lt;0.5, "Complete", "In Progress"))</f>
        <v>#REF!</v>
      </c>
      <c r="BL18" s="22">
        <v>0</v>
      </c>
      <c r="BM18" s="22" t="e">
        <f t="shared" si="41"/>
        <v>#REF!</v>
      </c>
      <c r="BN18" s="23" t="e">
        <f>IF(SUMPRODUCT($J$76:BM$76,$J18:BM18)&lt;0.5, "Pending", IF(BM18&lt;0.5, "Complete", "In Progress"))</f>
        <v>#REF!</v>
      </c>
      <c r="BO18" s="22">
        <v>0</v>
      </c>
      <c r="BP18" s="22" t="e">
        <f t="shared" si="42"/>
        <v>#REF!</v>
      </c>
      <c r="BQ18" s="23" t="e">
        <f>IF(SUMPRODUCT($J$76:BP$76,$J18:BP18)&lt;0.5, "Pending", IF(BP18&lt;0.5, "Complete", "In Progress"))</f>
        <v>#REF!</v>
      </c>
      <c r="BR18" s="22">
        <v>0</v>
      </c>
      <c r="BS18" s="22" t="e">
        <f t="shared" si="43"/>
        <v>#REF!</v>
      </c>
      <c r="BT18" s="23" t="e">
        <f>IF(SUMPRODUCT($J$76:BS$76,$J18:BS18)&lt;0.5, "Pending", IF(BS18&lt;0.5, "Complete", "In Progress"))</f>
        <v>#REF!</v>
      </c>
      <c r="BU18" s="22">
        <v>0</v>
      </c>
      <c r="BV18" s="22" t="e">
        <f t="shared" si="44"/>
        <v>#REF!</v>
      </c>
      <c r="BW18" s="23" t="e">
        <f>IF(SUMPRODUCT($J$76:BV$76,$J18:BV18)&lt;0.5, "Pending", IF(BV18&lt;0.5, "Complete", "In Progress"))</f>
        <v>#REF!</v>
      </c>
      <c r="BX18" s="22">
        <v>0</v>
      </c>
      <c r="BY18" s="22" t="e">
        <f t="shared" si="45"/>
        <v>#REF!</v>
      </c>
      <c r="BZ18" s="23" t="e">
        <f>IF(SUMPRODUCT($J$76:BY$76,$J18:BY18)&lt;0.5, "Pending", IF(BY18&lt;0.5, "Complete", "In Progress"))</f>
        <v>#REF!</v>
      </c>
      <c r="CA18" s="22">
        <v>0</v>
      </c>
      <c r="CB18" s="22" t="e">
        <f t="shared" si="46"/>
        <v>#REF!</v>
      </c>
      <c r="CC18" s="23" t="e">
        <f>IF(SUMPRODUCT($J$76:CB$76,$J18:CB18)&lt;0.5, "Pending", IF(CB18&lt;0.5, "Complete", "In Progress"))</f>
        <v>#REF!</v>
      </c>
      <c r="CD18" s="24"/>
      <c r="CE18" s="25">
        <f>SUMPRODUCT($H$76:AY$76,$H18:AY18)</f>
        <v>2</v>
      </c>
    </row>
    <row r="19" spans="1:83">
      <c r="A19" s="16"/>
      <c r="B19" s="16" t="s">
        <v>126</v>
      </c>
      <c r="C19" s="16" t="s">
        <v>159</v>
      </c>
      <c r="D19" s="17" t="s">
        <v>177</v>
      </c>
      <c r="E19" s="178" t="s">
        <v>143</v>
      </c>
      <c r="F19" s="18" t="s">
        <v>115</v>
      </c>
      <c r="G19" s="19" t="str">
        <f t="shared" ca="1" si="0"/>
        <v>Complete</v>
      </c>
      <c r="H19" s="20">
        <v>1</v>
      </c>
      <c r="I19" s="21">
        <v>2</v>
      </c>
      <c r="J19" s="22">
        <v>2</v>
      </c>
      <c r="K19" s="22">
        <f t="shared" ref="K19" si="93">MAX(I19-J19, 0)</f>
        <v>0</v>
      </c>
      <c r="L19" s="23" t="str">
        <f>IF(SUMPRODUCT($J$76:K$76,$J19:K19)&lt;0.5, "Pending", IF(K19&lt;0.5, "Complete", "In Progress"))</f>
        <v>Complete</v>
      </c>
      <c r="M19" s="22">
        <v>0</v>
      </c>
      <c r="N19" s="22">
        <f t="shared" ref="N19" si="94">MAX(K19-M19,0)</f>
        <v>0</v>
      </c>
      <c r="O19" s="23" t="str">
        <f>IF(SUMPRODUCT($J$76:N$76,$J19:N19)&lt;0.5, "Pending", IF(N19&lt;0.5, "Complete", "In Progress"))</f>
        <v>Complete</v>
      </c>
      <c r="P19" s="22">
        <v>0</v>
      </c>
      <c r="Q19" s="22">
        <f t="shared" ref="Q19" si="95">MAX(N19-P19,0)</f>
        <v>0</v>
      </c>
      <c r="R19" s="23" t="str">
        <f>IF(SUMPRODUCT($J$76:Q$76,$J19:Q19)&lt;0.5, "Pending", IF(Q19&lt;0.5, "Complete", "In Progress"))</f>
        <v>Complete</v>
      </c>
      <c r="S19" s="22">
        <v>0</v>
      </c>
      <c r="T19" s="22">
        <f t="shared" ref="T19" si="96">MAX(Q19-S19,0)</f>
        <v>0</v>
      </c>
      <c r="U19" s="23" t="str">
        <f>IF(SUMPRODUCT($J$76:T$76,$J19:T19)&lt;0.5, "Pending", IF(T19&lt;0.5, "Complete", "In Progress"))</f>
        <v>Complete</v>
      </c>
      <c r="V19" s="22">
        <v>0</v>
      </c>
      <c r="W19" s="22">
        <f t="shared" ref="W19" si="97">MAX(T19-V19,0)</f>
        <v>0</v>
      </c>
      <c r="X19" s="23" t="str">
        <f>IF(SUMPRODUCT($J$76:W$76,$J19:W19)&lt;0.5, "Pending", IF(W19&lt;0.5, "Complete", "In Progress"))</f>
        <v>Complete</v>
      </c>
      <c r="Y19" s="22">
        <v>0</v>
      </c>
      <c r="Z19" s="22">
        <f t="shared" ref="Z19" si="98">MAX(W19-Y19,0)</f>
        <v>0</v>
      </c>
      <c r="AA19" s="23" t="str">
        <f>IF(SUMPRODUCT($J$76:Z$76,$J19:Z19)&lt;0.5, "Pending", IF(Z19&lt;0.5, "Complete", "In Progress"))</f>
        <v>Complete</v>
      </c>
      <c r="AB19" s="22">
        <v>0</v>
      </c>
      <c r="AC19" s="22">
        <f t="shared" ref="AC19" si="99">MAX(Z19-AB19,0)</f>
        <v>0</v>
      </c>
      <c r="AD19" s="23" t="str">
        <f>IF(SUMPRODUCT($J$76:AC$76,$J19:AC19)&lt;0.5, "Pending", IF(AC19&lt;0.5, "Complete", "In Progress"))</f>
        <v>Complete</v>
      </c>
      <c r="AE19" s="22">
        <v>0</v>
      </c>
      <c r="AF19" s="22">
        <f t="shared" ref="AF19" si="100">MAX(AC19-AE19,0)</f>
        <v>0</v>
      </c>
      <c r="AG19" s="23" t="str">
        <f>IF(SUMPRODUCT($J$76:AF$76,$J19:AF19)&lt;0.5, "Pending", IF(AF19&lt;0.5, "Complete", "In Progress"))</f>
        <v>Complete</v>
      </c>
      <c r="AH19" s="22">
        <v>0</v>
      </c>
      <c r="AI19" s="22">
        <f t="shared" ref="AI19" si="101">MAX(AF19-AH19,0)</f>
        <v>0</v>
      </c>
      <c r="AJ19" s="23" t="str">
        <f>IF(SUMPRODUCT($J$76:AI$76,$J19:AI19)&lt;0.5, "Pending", IF(AI19&lt;0.5, "Complete", "In Progress"))</f>
        <v>Complete</v>
      </c>
      <c r="AK19" s="22">
        <v>0</v>
      </c>
      <c r="AL19" s="22">
        <f t="shared" ref="AL19" si="102">MAX(AI19-AK19,0)</f>
        <v>0</v>
      </c>
      <c r="AM19" s="23" t="str">
        <f>IF(SUMPRODUCT($J$76:AL$76,$J19:AL19)&lt;0.5, "Pending", IF(AL19&lt;0.5, "Complete", "In Progress"))</f>
        <v>Complete</v>
      </c>
      <c r="AN19" s="22">
        <v>0</v>
      </c>
      <c r="AO19" s="22">
        <f t="shared" ref="AO19" si="103">MAX(AL19-AN19,0)</f>
        <v>0</v>
      </c>
      <c r="AP19" s="23" t="str">
        <f>IF(SUMPRODUCT($J$76:AO$76,$J19:AO19)&lt;0.5, "Pending", IF(AO19&lt;0.5, "Complete", "In Progress"))</f>
        <v>Complete</v>
      </c>
      <c r="AQ19" s="22">
        <v>0</v>
      </c>
      <c r="AR19" s="22">
        <f t="shared" ref="AR19" si="104">MAX(AO19-AQ19,0)</f>
        <v>0</v>
      </c>
      <c r="AS19" s="23" t="str">
        <f>IF(SUMPRODUCT($J$76:AR$76,$J19:AR19)&lt;0.5, "Pending", IF(AR19&lt;0.5, "Complete", "In Progress"))</f>
        <v>Complete</v>
      </c>
      <c r="AT19" s="22">
        <v>0</v>
      </c>
      <c r="AU19" s="22">
        <f t="shared" ref="AU19" si="105">MAX(AR19-AT19,0)</f>
        <v>0</v>
      </c>
      <c r="AV19" s="23" t="str">
        <f>IF(SUMPRODUCT($J$76:AU$76,$J19:AU19)&lt;0.5, "Pending", IF(AU19&lt;0.5, "Complete", "In Progress"))</f>
        <v>Complete</v>
      </c>
      <c r="AW19" s="22">
        <v>0</v>
      </c>
      <c r="AX19" s="22">
        <f t="shared" ref="AX19" si="106">MAX(AU19-AW19,0)</f>
        <v>0</v>
      </c>
      <c r="AY19" s="23" t="str">
        <f>IF(SUMPRODUCT($J$76:AX$76,$J19:AX19)&lt;0.5, "Pending", IF(AX19&lt;0.5, "Complete", "In Progress"))</f>
        <v>Complete</v>
      </c>
      <c r="AZ19" s="22">
        <v>0</v>
      </c>
      <c r="BA19" s="22" t="e">
        <f>MAX(#REF!-AZ19,0)</f>
        <v>#REF!</v>
      </c>
      <c r="BB19" s="23" t="e">
        <f>IF(SUMPRODUCT($J$76:BA$76,$J19:BA19)&lt;0.5, "Pending", IF(BA19&lt;0.5, "Complete", "In Progress"))</f>
        <v>#REF!</v>
      </c>
      <c r="BC19" s="22">
        <v>0</v>
      </c>
      <c r="BD19" s="22" t="e">
        <f t="shared" ref="BD19" si="107">MAX(BA19-BC19,0)</f>
        <v>#REF!</v>
      </c>
      <c r="BE19" s="23" t="e">
        <f>IF(SUMPRODUCT($J$76:BD$76,$J19:BD19)&lt;0.5, "Pending", IF(BD19&lt;0.5, "Complete", "In Progress"))</f>
        <v>#REF!</v>
      </c>
      <c r="BF19" s="22">
        <v>0</v>
      </c>
      <c r="BG19" s="22" t="e">
        <f t="shared" ref="BG19" si="108">MAX(BD19-BF19,0)</f>
        <v>#REF!</v>
      </c>
      <c r="BH19" s="23" t="e">
        <f>IF(SUMPRODUCT($J$76:BG$76,$J19:BG19)&lt;0.5, "Pending", IF(BG19&lt;0.5, "Complete", "In Progress"))</f>
        <v>#REF!</v>
      </c>
      <c r="BI19" s="22">
        <v>0</v>
      </c>
      <c r="BJ19" s="22" t="e">
        <f t="shared" ref="BJ19" si="109">MAX(BG19-BI19,0)</f>
        <v>#REF!</v>
      </c>
      <c r="BK19" s="23" t="e">
        <f>IF(SUMPRODUCT($J$76:BJ$76,$J19:BJ19)&lt;0.5, "Pending", IF(BJ19&lt;0.5, "Complete", "In Progress"))</f>
        <v>#REF!</v>
      </c>
      <c r="BL19" s="22">
        <v>0</v>
      </c>
      <c r="BM19" s="22" t="e">
        <f t="shared" ref="BM19" si="110">MAX(BJ19-BL19,0)</f>
        <v>#REF!</v>
      </c>
      <c r="BN19" s="23" t="e">
        <f>IF(SUMPRODUCT($J$76:BM$76,$J19:BM19)&lt;0.5, "Pending", IF(BM19&lt;0.5, "Complete", "In Progress"))</f>
        <v>#REF!</v>
      </c>
      <c r="BO19" s="22">
        <v>0</v>
      </c>
      <c r="BP19" s="22" t="e">
        <f t="shared" ref="BP19" si="111">MAX(BM19-BO19,0)</f>
        <v>#REF!</v>
      </c>
      <c r="BQ19" s="23" t="e">
        <f>IF(SUMPRODUCT($J$76:BP$76,$J19:BP19)&lt;0.5, "Pending", IF(BP19&lt;0.5, "Complete", "In Progress"))</f>
        <v>#REF!</v>
      </c>
      <c r="BR19" s="22">
        <v>0</v>
      </c>
      <c r="BS19" s="22" t="e">
        <f t="shared" ref="BS19" si="112">MAX(BP19-BR19,0)</f>
        <v>#REF!</v>
      </c>
      <c r="BT19" s="23" t="e">
        <f>IF(SUMPRODUCT($J$76:BS$76,$J19:BS19)&lt;0.5, "Pending", IF(BS19&lt;0.5, "Complete", "In Progress"))</f>
        <v>#REF!</v>
      </c>
      <c r="BU19" s="22">
        <v>0</v>
      </c>
      <c r="BV19" s="22" t="e">
        <f t="shared" ref="BV19" si="113">MAX(BS19-BU19,0)</f>
        <v>#REF!</v>
      </c>
      <c r="BW19" s="23" t="e">
        <f>IF(SUMPRODUCT($J$76:BV$76,$J19:BV19)&lt;0.5, "Pending", IF(BV19&lt;0.5, "Complete", "In Progress"))</f>
        <v>#REF!</v>
      </c>
      <c r="BX19" s="22">
        <v>0</v>
      </c>
      <c r="BY19" s="22" t="e">
        <f t="shared" ref="BY19" si="114">MAX(BV19-BX19,0)</f>
        <v>#REF!</v>
      </c>
      <c r="BZ19" s="23" t="e">
        <f>IF(SUMPRODUCT($J$76:BY$76,$J19:BY19)&lt;0.5, "Pending", IF(BY19&lt;0.5, "Complete", "In Progress"))</f>
        <v>#REF!</v>
      </c>
      <c r="CA19" s="22">
        <v>0</v>
      </c>
      <c r="CB19" s="22" t="e">
        <f t="shared" ref="CB19" si="115">MAX(BY19-CA19,0)</f>
        <v>#REF!</v>
      </c>
      <c r="CC19" s="23" t="e">
        <f>IF(SUMPRODUCT($J$76:CB$76,$J19:CB19)&lt;0.5, "Pending", IF(CB19&lt;0.5, "Complete", "In Progress"))</f>
        <v>#REF!</v>
      </c>
      <c r="CD19" s="24"/>
      <c r="CE19" s="25">
        <f>SUMPRODUCT($H$76:AY$76,$H19:AY19)</f>
        <v>2</v>
      </c>
    </row>
    <row r="20" spans="1:83">
      <c r="A20" s="16"/>
      <c r="B20" s="16" t="s">
        <v>124</v>
      </c>
      <c r="C20" s="16" t="s">
        <v>159</v>
      </c>
      <c r="D20" s="17" t="s">
        <v>178</v>
      </c>
      <c r="E20" s="178" t="s">
        <v>162</v>
      </c>
      <c r="F20" s="18" t="s">
        <v>118</v>
      </c>
      <c r="G20" s="19" t="str">
        <f t="shared" ca="1" si="0"/>
        <v>Complete</v>
      </c>
      <c r="H20" s="20">
        <v>1</v>
      </c>
      <c r="I20" s="21">
        <v>14</v>
      </c>
      <c r="J20" s="22">
        <v>14</v>
      </c>
      <c r="K20" s="22">
        <f t="shared" si="24"/>
        <v>0</v>
      </c>
      <c r="L20" s="23" t="str">
        <f>IF(SUMPRODUCT($J$76:K$76,$J20:K20)&lt;0.5, "Pending", IF(K20&lt;0.5, "Complete", "In Progress"))</f>
        <v>Complete</v>
      </c>
      <c r="M20" s="22">
        <v>0</v>
      </c>
      <c r="N20" s="22">
        <f t="shared" si="25"/>
        <v>0</v>
      </c>
      <c r="O20" s="23" t="str">
        <f>IF(SUMPRODUCT($J$76:N$76,$J20:N20)&lt;0.5, "Pending", IF(N20&lt;0.5, "Complete", "In Progress"))</f>
        <v>Complete</v>
      </c>
      <c r="P20" s="22">
        <v>0</v>
      </c>
      <c r="Q20" s="22">
        <f t="shared" si="26"/>
        <v>0</v>
      </c>
      <c r="R20" s="23" t="str">
        <f>IF(SUMPRODUCT($J$76:Q$76,$J20:Q20)&lt;0.5, "Pending", IF(Q20&lt;0.5, "Complete", "In Progress"))</f>
        <v>Complete</v>
      </c>
      <c r="S20" s="22">
        <v>0</v>
      </c>
      <c r="T20" s="22">
        <f t="shared" si="27"/>
        <v>0</v>
      </c>
      <c r="U20" s="23" t="str">
        <f>IF(SUMPRODUCT($J$76:T$76,$J20:T20)&lt;0.5, "Pending", IF(T20&lt;0.5, "Complete", "In Progress"))</f>
        <v>Complete</v>
      </c>
      <c r="V20" s="22">
        <v>0</v>
      </c>
      <c r="W20" s="22">
        <f t="shared" si="28"/>
        <v>0</v>
      </c>
      <c r="X20" s="23" t="str">
        <f>IF(SUMPRODUCT($J$76:W$76,$J20:W20)&lt;0.5, "Pending", IF(W20&lt;0.5, "Complete", "In Progress"))</f>
        <v>Complete</v>
      </c>
      <c r="Y20" s="22">
        <v>0</v>
      </c>
      <c r="Z20" s="22">
        <f t="shared" si="29"/>
        <v>0</v>
      </c>
      <c r="AA20" s="23" t="str">
        <f>IF(SUMPRODUCT($J$76:Z$76,$J20:Z20)&lt;0.5, "Pending", IF(Z20&lt;0.5, "Complete", "In Progress"))</f>
        <v>Complete</v>
      </c>
      <c r="AB20" s="22">
        <v>0</v>
      </c>
      <c r="AC20" s="22">
        <f t="shared" si="30"/>
        <v>0</v>
      </c>
      <c r="AD20" s="23" t="str">
        <f>IF(SUMPRODUCT($J$76:AC$76,$J20:AC20)&lt;0.5, "Pending", IF(AC20&lt;0.5, "Complete", "In Progress"))</f>
        <v>Complete</v>
      </c>
      <c r="AE20" s="22">
        <v>0</v>
      </c>
      <c r="AF20" s="22">
        <f t="shared" si="31"/>
        <v>0</v>
      </c>
      <c r="AG20" s="23" t="str">
        <f>IF(SUMPRODUCT($J$76:AF$76,$J20:AF20)&lt;0.5, "Pending", IF(AF20&lt;0.5, "Complete", "In Progress"))</f>
        <v>Complete</v>
      </c>
      <c r="AH20" s="22">
        <v>0</v>
      </c>
      <c r="AI20" s="22">
        <f t="shared" si="32"/>
        <v>0</v>
      </c>
      <c r="AJ20" s="23" t="str">
        <f>IF(SUMPRODUCT($J$76:AI$76,$J20:AI20)&lt;0.5, "Pending", IF(AI20&lt;0.5, "Complete", "In Progress"))</f>
        <v>Complete</v>
      </c>
      <c r="AK20" s="22">
        <v>0</v>
      </c>
      <c r="AL20" s="22">
        <f t="shared" si="33"/>
        <v>0</v>
      </c>
      <c r="AM20" s="23" t="str">
        <f>IF(SUMPRODUCT($J$76:AL$76,$J20:AL20)&lt;0.5, "Pending", IF(AL20&lt;0.5, "Complete", "In Progress"))</f>
        <v>Complete</v>
      </c>
      <c r="AN20" s="22">
        <v>0</v>
      </c>
      <c r="AO20" s="22">
        <f t="shared" si="34"/>
        <v>0</v>
      </c>
      <c r="AP20" s="23" t="str">
        <f>IF(SUMPRODUCT($J$76:AO$76,$J20:AO20)&lt;0.5, "Pending", IF(AO20&lt;0.5, "Complete", "In Progress"))</f>
        <v>Complete</v>
      </c>
      <c r="AQ20" s="22">
        <v>0</v>
      </c>
      <c r="AR20" s="22">
        <f t="shared" si="35"/>
        <v>0</v>
      </c>
      <c r="AS20" s="23" t="str">
        <f>IF(SUMPRODUCT($J$76:AR$76,$J20:AR20)&lt;0.5, "Pending", IF(AR20&lt;0.5, "Complete", "In Progress"))</f>
        <v>Complete</v>
      </c>
      <c r="AT20" s="22">
        <v>0</v>
      </c>
      <c r="AU20" s="22">
        <f t="shared" si="36"/>
        <v>0</v>
      </c>
      <c r="AV20" s="23" t="str">
        <f>IF(SUMPRODUCT($J$76:AU$76,$J20:AU20)&lt;0.5, "Pending", IF(AU20&lt;0.5, "Complete", "In Progress"))</f>
        <v>Complete</v>
      </c>
      <c r="AW20" s="22">
        <v>0</v>
      </c>
      <c r="AX20" s="22">
        <f t="shared" si="37"/>
        <v>0</v>
      </c>
      <c r="AY20" s="23" t="str">
        <f>IF(SUMPRODUCT($J$76:AX$76,$J20:AX20)&lt;0.5, "Pending", IF(AX20&lt;0.5, "Complete", "In Progress"))</f>
        <v>Complete</v>
      </c>
      <c r="AZ20" s="22">
        <v>0</v>
      </c>
      <c r="BA20" s="22" t="e">
        <f>MAX(#REF!-AZ20,0)</f>
        <v>#REF!</v>
      </c>
      <c r="BB20" s="23" t="e">
        <f>IF(SUMPRODUCT($J$76:BA$76,$J20:BA20)&lt;0.5, "Pending", IF(BA20&lt;0.5, "Complete", "In Progress"))</f>
        <v>#REF!</v>
      </c>
      <c r="BC20" s="22">
        <v>0</v>
      </c>
      <c r="BD20" s="22" t="e">
        <f t="shared" si="38"/>
        <v>#REF!</v>
      </c>
      <c r="BE20" s="23" t="e">
        <f>IF(SUMPRODUCT($J$76:BD$76,$J20:BD20)&lt;0.5, "Pending", IF(BD20&lt;0.5, "Complete", "In Progress"))</f>
        <v>#REF!</v>
      </c>
      <c r="BF20" s="22">
        <v>0</v>
      </c>
      <c r="BG20" s="22" t="e">
        <f t="shared" si="39"/>
        <v>#REF!</v>
      </c>
      <c r="BH20" s="23" t="e">
        <f>IF(SUMPRODUCT($J$76:BG$76,$J20:BG20)&lt;0.5, "Pending", IF(BG20&lt;0.5, "Complete", "In Progress"))</f>
        <v>#REF!</v>
      </c>
      <c r="BI20" s="22">
        <v>0</v>
      </c>
      <c r="BJ20" s="22" t="e">
        <f t="shared" si="40"/>
        <v>#REF!</v>
      </c>
      <c r="BK20" s="23" t="e">
        <f>IF(SUMPRODUCT($J$76:BJ$76,$J20:BJ20)&lt;0.5, "Pending", IF(BJ20&lt;0.5, "Complete", "In Progress"))</f>
        <v>#REF!</v>
      </c>
      <c r="BL20" s="22">
        <v>0</v>
      </c>
      <c r="BM20" s="22" t="e">
        <f t="shared" si="41"/>
        <v>#REF!</v>
      </c>
      <c r="BN20" s="23" t="e">
        <f>IF(SUMPRODUCT($J$76:BM$76,$J20:BM20)&lt;0.5, "Pending", IF(BM20&lt;0.5, "Complete", "In Progress"))</f>
        <v>#REF!</v>
      </c>
      <c r="BO20" s="22">
        <v>0</v>
      </c>
      <c r="BP20" s="22" t="e">
        <f t="shared" si="42"/>
        <v>#REF!</v>
      </c>
      <c r="BQ20" s="23" t="e">
        <f>IF(SUMPRODUCT($J$76:BP$76,$J20:BP20)&lt;0.5, "Pending", IF(BP20&lt;0.5, "Complete", "In Progress"))</f>
        <v>#REF!</v>
      </c>
      <c r="BR20" s="22">
        <v>0</v>
      </c>
      <c r="BS20" s="22" t="e">
        <f t="shared" si="43"/>
        <v>#REF!</v>
      </c>
      <c r="BT20" s="23" t="e">
        <f>IF(SUMPRODUCT($J$76:BS$76,$J20:BS20)&lt;0.5, "Pending", IF(BS20&lt;0.5, "Complete", "In Progress"))</f>
        <v>#REF!</v>
      </c>
      <c r="BU20" s="22">
        <v>0</v>
      </c>
      <c r="BV20" s="22" t="e">
        <f t="shared" si="44"/>
        <v>#REF!</v>
      </c>
      <c r="BW20" s="23" t="e">
        <f>IF(SUMPRODUCT($J$76:BV$76,$J20:BV20)&lt;0.5, "Pending", IF(BV20&lt;0.5, "Complete", "In Progress"))</f>
        <v>#REF!</v>
      </c>
      <c r="BX20" s="22">
        <v>0</v>
      </c>
      <c r="BY20" s="22" t="e">
        <f t="shared" si="45"/>
        <v>#REF!</v>
      </c>
      <c r="BZ20" s="23" t="e">
        <f>IF(SUMPRODUCT($J$76:BY$76,$J20:BY20)&lt;0.5, "Pending", IF(BY20&lt;0.5, "Complete", "In Progress"))</f>
        <v>#REF!</v>
      </c>
      <c r="CA20" s="22">
        <v>0</v>
      </c>
      <c r="CB20" s="22" t="e">
        <f t="shared" si="46"/>
        <v>#REF!</v>
      </c>
      <c r="CC20" s="23" t="e">
        <f>IF(SUMPRODUCT($J$76:CB$76,$J20:CB20)&lt;0.5, "Pending", IF(CB20&lt;0.5, "Complete", "In Progress"))</f>
        <v>#REF!</v>
      </c>
      <c r="CD20" s="24"/>
      <c r="CE20" s="25">
        <f>SUMPRODUCT($H$76:AY$76,$H20:AY20)</f>
        <v>14</v>
      </c>
    </row>
    <row r="21" spans="1:83">
      <c r="A21" s="16"/>
      <c r="B21" s="16" t="s">
        <v>123</v>
      </c>
      <c r="C21" s="16" t="s">
        <v>159</v>
      </c>
      <c r="D21" s="17" t="s">
        <v>167</v>
      </c>
      <c r="E21" s="178" t="s">
        <v>140</v>
      </c>
      <c r="F21" s="18" t="s">
        <v>116</v>
      </c>
      <c r="G21" s="19" t="str">
        <f t="shared" ca="1" si="0"/>
        <v>Pending</v>
      </c>
      <c r="H21" s="20">
        <v>1</v>
      </c>
      <c r="I21" s="21">
        <v>1</v>
      </c>
      <c r="J21" s="22">
        <v>0</v>
      </c>
      <c r="K21" s="22">
        <f t="shared" ref="K21:K22" si="116">MAX(I21-J21, 0)</f>
        <v>1</v>
      </c>
      <c r="L21" s="23" t="str">
        <f>IF(SUMPRODUCT($J$76:K$76,$J21:K21)&lt;0.5, "Pending", IF(K21&lt;0.5, "Complete", "In Progress"))</f>
        <v>Pending</v>
      </c>
      <c r="M21" s="22">
        <v>0</v>
      </c>
      <c r="N21" s="22">
        <f t="shared" ref="N21:N22" si="117">MAX(K21-M21,0)</f>
        <v>1</v>
      </c>
      <c r="O21" s="23" t="str">
        <f>IF(SUMPRODUCT($J$76:N$76,$J21:N21)&lt;0.5, "Pending", IF(N21&lt;0.5, "Complete", "In Progress"))</f>
        <v>Pending</v>
      </c>
      <c r="P21" s="22">
        <v>0</v>
      </c>
      <c r="Q21" s="22">
        <f t="shared" ref="Q21:Q22" si="118">MAX(N21-P21,0)</f>
        <v>1</v>
      </c>
      <c r="R21" s="23" t="str">
        <f>IF(SUMPRODUCT($J$76:Q$76,$J21:Q21)&lt;0.5, "Pending", IF(Q21&lt;0.5, "Complete", "In Progress"))</f>
        <v>Pending</v>
      </c>
      <c r="S21" s="22">
        <v>0</v>
      </c>
      <c r="T21" s="22">
        <f t="shared" ref="T21:T22" si="119">MAX(Q21-S21,0)</f>
        <v>1</v>
      </c>
      <c r="U21" s="23" t="str">
        <f>IF(SUMPRODUCT($J$76:T$76,$J21:T21)&lt;0.5, "Pending", IF(T21&lt;0.5, "Complete", "In Progress"))</f>
        <v>Pending</v>
      </c>
      <c r="V21" s="22">
        <v>0</v>
      </c>
      <c r="W21" s="22">
        <f t="shared" ref="W21:W22" si="120">MAX(T21-V21,0)</f>
        <v>1</v>
      </c>
      <c r="X21" s="23" t="str">
        <f>IF(SUMPRODUCT($J$76:W$76,$J21:W21)&lt;0.5, "Pending", IF(W21&lt;0.5, "Complete", "In Progress"))</f>
        <v>Pending</v>
      </c>
      <c r="Y21" s="22">
        <v>0</v>
      </c>
      <c r="Z21" s="22">
        <f t="shared" ref="Z21:Z22" si="121">MAX(W21-Y21,0)</f>
        <v>1</v>
      </c>
      <c r="AA21" s="23" t="str">
        <f>IF(SUMPRODUCT($J$76:Z$76,$J21:Z21)&lt;0.5, "Pending", IF(Z21&lt;0.5, "Complete", "In Progress"))</f>
        <v>Pending</v>
      </c>
      <c r="AB21" s="22">
        <v>0</v>
      </c>
      <c r="AC21" s="22">
        <f t="shared" ref="AC21:AC22" si="122">MAX(Z21-AB21,0)</f>
        <v>1</v>
      </c>
      <c r="AD21" s="23" t="str">
        <f>IF(SUMPRODUCT($J$76:AC$76,$J21:AC21)&lt;0.5, "Pending", IF(AC21&lt;0.5, "Complete", "In Progress"))</f>
        <v>Pending</v>
      </c>
      <c r="AE21" s="22">
        <v>0</v>
      </c>
      <c r="AF21" s="22">
        <f t="shared" ref="AF21:AF22" si="123">MAX(AC21-AE21,0)</f>
        <v>1</v>
      </c>
      <c r="AG21" s="23" t="str">
        <f>IF(SUMPRODUCT($J$76:AF$76,$J21:AF21)&lt;0.5, "Pending", IF(AF21&lt;0.5, "Complete", "In Progress"))</f>
        <v>Pending</v>
      </c>
      <c r="AH21" s="22">
        <v>0</v>
      </c>
      <c r="AI21" s="22">
        <f t="shared" ref="AI21:AI22" si="124">MAX(AF21-AH21,0)</f>
        <v>1</v>
      </c>
      <c r="AJ21" s="23" t="str">
        <f>IF(SUMPRODUCT($J$76:AI$76,$J21:AI21)&lt;0.5, "Pending", IF(AI21&lt;0.5, "Complete", "In Progress"))</f>
        <v>Pending</v>
      </c>
      <c r="AK21" s="22">
        <v>0</v>
      </c>
      <c r="AL21" s="22">
        <f t="shared" ref="AL21:AL22" si="125">MAX(AI21-AK21,0)</f>
        <v>1</v>
      </c>
      <c r="AM21" s="23" t="str">
        <f>IF(SUMPRODUCT($J$76:AL$76,$J21:AL21)&lt;0.5, "Pending", IF(AL21&lt;0.5, "Complete", "In Progress"))</f>
        <v>Pending</v>
      </c>
      <c r="AN21" s="22">
        <v>0</v>
      </c>
      <c r="AO21" s="22">
        <f t="shared" ref="AO21:AO22" si="126">MAX(AL21-AN21,0)</f>
        <v>1</v>
      </c>
      <c r="AP21" s="23" t="str">
        <f>IF(SUMPRODUCT($J$76:AO$76,$J21:AO21)&lt;0.5, "Pending", IF(AO21&lt;0.5, "Complete", "In Progress"))</f>
        <v>Pending</v>
      </c>
      <c r="AQ21" s="22">
        <v>0</v>
      </c>
      <c r="AR21" s="22">
        <f t="shared" ref="AR21:AR22" si="127">MAX(AO21-AQ21,0)</f>
        <v>1</v>
      </c>
      <c r="AS21" s="23" t="str">
        <f>IF(SUMPRODUCT($J$76:AR$76,$J21:AR21)&lt;0.5, "Pending", IF(AR21&lt;0.5, "Complete", "In Progress"))</f>
        <v>Pending</v>
      </c>
      <c r="AT21" s="22">
        <v>0</v>
      </c>
      <c r="AU21" s="22">
        <f t="shared" ref="AU21:AU22" si="128">MAX(AR21-AT21,0)</f>
        <v>1</v>
      </c>
      <c r="AV21" s="23" t="str">
        <f>IF(SUMPRODUCT($J$76:AU$76,$J21:AU21)&lt;0.5, "Pending", IF(AU21&lt;0.5, "Complete", "In Progress"))</f>
        <v>Pending</v>
      </c>
      <c r="AW21" s="22">
        <v>0</v>
      </c>
      <c r="AX21" s="22">
        <f t="shared" ref="AX21:AX22" si="129">MAX(AU21-AW21,0)</f>
        <v>1</v>
      </c>
      <c r="AY21" s="23" t="str">
        <f>IF(SUMPRODUCT($J$76:AX$76,$J21:AX21)&lt;0.5, "Pending", IF(AX21&lt;0.5, "Complete", "In Progress"))</f>
        <v>Pending</v>
      </c>
      <c r="AZ21" s="22">
        <v>0</v>
      </c>
      <c r="BA21" s="22" t="e">
        <f>MAX(#REF!-AZ21,0)</f>
        <v>#REF!</v>
      </c>
      <c r="BB21" s="23" t="e">
        <f>IF(SUMPRODUCT($J$76:BA$76,$J21:BA21)&lt;0.5, "Pending", IF(BA21&lt;0.5, "Complete", "In Progress"))</f>
        <v>#REF!</v>
      </c>
      <c r="BC21" s="22">
        <v>0</v>
      </c>
      <c r="BD21" s="22" t="e">
        <f t="shared" ref="BD21:BD22" si="130">MAX(BA21-BC21,0)</f>
        <v>#REF!</v>
      </c>
      <c r="BE21" s="23" t="e">
        <f>IF(SUMPRODUCT($J$76:BD$76,$J21:BD21)&lt;0.5, "Pending", IF(BD21&lt;0.5, "Complete", "In Progress"))</f>
        <v>#REF!</v>
      </c>
      <c r="BF21" s="22">
        <v>0</v>
      </c>
      <c r="BG21" s="22" t="e">
        <f t="shared" ref="BG21:BG22" si="131">MAX(BD21-BF21,0)</f>
        <v>#REF!</v>
      </c>
      <c r="BH21" s="23" t="e">
        <f>IF(SUMPRODUCT($J$76:BG$76,$J21:BG21)&lt;0.5, "Pending", IF(BG21&lt;0.5, "Complete", "In Progress"))</f>
        <v>#REF!</v>
      </c>
      <c r="BI21" s="22">
        <v>0</v>
      </c>
      <c r="BJ21" s="22" t="e">
        <f t="shared" ref="BJ21:BJ22" si="132">MAX(BG21-BI21,0)</f>
        <v>#REF!</v>
      </c>
      <c r="BK21" s="23" t="e">
        <f>IF(SUMPRODUCT($J$76:BJ$76,$J21:BJ21)&lt;0.5, "Pending", IF(BJ21&lt;0.5, "Complete", "In Progress"))</f>
        <v>#REF!</v>
      </c>
      <c r="BL21" s="22">
        <v>0</v>
      </c>
      <c r="BM21" s="22" t="e">
        <f t="shared" ref="BM21:BM22" si="133">MAX(BJ21-BL21,0)</f>
        <v>#REF!</v>
      </c>
      <c r="BN21" s="23" t="e">
        <f>IF(SUMPRODUCT($J$76:BM$76,$J21:BM21)&lt;0.5, "Pending", IF(BM21&lt;0.5, "Complete", "In Progress"))</f>
        <v>#REF!</v>
      </c>
      <c r="BO21" s="22">
        <v>0</v>
      </c>
      <c r="BP21" s="22" t="e">
        <f t="shared" ref="BP21:BP22" si="134">MAX(BM21-BO21,0)</f>
        <v>#REF!</v>
      </c>
      <c r="BQ21" s="23" t="e">
        <f>IF(SUMPRODUCT($J$76:BP$76,$J21:BP21)&lt;0.5, "Pending", IF(BP21&lt;0.5, "Complete", "In Progress"))</f>
        <v>#REF!</v>
      </c>
      <c r="BR21" s="22">
        <v>0</v>
      </c>
      <c r="BS21" s="22" t="e">
        <f t="shared" ref="BS21:BS22" si="135">MAX(BP21-BR21,0)</f>
        <v>#REF!</v>
      </c>
      <c r="BT21" s="23" t="e">
        <f>IF(SUMPRODUCT($J$76:BS$76,$J21:BS21)&lt;0.5, "Pending", IF(BS21&lt;0.5, "Complete", "In Progress"))</f>
        <v>#REF!</v>
      </c>
      <c r="BU21" s="22">
        <v>0</v>
      </c>
      <c r="BV21" s="22" t="e">
        <f t="shared" ref="BV21:BV22" si="136">MAX(BS21-BU21,0)</f>
        <v>#REF!</v>
      </c>
      <c r="BW21" s="23" t="e">
        <f>IF(SUMPRODUCT($J$76:BV$76,$J21:BV21)&lt;0.5, "Pending", IF(BV21&lt;0.5, "Complete", "In Progress"))</f>
        <v>#REF!</v>
      </c>
      <c r="BX21" s="22">
        <v>0</v>
      </c>
      <c r="BY21" s="22" t="e">
        <f t="shared" ref="BY21:BY22" si="137">MAX(BV21-BX21,0)</f>
        <v>#REF!</v>
      </c>
      <c r="BZ21" s="23" t="e">
        <f>IF(SUMPRODUCT($J$76:BY$76,$J21:BY21)&lt;0.5, "Pending", IF(BY21&lt;0.5, "Complete", "In Progress"))</f>
        <v>#REF!</v>
      </c>
      <c r="CA21" s="22">
        <v>0</v>
      </c>
      <c r="CB21" s="22" t="e">
        <f t="shared" ref="CB21:CB22" si="138">MAX(BY21-CA21,0)</f>
        <v>#REF!</v>
      </c>
      <c r="CC21" s="23" t="e">
        <f>IF(SUMPRODUCT($J$76:CB$76,$J21:CB21)&lt;0.5, "Pending", IF(CB21&lt;0.5, "Complete", "In Progress"))</f>
        <v>#REF!</v>
      </c>
      <c r="CD21" s="24"/>
      <c r="CE21" s="25">
        <f>SUMPRODUCT($H$76:AY$76,$H21:AY21)</f>
        <v>0</v>
      </c>
    </row>
    <row r="22" spans="1:83">
      <c r="A22" s="16"/>
      <c r="B22" s="16" t="s">
        <v>124</v>
      </c>
      <c r="C22" s="16" t="s">
        <v>166</v>
      </c>
      <c r="D22" s="17" t="s">
        <v>168</v>
      </c>
      <c r="E22" s="178" t="s">
        <v>179</v>
      </c>
      <c r="F22" s="18" t="s">
        <v>161</v>
      </c>
      <c r="G22" s="19" t="str">
        <f t="shared" ca="1" si="0"/>
        <v>Complete</v>
      </c>
      <c r="H22" s="20">
        <v>1</v>
      </c>
      <c r="I22" s="21">
        <v>4</v>
      </c>
      <c r="J22" s="22">
        <v>4</v>
      </c>
      <c r="K22" s="22">
        <f t="shared" si="116"/>
        <v>0</v>
      </c>
      <c r="L22" s="23" t="str">
        <f>IF(SUMPRODUCT($J$76:K$76,$J22:K22)&lt;0.5, "Pending", IF(K22&lt;0.5, "Complete", "In Progress"))</f>
        <v>Complete</v>
      </c>
      <c r="M22" s="22">
        <v>0</v>
      </c>
      <c r="N22" s="22">
        <f t="shared" si="117"/>
        <v>0</v>
      </c>
      <c r="O22" s="23" t="str">
        <f>IF(SUMPRODUCT($J$76:N$76,$J22:N22)&lt;0.5, "Pending", IF(N22&lt;0.5, "Complete", "In Progress"))</f>
        <v>Complete</v>
      </c>
      <c r="P22" s="22">
        <v>0</v>
      </c>
      <c r="Q22" s="22">
        <f t="shared" si="118"/>
        <v>0</v>
      </c>
      <c r="R22" s="23" t="str">
        <f>IF(SUMPRODUCT($J$76:Q$76,$J22:Q22)&lt;0.5, "Pending", IF(Q22&lt;0.5, "Complete", "In Progress"))</f>
        <v>Complete</v>
      </c>
      <c r="S22" s="22">
        <v>0</v>
      </c>
      <c r="T22" s="22">
        <f t="shared" si="119"/>
        <v>0</v>
      </c>
      <c r="U22" s="23" t="str">
        <f>IF(SUMPRODUCT($J$76:T$76,$J22:T22)&lt;0.5, "Pending", IF(T22&lt;0.5, "Complete", "In Progress"))</f>
        <v>Complete</v>
      </c>
      <c r="V22" s="22">
        <v>0</v>
      </c>
      <c r="W22" s="22">
        <f t="shared" si="120"/>
        <v>0</v>
      </c>
      <c r="X22" s="23" t="str">
        <f>IF(SUMPRODUCT($J$76:W$76,$J22:W22)&lt;0.5, "Pending", IF(W22&lt;0.5, "Complete", "In Progress"))</f>
        <v>Complete</v>
      </c>
      <c r="Y22" s="22">
        <v>0</v>
      </c>
      <c r="Z22" s="22">
        <f t="shared" si="121"/>
        <v>0</v>
      </c>
      <c r="AA22" s="23" t="str">
        <f>IF(SUMPRODUCT($J$76:Z$76,$J22:Z22)&lt;0.5, "Pending", IF(Z22&lt;0.5, "Complete", "In Progress"))</f>
        <v>Complete</v>
      </c>
      <c r="AB22" s="22">
        <v>0</v>
      </c>
      <c r="AC22" s="22">
        <f t="shared" si="122"/>
        <v>0</v>
      </c>
      <c r="AD22" s="23" t="str">
        <f>IF(SUMPRODUCT($J$76:AC$76,$J22:AC22)&lt;0.5, "Pending", IF(AC22&lt;0.5, "Complete", "In Progress"))</f>
        <v>Complete</v>
      </c>
      <c r="AE22" s="22">
        <v>0</v>
      </c>
      <c r="AF22" s="22">
        <f t="shared" si="123"/>
        <v>0</v>
      </c>
      <c r="AG22" s="23" t="str">
        <f>IF(SUMPRODUCT($J$76:AF$76,$J22:AF22)&lt;0.5, "Pending", IF(AF22&lt;0.5, "Complete", "In Progress"))</f>
        <v>Complete</v>
      </c>
      <c r="AH22" s="22">
        <v>0</v>
      </c>
      <c r="AI22" s="22">
        <f t="shared" si="124"/>
        <v>0</v>
      </c>
      <c r="AJ22" s="23" t="str">
        <f>IF(SUMPRODUCT($J$76:AI$76,$J22:AI22)&lt;0.5, "Pending", IF(AI22&lt;0.5, "Complete", "In Progress"))</f>
        <v>Complete</v>
      </c>
      <c r="AK22" s="22">
        <v>0</v>
      </c>
      <c r="AL22" s="22">
        <f t="shared" si="125"/>
        <v>0</v>
      </c>
      <c r="AM22" s="23" t="str">
        <f>IF(SUMPRODUCT($J$76:AL$76,$J22:AL22)&lt;0.5, "Pending", IF(AL22&lt;0.5, "Complete", "In Progress"))</f>
        <v>Complete</v>
      </c>
      <c r="AN22" s="22">
        <v>0</v>
      </c>
      <c r="AO22" s="22">
        <f t="shared" si="126"/>
        <v>0</v>
      </c>
      <c r="AP22" s="23" t="str">
        <f>IF(SUMPRODUCT($J$76:AO$76,$J22:AO22)&lt;0.5, "Pending", IF(AO22&lt;0.5, "Complete", "In Progress"))</f>
        <v>Complete</v>
      </c>
      <c r="AQ22" s="22">
        <v>0</v>
      </c>
      <c r="AR22" s="22">
        <f t="shared" si="127"/>
        <v>0</v>
      </c>
      <c r="AS22" s="23" t="str">
        <f>IF(SUMPRODUCT($J$76:AR$76,$J22:AR22)&lt;0.5, "Pending", IF(AR22&lt;0.5, "Complete", "In Progress"))</f>
        <v>Complete</v>
      </c>
      <c r="AT22" s="22">
        <v>0</v>
      </c>
      <c r="AU22" s="22">
        <f t="shared" si="128"/>
        <v>0</v>
      </c>
      <c r="AV22" s="23" t="str">
        <f>IF(SUMPRODUCT($J$76:AU$76,$J22:AU22)&lt;0.5, "Pending", IF(AU22&lt;0.5, "Complete", "In Progress"))</f>
        <v>Complete</v>
      </c>
      <c r="AW22" s="22">
        <v>0</v>
      </c>
      <c r="AX22" s="22">
        <f t="shared" si="129"/>
        <v>0</v>
      </c>
      <c r="AY22" s="23" t="str">
        <f>IF(SUMPRODUCT($J$76:AX$76,$J22:AX22)&lt;0.5, "Pending", IF(AX22&lt;0.5, "Complete", "In Progress"))</f>
        <v>Complete</v>
      </c>
      <c r="AZ22" s="22">
        <v>0</v>
      </c>
      <c r="BA22" s="22" t="e">
        <f>MAX(#REF!-AZ22,0)</f>
        <v>#REF!</v>
      </c>
      <c r="BB22" s="23" t="e">
        <f>IF(SUMPRODUCT($J$76:BA$76,$J22:BA22)&lt;0.5, "Pending", IF(BA22&lt;0.5, "Complete", "In Progress"))</f>
        <v>#REF!</v>
      </c>
      <c r="BC22" s="22">
        <v>0</v>
      </c>
      <c r="BD22" s="22" t="e">
        <f t="shared" si="130"/>
        <v>#REF!</v>
      </c>
      <c r="BE22" s="23" t="e">
        <f>IF(SUMPRODUCT($J$76:BD$76,$J22:BD22)&lt;0.5, "Pending", IF(BD22&lt;0.5, "Complete", "In Progress"))</f>
        <v>#REF!</v>
      </c>
      <c r="BF22" s="22">
        <v>0</v>
      </c>
      <c r="BG22" s="22" t="e">
        <f t="shared" si="131"/>
        <v>#REF!</v>
      </c>
      <c r="BH22" s="23" t="e">
        <f>IF(SUMPRODUCT($J$76:BG$76,$J22:BG22)&lt;0.5, "Pending", IF(BG22&lt;0.5, "Complete", "In Progress"))</f>
        <v>#REF!</v>
      </c>
      <c r="BI22" s="22">
        <v>0</v>
      </c>
      <c r="BJ22" s="22" t="e">
        <f t="shared" si="132"/>
        <v>#REF!</v>
      </c>
      <c r="BK22" s="23" t="e">
        <f>IF(SUMPRODUCT($J$76:BJ$76,$J22:BJ22)&lt;0.5, "Pending", IF(BJ22&lt;0.5, "Complete", "In Progress"))</f>
        <v>#REF!</v>
      </c>
      <c r="BL22" s="22">
        <v>0</v>
      </c>
      <c r="BM22" s="22" t="e">
        <f t="shared" si="133"/>
        <v>#REF!</v>
      </c>
      <c r="BN22" s="23" t="e">
        <f>IF(SUMPRODUCT($J$76:BM$76,$J22:BM22)&lt;0.5, "Pending", IF(BM22&lt;0.5, "Complete", "In Progress"))</f>
        <v>#REF!</v>
      </c>
      <c r="BO22" s="22">
        <v>0</v>
      </c>
      <c r="BP22" s="22" t="e">
        <f t="shared" si="134"/>
        <v>#REF!</v>
      </c>
      <c r="BQ22" s="23" t="e">
        <f>IF(SUMPRODUCT($J$76:BP$76,$J22:BP22)&lt;0.5, "Pending", IF(BP22&lt;0.5, "Complete", "In Progress"))</f>
        <v>#REF!</v>
      </c>
      <c r="BR22" s="22">
        <v>0</v>
      </c>
      <c r="BS22" s="22" t="e">
        <f t="shared" si="135"/>
        <v>#REF!</v>
      </c>
      <c r="BT22" s="23" t="e">
        <f>IF(SUMPRODUCT($J$76:BS$76,$J22:BS22)&lt;0.5, "Pending", IF(BS22&lt;0.5, "Complete", "In Progress"))</f>
        <v>#REF!</v>
      </c>
      <c r="BU22" s="22">
        <v>0</v>
      </c>
      <c r="BV22" s="22" t="e">
        <f t="shared" si="136"/>
        <v>#REF!</v>
      </c>
      <c r="BW22" s="23" t="e">
        <f>IF(SUMPRODUCT($J$76:BV$76,$J22:BV22)&lt;0.5, "Pending", IF(BV22&lt;0.5, "Complete", "In Progress"))</f>
        <v>#REF!</v>
      </c>
      <c r="BX22" s="22">
        <v>0</v>
      </c>
      <c r="BY22" s="22" t="e">
        <f t="shared" si="137"/>
        <v>#REF!</v>
      </c>
      <c r="BZ22" s="23" t="e">
        <f>IF(SUMPRODUCT($J$76:BY$76,$J22:BY22)&lt;0.5, "Pending", IF(BY22&lt;0.5, "Complete", "In Progress"))</f>
        <v>#REF!</v>
      </c>
      <c r="CA22" s="22">
        <v>0</v>
      </c>
      <c r="CB22" s="22" t="e">
        <f t="shared" si="138"/>
        <v>#REF!</v>
      </c>
      <c r="CC22" s="23" t="e">
        <f>IF(SUMPRODUCT($J$76:CB$76,$J22:CB22)&lt;0.5, "Pending", IF(CB22&lt;0.5, "Complete", "In Progress"))</f>
        <v>#REF!</v>
      </c>
      <c r="CD22" s="24"/>
      <c r="CE22" s="25">
        <f>SUMPRODUCT($H$76:AY$76,$H22:AY22)</f>
        <v>4</v>
      </c>
    </row>
    <row r="23" spans="1:83">
      <c r="A23" s="16"/>
      <c r="B23" s="16" t="s">
        <v>124</v>
      </c>
      <c r="C23" s="16" t="s">
        <v>166</v>
      </c>
      <c r="D23" s="17" t="s">
        <v>169</v>
      </c>
      <c r="E23" s="178" t="s">
        <v>180</v>
      </c>
      <c r="F23" s="18" t="s">
        <v>119</v>
      </c>
      <c r="G23" s="19" t="str">
        <f t="shared" ca="1" si="0"/>
        <v>Complete</v>
      </c>
      <c r="H23" s="20">
        <v>1</v>
      </c>
      <c r="I23" s="21">
        <v>3</v>
      </c>
      <c r="J23" s="22">
        <v>3</v>
      </c>
      <c r="K23" s="22">
        <f t="shared" si="24"/>
        <v>0</v>
      </c>
      <c r="L23" s="23" t="str">
        <f>IF(SUMPRODUCT($J$76:K$76,$J23:K23)&lt;0.5, "Pending", IF(K23&lt;0.5, "Complete", "In Progress"))</f>
        <v>Complete</v>
      </c>
      <c r="M23" s="22">
        <v>0</v>
      </c>
      <c r="N23" s="22">
        <f t="shared" si="25"/>
        <v>0</v>
      </c>
      <c r="O23" s="23" t="str">
        <f>IF(SUMPRODUCT($J$76:N$76,$J23:N23)&lt;0.5, "Pending", IF(N23&lt;0.5, "Complete", "In Progress"))</f>
        <v>Complete</v>
      </c>
      <c r="P23" s="22">
        <v>0</v>
      </c>
      <c r="Q23" s="22">
        <f t="shared" si="26"/>
        <v>0</v>
      </c>
      <c r="R23" s="23" t="str">
        <f>IF(SUMPRODUCT($J$76:Q$76,$J23:Q23)&lt;0.5, "Pending", IF(Q23&lt;0.5, "Complete", "In Progress"))</f>
        <v>Complete</v>
      </c>
      <c r="S23" s="22">
        <v>0</v>
      </c>
      <c r="T23" s="22">
        <f t="shared" si="27"/>
        <v>0</v>
      </c>
      <c r="U23" s="23" t="str">
        <f>IF(SUMPRODUCT($J$76:T$76,$J23:T23)&lt;0.5, "Pending", IF(T23&lt;0.5, "Complete", "In Progress"))</f>
        <v>Complete</v>
      </c>
      <c r="V23" s="22">
        <v>0</v>
      </c>
      <c r="W23" s="22">
        <f t="shared" si="28"/>
        <v>0</v>
      </c>
      <c r="X23" s="23" t="str">
        <f>IF(SUMPRODUCT($J$76:W$76,$J23:W23)&lt;0.5, "Pending", IF(W23&lt;0.5, "Complete", "In Progress"))</f>
        <v>Complete</v>
      </c>
      <c r="Y23" s="22">
        <v>0</v>
      </c>
      <c r="Z23" s="22">
        <f t="shared" si="29"/>
        <v>0</v>
      </c>
      <c r="AA23" s="23" t="str">
        <f>IF(SUMPRODUCT($J$76:Z$76,$J23:Z23)&lt;0.5, "Pending", IF(Z23&lt;0.5, "Complete", "In Progress"))</f>
        <v>Complete</v>
      </c>
      <c r="AB23" s="22">
        <v>0</v>
      </c>
      <c r="AC23" s="22">
        <f t="shared" si="30"/>
        <v>0</v>
      </c>
      <c r="AD23" s="23" t="str">
        <f>IF(SUMPRODUCT($J$76:AC$76,$J23:AC23)&lt;0.5, "Pending", IF(AC23&lt;0.5, "Complete", "In Progress"))</f>
        <v>Complete</v>
      </c>
      <c r="AE23" s="22">
        <v>0</v>
      </c>
      <c r="AF23" s="22">
        <f t="shared" si="31"/>
        <v>0</v>
      </c>
      <c r="AG23" s="23" t="str">
        <f>IF(SUMPRODUCT($J$76:AF$76,$J23:AF23)&lt;0.5, "Pending", IF(AF23&lt;0.5, "Complete", "In Progress"))</f>
        <v>Complete</v>
      </c>
      <c r="AH23" s="22">
        <v>0</v>
      </c>
      <c r="AI23" s="22">
        <f t="shared" si="32"/>
        <v>0</v>
      </c>
      <c r="AJ23" s="23" t="str">
        <f>IF(SUMPRODUCT($J$76:AI$76,$J23:AI23)&lt;0.5, "Pending", IF(AI23&lt;0.5, "Complete", "In Progress"))</f>
        <v>Complete</v>
      </c>
      <c r="AK23" s="22">
        <v>0</v>
      </c>
      <c r="AL23" s="22">
        <f t="shared" si="33"/>
        <v>0</v>
      </c>
      <c r="AM23" s="23" t="str">
        <f>IF(SUMPRODUCT($J$76:AL$76,$J23:AL23)&lt;0.5, "Pending", IF(AL23&lt;0.5, "Complete", "In Progress"))</f>
        <v>Complete</v>
      </c>
      <c r="AN23" s="22">
        <v>0</v>
      </c>
      <c r="AO23" s="22">
        <f t="shared" si="34"/>
        <v>0</v>
      </c>
      <c r="AP23" s="23" t="str">
        <f>IF(SUMPRODUCT($J$76:AO$76,$J23:AO23)&lt;0.5, "Pending", IF(AO23&lt;0.5, "Complete", "In Progress"))</f>
        <v>Complete</v>
      </c>
      <c r="AQ23" s="22">
        <v>0</v>
      </c>
      <c r="AR23" s="22">
        <f t="shared" si="35"/>
        <v>0</v>
      </c>
      <c r="AS23" s="23" t="str">
        <f>IF(SUMPRODUCT($J$76:AR$76,$J23:AR23)&lt;0.5, "Pending", IF(AR23&lt;0.5, "Complete", "In Progress"))</f>
        <v>Complete</v>
      </c>
      <c r="AT23" s="22">
        <v>0</v>
      </c>
      <c r="AU23" s="22">
        <f t="shared" si="36"/>
        <v>0</v>
      </c>
      <c r="AV23" s="23" t="str">
        <f>IF(SUMPRODUCT($J$76:AU$76,$J23:AU23)&lt;0.5, "Pending", IF(AU23&lt;0.5, "Complete", "In Progress"))</f>
        <v>Complete</v>
      </c>
      <c r="AW23" s="22">
        <v>0</v>
      </c>
      <c r="AX23" s="22">
        <f t="shared" si="37"/>
        <v>0</v>
      </c>
      <c r="AY23" s="23" t="str">
        <f>IF(SUMPRODUCT($J$76:AX$76,$J23:AX23)&lt;0.5, "Pending", IF(AX23&lt;0.5, "Complete", "In Progress"))</f>
        <v>Complete</v>
      </c>
      <c r="AZ23" s="22">
        <v>0</v>
      </c>
      <c r="BA23" s="22" t="e">
        <f>MAX(#REF!-AZ23,0)</f>
        <v>#REF!</v>
      </c>
      <c r="BB23" s="23" t="e">
        <f>IF(SUMPRODUCT($J$76:BA$76,$J23:BA23)&lt;0.5, "Pending", IF(BA23&lt;0.5, "Complete", "In Progress"))</f>
        <v>#REF!</v>
      </c>
      <c r="BC23" s="22">
        <v>0</v>
      </c>
      <c r="BD23" s="22" t="e">
        <f t="shared" si="38"/>
        <v>#REF!</v>
      </c>
      <c r="BE23" s="23" t="e">
        <f>IF(SUMPRODUCT($J$76:BD$76,$J23:BD23)&lt;0.5, "Pending", IF(BD23&lt;0.5, "Complete", "In Progress"))</f>
        <v>#REF!</v>
      </c>
      <c r="BF23" s="22">
        <v>0</v>
      </c>
      <c r="BG23" s="22" t="e">
        <f t="shared" si="39"/>
        <v>#REF!</v>
      </c>
      <c r="BH23" s="23" t="e">
        <f>IF(SUMPRODUCT($J$76:BG$76,$J23:BG23)&lt;0.5, "Pending", IF(BG23&lt;0.5, "Complete", "In Progress"))</f>
        <v>#REF!</v>
      </c>
      <c r="BI23" s="22">
        <v>0</v>
      </c>
      <c r="BJ23" s="22" t="e">
        <f t="shared" si="40"/>
        <v>#REF!</v>
      </c>
      <c r="BK23" s="23" t="e">
        <f>IF(SUMPRODUCT($J$76:BJ$76,$J23:BJ23)&lt;0.5, "Pending", IF(BJ23&lt;0.5, "Complete", "In Progress"))</f>
        <v>#REF!</v>
      </c>
      <c r="BL23" s="22">
        <v>0</v>
      </c>
      <c r="BM23" s="22" t="e">
        <f t="shared" si="41"/>
        <v>#REF!</v>
      </c>
      <c r="BN23" s="23" t="e">
        <f>IF(SUMPRODUCT($J$76:BM$76,$J23:BM23)&lt;0.5, "Pending", IF(BM23&lt;0.5, "Complete", "In Progress"))</f>
        <v>#REF!</v>
      </c>
      <c r="BO23" s="22">
        <v>0</v>
      </c>
      <c r="BP23" s="22" t="e">
        <f t="shared" si="42"/>
        <v>#REF!</v>
      </c>
      <c r="BQ23" s="23" t="e">
        <f>IF(SUMPRODUCT($J$76:BP$76,$J23:BP23)&lt;0.5, "Pending", IF(BP23&lt;0.5, "Complete", "In Progress"))</f>
        <v>#REF!</v>
      </c>
      <c r="BR23" s="22">
        <v>0</v>
      </c>
      <c r="BS23" s="22" t="e">
        <f t="shared" si="43"/>
        <v>#REF!</v>
      </c>
      <c r="BT23" s="23" t="e">
        <f>IF(SUMPRODUCT($J$76:BS$76,$J23:BS23)&lt;0.5, "Pending", IF(BS23&lt;0.5, "Complete", "In Progress"))</f>
        <v>#REF!</v>
      </c>
      <c r="BU23" s="22">
        <v>0</v>
      </c>
      <c r="BV23" s="22" t="e">
        <f t="shared" si="44"/>
        <v>#REF!</v>
      </c>
      <c r="BW23" s="23" t="e">
        <f>IF(SUMPRODUCT($J$76:BV$76,$J23:BV23)&lt;0.5, "Pending", IF(BV23&lt;0.5, "Complete", "In Progress"))</f>
        <v>#REF!</v>
      </c>
      <c r="BX23" s="22">
        <v>0</v>
      </c>
      <c r="BY23" s="22" t="e">
        <f t="shared" si="45"/>
        <v>#REF!</v>
      </c>
      <c r="BZ23" s="23" t="e">
        <f>IF(SUMPRODUCT($J$76:BY$76,$J23:BY23)&lt;0.5, "Pending", IF(BY23&lt;0.5, "Complete", "In Progress"))</f>
        <v>#REF!</v>
      </c>
      <c r="CA23" s="22">
        <v>0</v>
      </c>
      <c r="CB23" s="22" t="e">
        <f t="shared" si="46"/>
        <v>#REF!</v>
      </c>
      <c r="CC23" s="23" t="e">
        <f>IF(SUMPRODUCT($J$76:CB$76,$J23:CB23)&lt;0.5, "Pending", IF(CB23&lt;0.5, "Complete", "In Progress"))</f>
        <v>#REF!</v>
      </c>
      <c r="CD23" s="24"/>
      <c r="CE23" s="25">
        <f>SUMPRODUCT($H$76:AY$76,$H23:AY23)</f>
        <v>3</v>
      </c>
    </row>
    <row r="24" spans="1:83">
      <c r="A24" s="16"/>
      <c r="B24" s="16" t="s">
        <v>123</v>
      </c>
      <c r="C24" s="16" t="s">
        <v>166</v>
      </c>
      <c r="D24" s="17" t="s">
        <v>171</v>
      </c>
      <c r="E24" s="178" t="s">
        <v>141</v>
      </c>
      <c r="F24" s="18" t="s">
        <v>115</v>
      </c>
      <c r="G24" s="19" t="str">
        <f t="shared" ca="1" si="0"/>
        <v>Complete</v>
      </c>
      <c r="H24" s="20">
        <v>1</v>
      </c>
      <c r="I24" s="21">
        <v>2</v>
      </c>
      <c r="J24" s="22">
        <v>0</v>
      </c>
      <c r="K24" s="22">
        <f t="shared" si="24"/>
        <v>2</v>
      </c>
      <c r="L24" s="23" t="str">
        <f>IF(SUMPRODUCT($J$76:K$76,$J24:K24)&lt;0.5, "Pending", IF(K24&lt;0.5, "Complete", "In Progress"))</f>
        <v>Pending</v>
      </c>
      <c r="M24" s="22">
        <v>2</v>
      </c>
      <c r="N24" s="22">
        <f t="shared" si="25"/>
        <v>0</v>
      </c>
      <c r="O24" s="23" t="str">
        <f>IF(SUMPRODUCT($J$76:N$76,$J24:N24)&lt;0.5, "Pending", IF(N24&lt;0.5, "Complete", "In Progress"))</f>
        <v>Complete</v>
      </c>
      <c r="P24" s="22">
        <v>0</v>
      </c>
      <c r="Q24" s="22">
        <f t="shared" si="26"/>
        <v>0</v>
      </c>
      <c r="R24" s="23" t="str">
        <f>IF(SUMPRODUCT($J$76:Q$76,$J24:Q24)&lt;0.5, "Pending", IF(Q24&lt;0.5, "Complete", "In Progress"))</f>
        <v>Complete</v>
      </c>
      <c r="S24" s="22">
        <v>0</v>
      </c>
      <c r="T24" s="22">
        <f t="shared" si="27"/>
        <v>0</v>
      </c>
      <c r="U24" s="23" t="str">
        <f>IF(SUMPRODUCT($J$76:T$76,$J24:T24)&lt;0.5, "Pending", IF(T24&lt;0.5, "Complete", "In Progress"))</f>
        <v>Complete</v>
      </c>
      <c r="V24" s="22">
        <v>0</v>
      </c>
      <c r="W24" s="22">
        <f t="shared" si="28"/>
        <v>0</v>
      </c>
      <c r="X24" s="23" t="str">
        <f>IF(SUMPRODUCT($J$76:W$76,$J24:W24)&lt;0.5, "Pending", IF(W24&lt;0.5, "Complete", "In Progress"))</f>
        <v>Complete</v>
      </c>
      <c r="Y24" s="22">
        <v>0</v>
      </c>
      <c r="Z24" s="22">
        <f t="shared" si="29"/>
        <v>0</v>
      </c>
      <c r="AA24" s="23" t="str">
        <f>IF(SUMPRODUCT($J$76:Z$76,$J24:Z24)&lt;0.5, "Pending", IF(Z24&lt;0.5, "Complete", "In Progress"))</f>
        <v>Complete</v>
      </c>
      <c r="AB24" s="22">
        <v>0</v>
      </c>
      <c r="AC24" s="22">
        <f t="shared" si="30"/>
        <v>0</v>
      </c>
      <c r="AD24" s="23" t="str">
        <f>IF(SUMPRODUCT($J$76:AC$76,$J24:AC24)&lt;0.5, "Pending", IF(AC24&lt;0.5, "Complete", "In Progress"))</f>
        <v>Complete</v>
      </c>
      <c r="AE24" s="22">
        <v>0</v>
      </c>
      <c r="AF24" s="22">
        <f t="shared" si="31"/>
        <v>0</v>
      </c>
      <c r="AG24" s="23" t="str">
        <f>IF(SUMPRODUCT($J$76:AF$76,$J24:AF24)&lt;0.5, "Pending", IF(AF24&lt;0.5, "Complete", "In Progress"))</f>
        <v>Complete</v>
      </c>
      <c r="AH24" s="22">
        <v>0</v>
      </c>
      <c r="AI24" s="22">
        <f t="shared" si="32"/>
        <v>0</v>
      </c>
      <c r="AJ24" s="23" t="str">
        <f>IF(SUMPRODUCT($J$76:AI$76,$J24:AI24)&lt;0.5, "Pending", IF(AI24&lt;0.5, "Complete", "In Progress"))</f>
        <v>Complete</v>
      </c>
      <c r="AK24" s="22">
        <v>0</v>
      </c>
      <c r="AL24" s="22">
        <f t="shared" si="33"/>
        <v>0</v>
      </c>
      <c r="AM24" s="23" t="str">
        <f>IF(SUMPRODUCT($J$76:AL$76,$J24:AL24)&lt;0.5, "Pending", IF(AL24&lt;0.5, "Complete", "In Progress"))</f>
        <v>Complete</v>
      </c>
      <c r="AN24" s="22">
        <v>0</v>
      </c>
      <c r="AO24" s="22">
        <f t="shared" si="34"/>
        <v>0</v>
      </c>
      <c r="AP24" s="23" t="str">
        <f>IF(SUMPRODUCT($J$76:AO$76,$J24:AO24)&lt;0.5, "Pending", IF(AO24&lt;0.5, "Complete", "In Progress"))</f>
        <v>Complete</v>
      </c>
      <c r="AQ24" s="22">
        <v>0</v>
      </c>
      <c r="AR24" s="22">
        <f t="shared" si="35"/>
        <v>0</v>
      </c>
      <c r="AS24" s="23" t="str">
        <f>IF(SUMPRODUCT($J$76:AR$76,$J24:AR24)&lt;0.5, "Pending", IF(AR24&lt;0.5, "Complete", "In Progress"))</f>
        <v>Complete</v>
      </c>
      <c r="AT24" s="22">
        <v>0</v>
      </c>
      <c r="AU24" s="22">
        <f t="shared" si="36"/>
        <v>0</v>
      </c>
      <c r="AV24" s="23" t="str">
        <f>IF(SUMPRODUCT($J$76:AU$76,$J24:AU24)&lt;0.5, "Pending", IF(AU24&lt;0.5, "Complete", "In Progress"))</f>
        <v>Complete</v>
      </c>
      <c r="AW24" s="22">
        <v>0</v>
      </c>
      <c r="AX24" s="22">
        <f t="shared" si="37"/>
        <v>0</v>
      </c>
      <c r="AY24" s="23" t="str">
        <f>IF(SUMPRODUCT($J$76:AX$76,$J24:AX24)&lt;0.5, "Pending", IF(AX24&lt;0.5, "Complete", "In Progress"))</f>
        <v>Complete</v>
      </c>
      <c r="AZ24" s="22">
        <v>0</v>
      </c>
      <c r="BA24" s="22" t="e">
        <f>MAX(#REF!-AZ24,0)</f>
        <v>#REF!</v>
      </c>
      <c r="BB24" s="23" t="e">
        <f>IF(SUMPRODUCT($J$76:BA$76,$J24:BA24)&lt;0.5, "Pending", IF(BA24&lt;0.5, "Complete", "In Progress"))</f>
        <v>#REF!</v>
      </c>
      <c r="BC24" s="22">
        <v>0</v>
      </c>
      <c r="BD24" s="22" t="e">
        <f t="shared" si="38"/>
        <v>#REF!</v>
      </c>
      <c r="BE24" s="23" t="e">
        <f>IF(SUMPRODUCT($J$76:BD$76,$J24:BD24)&lt;0.5, "Pending", IF(BD24&lt;0.5, "Complete", "In Progress"))</f>
        <v>#REF!</v>
      </c>
      <c r="BF24" s="22">
        <v>0</v>
      </c>
      <c r="BG24" s="22" t="e">
        <f t="shared" si="39"/>
        <v>#REF!</v>
      </c>
      <c r="BH24" s="23" t="e">
        <f>IF(SUMPRODUCT($J$76:BG$76,$J24:BG24)&lt;0.5, "Pending", IF(BG24&lt;0.5, "Complete", "In Progress"))</f>
        <v>#REF!</v>
      </c>
      <c r="BI24" s="22">
        <v>0</v>
      </c>
      <c r="BJ24" s="22" t="e">
        <f t="shared" si="40"/>
        <v>#REF!</v>
      </c>
      <c r="BK24" s="23" t="e">
        <f>IF(SUMPRODUCT($J$76:BJ$76,$J24:BJ24)&lt;0.5, "Pending", IF(BJ24&lt;0.5, "Complete", "In Progress"))</f>
        <v>#REF!</v>
      </c>
      <c r="BL24" s="22">
        <v>0</v>
      </c>
      <c r="BM24" s="22" t="e">
        <f t="shared" si="41"/>
        <v>#REF!</v>
      </c>
      <c r="BN24" s="23" t="e">
        <f>IF(SUMPRODUCT($J$76:BM$76,$J24:BM24)&lt;0.5, "Pending", IF(BM24&lt;0.5, "Complete", "In Progress"))</f>
        <v>#REF!</v>
      </c>
      <c r="BO24" s="22">
        <v>0</v>
      </c>
      <c r="BP24" s="22" t="e">
        <f t="shared" si="42"/>
        <v>#REF!</v>
      </c>
      <c r="BQ24" s="23" t="e">
        <f>IF(SUMPRODUCT($J$76:BP$76,$J24:BP24)&lt;0.5, "Pending", IF(BP24&lt;0.5, "Complete", "In Progress"))</f>
        <v>#REF!</v>
      </c>
      <c r="BR24" s="22">
        <v>0</v>
      </c>
      <c r="BS24" s="22" t="e">
        <f t="shared" si="43"/>
        <v>#REF!</v>
      </c>
      <c r="BT24" s="23" t="e">
        <f>IF(SUMPRODUCT($J$76:BS$76,$J24:BS24)&lt;0.5, "Pending", IF(BS24&lt;0.5, "Complete", "In Progress"))</f>
        <v>#REF!</v>
      </c>
      <c r="BU24" s="22">
        <v>0</v>
      </c>
      <c r="BV24" s="22" t="e">
        <f t="shared" si="44"/>
        <v>#REF!</v>
      </c>
      <c r="BW24" s="23" t="e">
        <f>IF(SUMPRODUCT($J$76:BV$76,$J24:BV24)&lt;0.5, "Pending", IF(BV24&lt;0.5, "Complete", "In Progress"))</f>
        <v>#REF!</v>
      </c>
      <c r="BX24" s="22">
        <v>0</v>
      </c>
      <c r="BY24" s="22" t="e">
        <f t="shared" si="45"/>
        <v>#REF!</v>
      </c>
      <c r="BZ24" s="23" t="e">
        <f>IF(SUMPRODUCT($J$76:BY$76,$J24:BY24)&lt;0.5, "Pending", IF(BY24&lt;0.5, "Complete", "In Progress"))</f>
        <v>#REF!</v>
      </c>
      <c r="CA24" s="22">
        <v>0</v>
      </c>
      <c r="CB24" s="22" t="e">
        <f t="shared" si="46"/>
        <v>#REF!</v>
      </c>
      <c r="CC24" s="23" t="e">
        <f>IF(SUMPRODUCT($J$76:CB$76,$J24:CB24)&lt;0.5, "Pending", IF(CB24&lt;0.5, "Complete", "In Progress"))</f>
        <v>#REF!</v>
      </c>
      <c r="CD24" s="24"/>
      <c r="CE24" s="25">
        <f>SUMPRODUCT($H$76:AY$76,$H24:AY24)</f>
        <v>2</v>
      </c>
    </row>
    <row r="25" spans="1:83">
      <c r="A25" s="16"/>
      <c r="B25" s="16" t="s">
        <v>123</v>
      </c>
      <c r="C25" s="16" t="s">
        <v>166</v>
      </c>
      <c r="D25" s="17" t="s">
        <v>173</v>
      </c>
      <c r="E25" s="178" t="s">
        <v>142</v>
      </c>
      <c r="F25" s="18" t="s">
        <v>116</v>
      </c>
      <c r="G25" s="19" t="str">
        <f t="shared" ca="1" si="0"/>
        <v>Complete</v>
      </c>
      <c r="H25" s="20">
        <v>1</v>
      </c>
      <c r="I25" s="21">
        <v>2</v>
      </c>
      <c r="J25" s="22">
        <v>2</v>
      </c>
      <c r="K25" s="22">
        <f t="shared" si="24"/>
        <v>0</v>
      </c>
      <c r="L25" s="23" t="str">
        <f>IF(SUMPRODUCT($J$76:K$76,$J25:K25)&lt;0.5, "Pending", IF(K25&lt;0.5, "Complete", "In Progress"))</f>
        <v>Complete</v>
      </c>
      <c r="M25" s="22">
        <v>0</v>
      </c>
      <c r="N25" s="22">
        <f t="shared" si="25"/>
        <v>0</v>
      </c>
      <c r="O25" s="23" t="str">
        <f>IF(SUMPRODUCT($J$76:N$76,$J25:N25)&lt;0.5, "Pending", IF(N25&lt;0.5, "Complete", "In Progress"))</f>
        <v>Complete</v>
      </c>
      <c r="P25" s="22">
        <v>0</v>
      </c>
      <c r="Q25" s="22">
        <f t="shared" si="26"/>
        <v>0</v>
      </c>
      <c r="R25" s="23" t="str">
        <f>IF(SUMPRODUCT($J$76:Q$76,$J25:Q25)&lt;0.5, "Pending", IF(Q25&lt;0.5, "Complete", "In Progress"))</f>
        <v>Complete</v>
      </c>
      <c r="S25" s="22">
        <v>0</v>
      </c>
      <c r="T25" s="22">
        <f t="shared" si="27"/>
        <v>0</v>
      </c>
      <c r="U25" s="23" t="str">
        <f>IF(SUMPRODUCT($J$76:T$76,$J25:T25)&lt;0.5, "Pending", IF(T25&lt;0.5, "Complete", "In Progress"))</f>
        <v>Complete</v>
      </c>
      <c r="V25" s="22">
        <v>0</v>
      </c>
      <c r="W25" s="22">
        <f t="shared" si="28"/>
        <v>0</v>
      </c>
      <c r="X25" s="23" t="str">
        <f>IF(SUMPRODUCT($J$76:W$76,$J25:W25)&lt;0.5, "Pending", IF(W25&lt;0.5, "Complete", "In Progress"))</f>
        <v>Complete</v>
      </c>
      <c r="Y25" s="22">
        <v>0</v>
      </c>
      <c r="Z25" s="22">
        <f t="shared" si="29"/>
        <v>0</v>
      </c>
      <c r="AA25" s="23" t="str">
        <f>IF(SUMPRODUCT($J$76:Z$76,$J25:Z25)&lt;0.5, "Pending", IF(Z25&lt;0.5, "Complete", "In Progress"))</f>
        <v>Complete</v>
      </c>
      <c r="AB25" s="22">
        <v>0</v>
      </c>
      <c r="AC25" s="22">
        <f t="shared" si="30"/>
        <v>0</v>
      </c>
      <c r="AD25" s="23" t="str">
        <f>IF(SUMPRODUCT($J$76:AC$76,$J25:AC25)&lt;0.5, "Pending", IF(AC25&lt;0.5, "Complete", "In Progress"))</f>
        <v>Complete</v>
      </c>
      <c r="AE25" s="22">
        <v>0</v>
      </c>
      <c r="AF25" s="22">
        <f t="shared" si="31"/>
        <v>0</v>
      </c>
      <c r="AG25" s="23" t="str">
        <f>IF(SUMPRODUCT($J$76:AF$76,$J25:AF25)&lt;0.5, "Pending", IF(AF25&lt;0.5, "Complete", "In Progress"))</f>
        <v>Complete</v>
      </c>
      <c r="AH25" s="22">
        <v>0</v>
      </c>
      <c r="AI25" s="22">
        <f t="shared" si="32"/>
        <v>0</v>
      </c>
      <c r="AJ25" s="23" t="str">
        <f>IF(SUMPRODUCT($J$76:AI$76,$J25:AI25)&lt;0.5, "Pending", IF(AI25&lt;0.5, "Complete", "In Progress"))</f>
        <v>Complete</v>
      </c>
      <c r="AK25" s="22">
        <v>0</v>
      </c>
      <c r="AL25" s="22">
        <f t="shared" si="33"/>
        <v>0</v>
      </c>
      <c r="AM25" s="23" t="str">
        <f>IF(SUMPRODUCT($J$76:AL$76,$J25:AL25)&lt;0.5, "Pending", IF(AL25&lt;0.5, "Complete", "In Progress"))</f>
        <v>Complete</v>
      </c>
      <c r="AN25" s="22">
        <v>0</v>
      </c>
      <c r="AO25" s="22">
        <f t="shared" si="34"/>
        <v>0</v>
      </c>
      <c r="AP25" s="23" t="str">
        <f>IF(SUMPRODUCT($J$76:AO$76,$J25:AO25)&lt;0.5, "Pending", IF(AO25&lt;0.5, "Complete", "In Progress"))</f>
        <v>Complete</v>
      </c>
      <c r="AQ25" s="22">
        <v>0</v>
      </c>
      <c r="AR25" s="22">
        <f t="shared" si="35"/>
        <v>0</v>
      </c>
      <c r="AS25" s="23" t="str">
        <f>IF(SUMPRODUCT($J$76:AR$76,$J25:AR25)&lt;0.5, "Pending", IF(AR25&lt;0.5, "Complete", "In Progress"))</f>
        <v>Complete</v>
      </c>
      <c r="AT25" s="22">
        <v>0</v>
      </c>
      <c r="AU25" s="22">
        <f t="shared" si="36"/>
        <v>0</v>
      </c>
      <c r="AV25" s="23" t="str">
        <f>IF(SUMPRODUCT($J$76:AU$76,$J25:AU25)&lt;0.5, "Pending", IF(AU25&lt;0.5, "Complete", "In Progress"))</f>
        <v>Complete</v>
      </c>
      <c r="AW25" s="22">
        <v>0</v>
      </c>
      <c r="AX25" s="22">
        <f t="shared" si="37"/>
        <v>0</v>
      </c>
      <c r="AY25" s="23" t="str">
        <f>IF(SUMPRODUCT($J$76:AX$76,$J25:AX25)&lt;0.5, "Pending", IF(AX25&lt;0.5, "Complete", "In Progress"))</f>
        <v>Complete</v>
      </c>
      <c r="AZ25" s="22">
        <v>0</v>
      </c>
      <c r="BA25" s="22" t="e">
        <f>MAX(#REF!-AZ25,0)</f>
        <v>#REF!</v>
      </c>
      <c r="BB25" s="23" t="e">
        <f>IF(SUMPRODUCT($J$76:BA$76,$J25:BA25)&lt;0.5, "Pending", IF(BA25&lt;0.5, "Complete", "In Progress"))</f>
        <v>#REF!</v>
      </c>
      <c r="BC25" s="22">
        <v>0</v>
      </c>
      <c r="BD25" s="22" t="e">
        <f t="shared" si="38"/>
        <v>#REF!</v>
      </c>
      <c r="BE25" s="23" t="e">
        <f>IF(SUMPRODUCT($J$76:BD$76,$J25:BD25)&lt;0.5, "Pending", IF(BD25&lt;0.5, "Complete", "In Progress"))</f>
        <v>#REF!</v>
      </c>
      <c r="BF25" s="22">
        <v>0</v>
      </c>
      <c r="BG25" s="22" t="e">
        <f t="shared" si="39"/>
        <v>#REF!</v>
      </c>
      <c r="BH25" s="23" t="e">
        <f>IF(SUMPRODUCT($J$76:BG$76,$J25:BG25)&lt;0.5, "Pending", IF(BG25&lt;0.5, "Complete", "In Progress"))</f>
        <v>#REF!</v>
      </c>
      <c r="BI25" s="22">
        <v>0</v>
      </c>
      <c r="BJ25" s="22" t="e">
        <f t="shared" si="40"/>
        <v>#REF!</v>
      </c>
      <c r="BK25" s="23" t="e">
        <f>IF(SUMPRODUCT($J$76:BJ$76,$J25:BJ25)&lt;0.5, "Pending", IF(BJ25&lt;0.5, "Complete", "In Progress"))</f>
        <v>#REF!</v>
      </c>
      <c r="BL25" s="22">
        <v>0</v>
      </c>
      <c r="BM25" s="22" t="e">
        <f t="shared" si="41"/>
        <v>#REF!</v>
      </c>
      <c r="BN25" s="23" t="e">
        <f>IF(SUMPRODUCT($J$76:BM$76,$J25:BM25)&lt;0.5, "Pending", IF(BM25&lt;0.5, "Complete", "In Progress"))</f>
        <v>#REF!</v>
      </c>
      <c r="BO25" s="22">
        <v>0</v>
      </c>
      <c r="BP25" s="22" t="e">
        <f t="shared" si="42"/>
        <v>#REF!</v>
      </c>
      <c r="BQ25" s="23" t="e">
        <f>IF(SUMPRODUCT($J$76:BP$76,$J25:BP25)&lt;0.5, "Pending", IF(BP25&lt;0.5, "Complete", "In Progress"))</f>
        <v>#REF!</v>
      </c>
      <c r="BR25" s="22">
        <v>0</v>
      </c>
      <c r="BS25" s="22" t="e">
        <f t="shared" si="43"/>
        <v>#REF!</v>
      </c>
      <c r="BT25" s="23" t="e">
        <f>IF(SUMPRODUCT($J$76:BS$76,$J25:BS25)&lt;0.5, "Pending", IF(BS25&lt;0.5, "Complete", "In Progress"))</f>
        <v>#REF!</v>
      </c>
      <c r="BU25" s="22">
        <v>0</v>
      </c>
      <c r="BV25" s="22" t="e">
        <f t="shared" si="44"/>
        <v>#REF!</v>
      </c>
      <c r="BW25" s="23" t="e">
        <f>IF(SUMPRODUCT($J$76:BV$76,$J25:BV25)&lt;0.5, "Pending", IF(BV25&lt;0.5, "Complete", "In Progress"))</f>
        <v>#REF!</v>
      </c>
      <c r="BX25" s="22">
        <v>0</v>
      </c>
      <c r="BY25" s="22" t="e">
        <f t="shared" si="45"/>
        <v>#REF!</v>
      </c>
      <c r="BZ25" s="23" t="e">
        <f>IF(SUMPRODUCT($J$76:BY$76,$J25:BY25)&lt;0.5, "Pending", IF(BY25&lt;0.5, "Complete", "In Progress"))</f>
        <v>#REF!</v>
      </c>
      <c r="CA25" s="22">
        <v>0</v>
      </c>
      <c r="CB25" s="22" t="e">
        <f t="shared" si="46"/>
        <v>#REF!</v>
      </c>
      <c r="CC25" s="23" t="e">
        <f>IF(SUMPRODUCT($J$76:CB$76,$J25:CB25)&lt;0.5, "Pending", IF(CB25&lt;0.5, "Complete", "In Progress"))</f>
        <v>#REF!</v>
      </c>
      <c r="CD25" s="24"/>
      <c r="CE25" s="25">
        <f>SUMPRODUCT($H$76:AY$76,$H25:AY25)</f>
        <v>2</v>
      </c>
    </row>
    <row r="26" spans="1:83">
      <c r="A26" s="16"/>
      <c r="B26" s="16" t="s">
        <v>126</v>
      </c>
      <c r="C26" s="16" t="s">
        <v>166</v>
      </c>
      <c r="D26" s="17" t="s">
        <v>181</v>
      </c>
      <c r="E26" s="178" t="s">
        <v>143</v>
      </c>
      <c r="F26" s="18" t="s">
        <v>115</v>
      </c>
      <c r="G26" s="19" t="str">
        <f t="shared" ca="1" si="0"/>
        <v>Complete</v>
      </c>
      <c r="H26" s="20">
        <v>1</v>
      </c>
      <c r="I26" s="21">
        <v>1</v>
      </c>
      <c r="J26" s="22">
        <v>1</v>
      </c>
      <c r="K26" s="22">
        <f t="shared" ref="K26:K29" si="139">MAX(I26-J26, 0)</f>
        <v>0</v>
      </c>
      <c r="L26" s="23" t="str">
        <f>IF(SUMPRODUCT($J$76:K$76,$J26:K26)&lt;0.5, "Pending", IF(K26&lt;0.5, "Complete", "In Progress"))</f>
        <v>Complete</v>
      </c>
      <c r="M26" s="22">
        <v>0</v>
      </c>
      <c r="N26" s="22">
        <f t="shared" ref="N26:N29" si="140">MAX(K26-M26,0)</f>
        <v>0</v>
      </c>
      <c r="O26" s="23" t="str">
        <f>IF(SUMPRODUCT($J$76:N$76,$J26:N26)&lt;0.5, "Pending", IF(N26&lt;0.5, "Complete", "In Progress"))</f>
        <v>Complete</v>
      </c>
      <c r="P26" s="22">
        <v>0</v>
      </c>
      <c r="Q26" s="22">
        <f t="shared" ref="Q26:Q29" si="141">MAX(N26-P26,0)</f>
        <v>0</v>
      </c>
      <c r="R26" s="23" t="str">
        <f>IF(SUMPRODUCT($J$76:Q$76,$J26:Q26)&lt;0.5, "Pending", IF(Q26&lt;0.5, "Complete", "In Progress"))</f>
        <v>Complete</v>
      </c>
      <c r="S26" s="22">
        <v>0</v>
      </c>
      <c r="T26" s="22">
        <f t="shared" ref="T26:T29" si="142">MAX(Q26-S26,0)</f>
        <v>0</v>
      </c>
      <c r="U26" s="23" t="str">
        <f>IF(SUMPRODUCT($J$76:T$76,$J26:T26)&lt;0.5, "Pending", IF(T26&lt;0.5, "Complete", "In Progress"))</f>
        <v>Complete</v>
      </c>
      <c r="V26" s="22">
        <v>0</v>
      </c>
      <c r="W26" s="22">
        <f t="shared" ref="W26:W29" si="143">MAX(T26-V26,0)</f>
        <v>0</v>
      </c>
      <c r="X26" s="23" t="str">
        <f>IF(SUMPRODUCT($J$76:W$76,$J26:W26)&lt;0.5, "Pending", IF(W26&lt;0.5, "Complete", "In Progress"))</f>
        <v>Complete</v>
      </c>
      <c r="Y26" s="22">
        <v>0</v>
      </c>
      <c r="Z26" s="22">
        <f t="shared" ref="Z26:Z29" si="144">MAX(W26-Y26,0)</f>
        <v>0</v>
      </c>
      <c r="AA26" s="23" t="str">
        <f>IF(SUMPRODUCT($J$76:Z$76,$J26:Z26)&lt;0.5, "Pending", IF(Z26&lt;0.5, "Complete", "In Progress"))</f>
        <v>Complete</v>
      </c>
      <c r="AB26" s="22">
        <v>0</v>
      </c>
      <c r="AC26" s="22">
        <f t="shared" ref="AC26:AC29" si="145">MAX(Z26-AB26,0)</f>
        <v>0</v>
      </c>
      <c r="AD26" s="23" t="str">
        <f>IF(SUMPRODUCT($J$76:AC$76,$J26:AC26)&lt;0.5, "Pending", IF(AC26&lt;0.5, "Complete", "In Progress"))</f>
        <v>Complete</v>
      </c>
      <c r="AE26" s="22">
        <v>0</v>
      </c>
      <c r="AF26" s="22">
        <f t="shared" ref="AF26:AF29" si="146">MAX(AC26-AE26,0)</f>
        <v>0</v>
      </c>
      <c r="AG26" s="23" t="str">
        <f>IF(SUMPRODUCT($J$76:AF$76,$J26:AF26)&lt;0.5, "Pending", IF(AF26&lt;0.5, "Complete", "In Progress"))</f>
        <v>Complete</v>
      </c>
      <c r="AH26" s="22">
        <v>0</v>
      </c>
      <c r="AI26" s="22">
        <f t="shared" ref="AI26:AI29" si="147">MAX(AF26-AH26,0)</f>
        <v>0</v>
      </c>
      <c r="AJ26" s="23" t="str">
        <f>IF(SUMPRODUCT($J$76:AI$76,$J26:AI26)&lt;0.5, "Pending", IF(AI26&lt;0.5, "Complete", "In Progress"))</f>
        <v>Complete</v>
      </c>
      <c r="AK26" s="22">
        <v>0</v>
      </c>
      <c r="AL26" s="22">
        <f t="shared" ref="AL26:AL29" si="148">MAX(AI26-AK26,0)</f>
        <v>0</v>
      </c>
      <c r="AM26" s="23" t="str">
        <f>IF(SUMPRODUCT($J$76:AL$76,$J26:AL26)&lt;0.5, "Pending", IF(AL26&lt;0.5, "Complete", "In Progress"))</f>
        <v>Complete</v>
      </c>
      <c r="AN26" s="22">
        <v>0</v>
      </c>
      <c r="AO26" s="22">
        <f t="shared" ref="AO26:AO29" si="149">MAX(AL26-AN26,0)</f>
        <v>0</v>
      </c>
      <c r="AP26" s="23" t="str">
        <f>IF(SUMPRODUCT($J$76:AO$76,$J26:AO26)&lt;0.5, "Pending", IF(AO26&lt;0.5, "Complete", "In Progress"))</f>
        <v>Complete</v>
      </c>
      <c r="AQ26" s="22">
        <v>0</v>
      </c>
      <c r="AR26" s="22">
        <f t="shared" ref="AR26:AR29" si="150">MAX(AO26-AQ26,0)</f>
        <v>0</v>
      </c>
      <c r="AS26" s="23" t="str">
        <f>IF(SUMPRODUCT($J$76:AR$76,$J26:AR26)&lt;0.5, "Pending", IF(AR26&lt;0.5, "Complete", "In Progress"))</f>
        <v>Complete</v>
      </c>
      <c r="AT26" s="22">
        <v>0</v>
      </c>
      <c r="AU26" s="22">
        <f t="shared" ref="AU26:AU29" si="151">MAX(AR26-AT26,0)</f>
        <v>0</v>
      </c>
      <c r="AV26" s="23" t="str">
        <f>IF(SUMPRODUCT($J$76:AU$76,$J26:AU26)&lt;0.5, "Pending", IF(AU26&lt;0.5, "Complete", "In Progress"))</f>
        <v>Complete</v>
      </c>
      <c r="AW26" s="22">
        <v>0</v>
      </c>
      <c r="AX26" s="22">
        <f t="shared" ref="AX26:AX29" si="152">MAX(AU26-AW26,0)</f>
        <v>0</v>
      </c>
      <c r="AY26" s="23" t="str">
        <f>IF(SUMPRODUCT($J$76:AX$76,$J26:AX26)&lt;0.5, "Pending", IF(AX26&lt;0.5, "Complete", "In Progress"))</f>
        <v>Complete</v>
      </c>
      <c r="AZ26" s="22">
        <v>0</v>
      </c>
      <c r="BA26" s="22" t="e">
        <f>MAX(#REF!-AZ26,0)</f>
        <v>#REF!</v>
      </c>
      <c r="BB26" s="23" t="e">
        <f>IF(SUMPRODUCT($J$76:BA$76,$J26:BA26)&lt;0.5, "Pending", IF(BA26&lt;0.5, "Complete", "In Progress"))</f>
        <v>#REF!</v>
      </c>
      <c r="BC26" s="22">
        <v>0</v>
      </c>
      <c r="BD26" s="22" t="e">
        <f t="shared" ref="BD26:BD29" si="153">MAX(BA26-BC26,0)</f>
        <v>#REF!</v>
      </c>
      <c r="BE26" s="23" t="e">
        <f>IF(SUMPRODUCT($J$76:BD$76,$J26:BD26)&lt;0.5, "Pending", IF(BD26&lt;0.5, "Complete", "In Progress"))</f>
        <v>#REF!</v>
      </c>
      <c r="BF26" s="22">
        <v>0</v>
      </c>
      <c r="BG26" s="22" t="e">
        <f t="shared" ref="BG26:BG29" si="154">MAX(BD26-BF26,0)</f>
        <v>#REF!</v>
      </c>
      <c r="BH26" s="23" t="e">
        <f>IF(SUMPRODUCT($J$76:BG$76,$J26:BG26)&lt;0.5, "Pending", IF(BG26&lt;0.5, "Complete", "In Progress"))</f>
        <v>#REF!</v>
      </c>
      <c r="BI26" s="22">
        <v>0</v>
      </c>
      <c r="BJ26" s="22" t="e">
        <f t="shared" ref="BJ26:BJ29" si="155">MAX(BG26-BI26,0)</f>
        <v>#REF!</v>
      </c>
      <c r="BK26" s="23" t="e">
        <f>IF(SUMPRODUCT($J$76:BJ$76,$J26:BJ26)&lt;0.5, "Pending", IF(BJ26&lt;0.5, "Complete", "In Progress"))</f>
        <v>#REF!</v>
      </c>
      <c r="BL26" s="22">
        <v>0</v>
      </c>
      <c r="BM26" s="22" t="e">
        <f t="shared" ref="BM26:BM29" si="156">MAX(BJ26-BL26,0)</f>
        <v>#REF!</v>
      </c>
      <c r="BN26" s="23" t="e">
        <f>IF(SUMPRODUCT($J$76:BM$76,$J26:BM26)&lt;0.5, "Pending", IF(BM26&lt;0.5, "Complete", "In Progress"))</f>
        <v>#REF!</v>
      </c>
      <c r="BO26" s="22">
        <v>0</v>
      </c>
      <c r="BP26" s="22" t="e">
        <f t="shared" ref="BP26:BP29" si="157">MAX(BM26-BO26,0)</f>
        <v>#REF!</v>
      </c>
      <c r="BQ26" s="23" t="e">
        <f>IF(SUMPRODUCT($J$76:BP$76,$J26:BP26)&lt;0.5, "Pending", IF(BP26&lt;0.5, "Complete", "In Progress"))</f>
        <v>#REF!</v>
      </c>
      <c r="BR26" s="22">
        <v>0</v>
      </c>
      <c r="BS26" s="22" t="e">
        <f t="shared" ref="BS26:BS29" si="158">MAX(BP26-BR26,0)</f>
        <v>#REF!</v>
      </c>
      <c r="BT26" s="23" t="e">
        <f>IF(SUMPRODUCT($J$76:BS$76,$J26:BS26)&lt;0.5, "Pending", IF(BS26&lt;0.5, "Complete", "In Progress"))</f>
        <v>#REF!</v>
      </c>
      <c r="BU26" s="22">
        <v>0</v>
      </c>
      <c r="BV26" s="22" t="e">
        <f t="shared" ref="BV26:BV29" si="159">MAX(BS26-BU26,0)</f>
        <v>#REF!</v>
      </c>
      <c r="BW26" s="23" t="e">
        <f>IF(SUMPRODUCT($J$76:BV$76,$J26:BV26)&lt;0.5, "Pending", IF(BV26&lt;0.5, "Complete", "In Progress"))</f>
        <v>#REF!</v>
      </c>
      <c r="BX26" s="22">
        <v>0</v>
      </c>
      <c r="BY26" s="22" t="e">
        <f t="shared" ref="BY26:BY29" si="160">MAX(BV26-BX26,0)</f>
        <v>#REF!</v>
      </c>
      <c r="BZ26" s="23" t="e">
        <f>IF(SUMPRODUCT($J$76:BY$76,$J26:BY26)&lt;0.5, "Pending", IF(BY26&lt;0.5, "Complete", "In Progress"))</f>
        <v>#REF!</v>
      </c>
      <c r="CA26" s="22">
        <v>0</v>
      </c>
      <c r="CB26" s="22" t="e">
        <f t="shared" ref="CB26:CB29" si="161">MAX(BY26-CA26,0)</f>
        <v>#REF!</v>
      </c>
      <c r="CC26" s="23" t="e">
        <f>IF(SUMPRODUCT($J$76:CB$76,$J26:CB26)&lt;0.5, "Pending", IF(CB26&lt;0.5, "Complete", "In Progress"))</f>
        <v>#REF!</v>
      </c>
      <c r="CD26" s="24"/>
      <c r="CE26" s="25">
        <f>SUMPRODUCT($H$76:AY$76,$H26:AY26)</f>
        <v>1</v>
      </c>
    </row>
    <row r="27" spans="1:83">
      <c r="A27" s="16"/>
      <c r="B27" s="16" t="s">
        <v>124</v>
      </c>
      <c r="C27" s="16" t="s">
        <v>166</v>
      </c>
      <c r="D27" s="17" t="s">
        <v>182</v>
      </c>
      <c r="E27" s="178" t="s">
        <v>170</v>
      </c>
      <c r="F27" s="18" t="s">
        <v>118</v>
      </c>
      <c r="G27" s="19" t="str">
        <f t="shared" ca="1" si="0"/>
        <v>Complete</v>
      </c>
      <c r="H27" s="20">
        <v>1</v>
      </c>
      <c r="I27" s="21">
        <v>42</v>
      </c>
      <c r="J27" s="22">
        <v>42</v>
      </c>
      <c r="K27" s="22">
        <f t="shared" si="139"/>
        <v>0</v>
      </c>
      <c r="L27" s="23" t="str">
        <f>IF(SUMPRODUCT($J$76:K$76,$J27:K27)&lt;0.5, "Pending", IF(K27&lt;0.5, "Complete", "In Progress"))</f>
        <v>Complete</v>
      </c>
      <c r="M27" s="22">
        <v>0</v>
      </c>
      <c r="N27" s="22">
        <f t="shared" si="140"/>
        <v>0</v>
      </c>
      <c r="O27" s="23" t="str">
        <f>IF(SUMPRODUCT($J$76:N$76,$J27:N27)&lt;0.5, "Pending", IF(N27&lt;0.5, "Complete", "In Progress"))</f>
        <v>Complete</v>
      </c>
      <c r="P27" s="22">
        <v>0</v>
      </c>
      <c r="Q27" s="22">
        <f t="shared" si="141"/>
        <v>0</v>
      </c>
      <c r="R27" s="23" t="str">
        <f>IF(SUMPRODUCT($J$76:Q$76,$J27:Q27)&lt;0.5, "Pending", IF(Q27&lt;0.5, "Complete", "In Progress"))</f>
        <v>Complete</v>
      </c>
      <c r="S27" s="22">
        <v>0</v>
      </c>
      <c r="T27" s="22">
        <f t="shared" si="142"/>
        <v>0</v>
      </c>
      <c r="U27" s="23" t="str">
        <f>IF(SUMPRODUCT($J$76:T$76,$J27:T27)&lt;0.5, "Pending", IF(T27&lt;0.5, "Complete", "In Progress"))</f>
        <v>Complete</v>
      </c>
      <c r="V27" s="22">
        <v>0</v>
      </c>
      <c r="W27" s="22">
        <f t="shared" si="143"/>
        <v>0</v>
      </c>
      <c r="X27" s="23" t="str">
        <f>IF(SUMPRODUCT($J$76:W$76,$J27:W27)&lt;0.5, "Pending", IF(W27&lt;0.5, "Complete", "In Progress"))</f>
        <v>Complete</v>
      </c>
      <c r="Y27" s="22">
        <v>0</v>
      </c>
      <c r="Z27" s="22">
        <f t="shared" si="144"/>
        <v>0</v>
      </c>
      <c r="AA27" s="23" t="str">
        <f>IF(SUMPRODUCT($J$76:Z$76,$J27:Z27)&lt;0.5, "Pending", IF(Z27&lt;0.5, "Complete", "In Progress"))</f>
        <v>Complete</v>
      </c>
      <c r="AB27" s="22">
        <v>0</v>
      </c>
      <c r="AC27" s="22">
        <f t="shared" si="145"/>
        <v>0</v>
      </c>
      <c r="AD27" s="23" t="str">
        <f>IF(SUMPRODUCT($J$76:AC$76,$J27:AC27)&lt;0.5, "Pending", IF(AC27&lt;0.5, "Complete", "In Progress"))</f>
        <v>Complete</v>
      </c>
      <c r="AE27" s="22">
        <v>0</v>
      </c>
      <c r="AF27" s="22">
        <f t="shared" si="146"/>
        <v>0</v>
      </c>
      <c r="AG27" s="23" t="str">
        <f>IF(SUMPRODUCT($J$76:AF$76,$J27:AF27)&lt;0.5, "Pending", IF(AF27&lt;0.5, "Complete", "In Progress"))</f>
        <v>Complete</v>
      </c>
      <c r="AH27" s="22">
        <v>0</v>
      </c>
      <c r="AI27" s="22">
        <f t="shared" si="147"/>
        <v>0</v>
      </c>
      <c r="AJ27" s="23" t="str">
        <f>IF(SUMPRODUCT($J$76:AI$76,$J27:AI27)&lt;0.5, "Pending", IF(AI27&lt;0.5, "Complete", "In Progress"))</f>
        <v>Complete</v>
      </c>
      <c r="AK27" s="22">
        <v>0</v>
      </c>
      <c r="AL27" s="22">
        <f t="shared" si="148"/>
        <v>0</v>
      </c>
      <c r="AM27" s="23" t="str">
        <f>IF(SUMPRODUCT($J$76:AL$76,$J27:AL27)&lt;0.5, "Pending", IF(AL27&lt;0.5, "Complete", "In Progress"))</f>
        <v>Complete</v>
      </c>
      <c r="AN27" s="22">
        <v>0</v>
      </c>
      <c r="AO27" s="22">
        <f t="shared" si="149"/>
        <v>0</v>
      </c>
      <c r="AP27" s="23" t="str">
        <f>IF(SUMPRODUCT($J$76:AO$76,$J27:AO27)&lt;0.5, "Pending", IF(AO27&lt;0.5, "Complete", "In Progress"))</f>
        <v>Complete</v>
      </c>
      <c r="AQ27" s="22">
        <v>0</v>
      </c>
      <c r="AR27" s="22">
        <f t="shared" si="150"/>
        <v>0</v>
      </c>
      <c r="AS27" s="23" t="str">
        <f>IF(SUMPRODUCT($J$76:AR$76,$J27:AR27)&lt;0.5, "Pending", IF(AR27&lt;0.5, "Complete", "In Progress"))</f>
        <v>Complete</v>
      </c>
      <c r="AT27" s="22">
        <v>0</v>
      </c>
      <c r="AU27" s="22">
        <f t="shared" si="151"/>
        <v>0</v>
      </c>
      <c r="AV27" s="23" t="str">
        <f>IF(SUMPRODUCT($J$76:AU$76,$J27:AU27)&lt;0.5, "Pending", IF(AU27&lt;0.5, "Complete", "In Progress"))</f>
        <v>Complete</v>
      </c>
      <c r="AW27" s="22">
        <v>0</v>
      </c>
      <c r="AX27" s="22">
        <f t="shared" si="152"/>
        <v>0</v>
      </c>
      <c r="AY27" s="23" t="str">
        <f>IF(SUMPRODUCT($J$76:AX$76,$J27:AX27)&lt;0.5, "Pending", IF(AX27&lt;0.5, "Complete", "In Progress"))</f>
        <v>Complete</v>
      </c>
      <c r="AZ27" s="22">
        <v>0</v>
      </c>
      <c r="BA27" s="22" t="e">
        <f>MAX(#REF!-AZ27,0)</f>
        <v>#REF!</v>
      </c>
      <c r="BB27" s="23" t="e">
        <f>IF(SUMPRODUCT($J$76:BA$76,$J27:BA27)&lt;0.5, "Pending", IF(BA27&lt;0.5, "Complete", "In Progress"))</f>
        <v>#REF!</v>
      </c>
      <c r="BC27" s="22">
        <v>0</v>
      </c>
      <c r="BD27" s="22" t="e">
        <f t="shared" si="153"/>
        <v>#REF!</v>
      </c>
      <c r="BE27" s="23" t="e">
        <f>IF(SUMPRODUCT($J$76:BD$76,$J27:BD27)&lt;0.5, "Pending", IF(BD27&lt;0.5, "Complete", "In Progress"))</f>
        <v>#REF!</v>
      </c>
      <c r="BF27" s="22">
        <v>0</v>
      </c>
      <c r="BG27" s="22" t="e">
        <f t="shared" si="154"/>
        <v>#REF!</v>
      </c>
      <c r="BH27" s="23" t="e">
        <f>IF(SUMPRODUCT($J$76:BG$76,$J27:BG27)&lt;0.5, "Pending", IF(BG27&lt;0.5, "Complete", "In Progress"))</f>
        <v>#REF!</v>
      </c>
      <c r="BI27" s="22">
        <v>0</v>
      </c>
      <c r="BJ27" s="22" t="e">
        <f t="shared" si="155"/>
        <v>#REF!</v>
      </c>
      <c r="BK27" s="23" t="e">
        <f>IF(SUMPRODUCT($J$76:BJ$76,$J27:BJ27)&lt;0.5, "Pending", IF(BJ27&lt;0.5, "Complete", "In Progress"))</f>
        <v>#REF!</v>
      </c>
      <c r="BL27" s="22">
        <v>0</v>
      </c>
      <c r="BM27" s="22" t="e">
        <f t="shared" si="156"/>
        <v>#REF!</v>
      </c>
      <c r="BN27" s="23" t="e">
        <f>IF(SUMPRODUCT($J$76:BM$76,$J27:BM27)&lt;0.5, "Pending", IF(BM27&lt;0.5, "Complete", "In Progress"))</f>
        <v>#REF!</v>
      </c>
      <c r="BO27" s="22">
        <v>0</v>
      </c>
      <c r="BP27" s="22" t="e">
        <f t="shared" si="157"/>
        <v>#REF!</v>
      </c>
      <c r="BQ27" s="23" t="e">
        <f>IF(SUMPRODUCT($J$76:BP$76,$J27:BP27)&lt;0.5, "Pending", IF(BP27&lt;0.5, "Complete", "In Progress"))</f>
        <v>#REF!</v>
      </c>
      <c r="BR27" s="22">
        <v>0</v>
      </c>
      <c r="BS27" s="22" t="e">
        <f t="shared" si="158"/>
        <v>#REF!</v>
      </c>
      <c r="BT27" s="23" t="e">
        <f>IF(SUMPRODUCT($J$76:BS$76,$J27:BS27)&lt;0.5, "Pending", IF(BS27&lt;0.5, "Complete", "In Progress"))</f>
        <v>#REF!</v>
      </c>
      <c r="BU27" s="22">
        <v>0</v>
      </c>
      <c r="BV27" s="22" t="e">
        <f t="shared" si="159"/>
        <v>#REF!</v>
      </c>
      <c r="BW27" s="23" t="e">
        <f>IF(SUMPRODUCT($J$76:BV$76,$J27:BV27)&lt;0.5, "Pending", IF(BV27&lt;0.5, "Complete", "In Progress"))</f>
        <v>#REF!</v>
      </c>
      <c r="BX27" s="22">
        <v>0</v>
      </c>
      <c r="BY27" s="22" t="e">
        <f t="shared" si="160"/>
        <v>#REF!</v>
      </c>
      <c r="BZ27" s="23" t="e">
        <f>IF(SUMPRODUCT($J$76:BY$76,$J27:BY27)&lt;0.5, "Pending", IF(BY27&lt;0.5, "Complete", "In Progress"))</f>
        <v>#REF!</v>
      </c>
      <c r="CA27" s="22">
        <v>0</v>
      </c>
      <c r="CB27" s="22" t="e">
        <f t="shared" si="161"/>
        <v>#REF!</v>
      </c>
      <c r="CC27" s="23" t="e">
        <f>IF(SUMPRODUCT($J$76:CB$76,$J27:CB27)&lt;0.5, "Pending", IF(CB27&lt;0.5, "Complete", "In Progress"))</f>
        <v>#REF!</v>
      </c>
      <c r="CD27" s="24"/>
      <c r="CE27" s="25">
        <f>SUMPRODUCT($H$76:AY$76,$H27:AY27)</f>
        <v>42</v>
      </c>
    </row>
    <row r="28" spans="1:83">
      <c r="A28" s="16"/>
      <c r="B28" s="16" t="s">
        <v>617</v>
      </c>
      <c r="C28" s="16" t="s">
        <v>166</v>
      </c>
      <c r="D28" s="17" t="s">
        <v>613</v>
      </c>
      <c r="E28" s="178" t="s">
        <v>614</v>
      </c>
      <c r="F28" s="18" t="s">
        <v>115</v>
      </c>
      <c r="G28" s="19" t="str">
        <f t="shared" ca="1" si="0"/>
        <v>Complete</v>
      </c>
      <c r="H28" s="20">
        <v>1</v>
      </c>
      <c r="I28" s="21">
        <v>7</v>
      </c>
      <c r="J28" s="22">
        <v>7</v>
      </c>
      <c r="K28" s="22">
        <f t="shared" si="139"/>
        <v>0</v>
      </c>
      <c r="L28" s="23" t="str">
        <f>IF(SUMPRODUCT($J$76:K$76,$J28:K28)&lt;0.5, "Pending", IF(K28&lt;0.5, "Complete", "In Progress"))</f>
        <v>Complete</v>
      </c>
      <c r="M28" s="22">
        <v>0</v>
      </c>
      <c r="N28" s="22">
        <f t="shared" si="140"/>
        <v>0</v>
      </c>
      <c r="O28" s="23" t="str">
        <f>IF(SUMPRODUCT($J$76:N$76,$J28:N28)&lt;0.5, "Pending", IF(N28&lt;0.5, "Complete", "In Progress"))</f>
        <v>Complete</v>
      </c>
      <c r="P28" s="22">
        <v>0</v>
      </c>
      <c r="Q28" s="22">
        <f t="shared" si="141"/>
        <v>0</v>
      </c>
      <c r="R28" s="23" t="str">
        <f>IF(SUMPRODUCT($J$76:Q$76,$J28:Q28)&lt;0.5, "Pending", IF(Q28&lt;0.5, "Complete", "In Progress"))</f>
        <v>Complete</v>
      </c>
      <c r="S28" s="22">
        <v>0</v>
      </c>
      <c r="T28" s="22">
        <f t="shared" si="142"/>
        <v>0</v>
      </c>
      <c r="U28" s="23" t="str">
        <f>IF(SUMPRODUCT($J$76:T$76,$J28:T28)&lt;0.5, "Pending", IF(T28&lt;0.5, "Complete", "In Progress"))</f>
        <v>Complete</v>
      </c>
      <c r="V28" s="22">
        <v>0</v>
      </c>
      <c r="W28" s="22">
        <f t="shared" si="143"/>
        <v>0</v>
      </c>
      <c r="X28" s="23" t="str">
        <f>IF(SUMPRODUCT($J$76:W$76,$J28:W28)&lt;0.5, "Pending", IF(W28&lt;0.5, "Complete", "In Progress"))</f>
        <v>Complete</v>
      </c>
      <c r="Y28" s="22">
        <v>0</v>
      </c>
      <c r="Z28" s="22">
        <f t="shared" si="144"/>
        <v>0</v>
      </c>
      <c r="AA28" s="23" t="str">
        <f>IF(SUMPRODUCT($J$76:Z$76,$J28:Z28)&lt;0.5, "Pending", IF(Z28&lt;0.5, "Complete", "In Progress"))</f>
        <v>Complete</v>
      </c>
      <c r="AB28" s="22">
        <v>0</v>
      </c>
      <c r="AC28" s="22">
        <f t="shared" si="145"/>
        <v>0</v>
      </c>
      <c r="AD28" s="23" t="str">
        <f>IF(SUMPRODUCT($J$76:AC$76,$J28:AC28)&lt;0.5, "Pending", IF(AC28&lt;0.5, "Complete", "In Progress"))</f>
        <v>Complete</v>
      </c>
      <c r="AE28" s="22">
        <v>0</v>
      </c>
      <c r="AF28" s="22">
        <f t="shared" si="146"/>
        <v>0</v>
      </c>
      <c r="AG28" s="23" t="str">
        <f>IF(SUMPRODUCT($J$76:AF$76,$J28:AF28)&lt;0.5, "Pending", IF(AF28&lt;0.5, "Complete", "In Progress"))</f>
        <v>Complete</v>
      </c>
      <c r="AH28" s="22">
        <v>0</v>
      </c>
      <c r="AI28" s="22">
        <f t="shared" si="147"/>
        <v>0</v>
      </c>
      <c r="AJ28" s="23" t="str">
        <f>IF(SUMPRODUCT($J$76:AI$76,$J28:AI28)&lt;0.5, "Pending", IF(AI28&lt;0.5, "Complete", "In Progress"))</f>
        <v>Complete</v>
      </c>
      <c r="AK28" s="22">
        <v>0</v>
      </c>
      <c r="AL28" s="22">
        <f t="shared" si="148"/>
        <v>0</v>
      </c>
      <c r="AM28" s="23" t="str">
        <f>IF(SUMPRODUCT($J$76:AL$76,$J28:AL28)&lt;0.5, "Pending", IF(AL28&lt;0.5, "Complete", "In Progress"))</f>
        <v>Complete</v>
      </c>
      <c r="AN28" s="22">
        <v>0</v>
      </c>
      <c r="AO28" s="22">
        <f t="shared" si="149"/>
        <v>0</v>
      </c>
      <c r="AP28" s="23" t="str">
        <f>IF(SUMPRODUCT($J$76:AO$76,$J28:AO28)&lt;0.5, "Pending", IF(AO28&lt;0.5, "Complete", "In Progress"))</f>
        <v>Complete</v>
      </c>
      <c r="AQ28" s="22">
        <v>0</v>
      </c>
      <c r="AR28" s="22">
        <f t="shared" si="150"/>
        <v>0</v>
      </c>
      <c r="AS28" s="23" t="str">
        <f>IF(SUMPRODUCT($J$76:AR$76,$J28:AR28)&lt;0.5, "Pending", IF(AR28&lt;0.5, "Complete", "In Progress"))</f>
        <v>Complete</v>
      </c>
      <c r="AT28" s="22">
        <v>0</v>
      </c>
      <c r="AU28" s="22">
        <f t="shared" si="151"/>
        <v>0</v>
      </c>
      <c r="AV28" s="23" t="str">
        <f>IF(SUMPRODUCT($J$76:AU$76,$J28:AU28)&lt;0.5, "Pending", IF(AU28&lt;0.5, "Complete", "In Progress"))</f>
        <v>Complete</v>
      </c>
      <c r="AW28" s="22">
        <v>0</v>
      </c>
      <c r="AX28" s="22">
        <f t="shared" si="152"/>
        <v>0</v>
      </c>
      <c r="AY28" s="23" t="str">
        <f>IF(SUMPRODUCT($J$76:AX$76,$J28:AX28)&lt;0.5, "Pending", IF(AX28&lt;0.5, "Complete", "In Progress"))</f>
        <v>Complete</v>
      </c>
      <c r="AZ28" s="22">
        <v>0</v>
      </c>
      <c r="BA28" s="22" t="e">
        <f>MAX(#REF!-AZ28,0)</f>
        <v>#REF!</v>
      </c>
      <c r="BB28" s="23" t="e">
        <f>IF(SUMPRODUCT($J$76:BA$76,$J28:BA28)&lt;0.5, "Pending", IF(BA28&lt;0.5, "Complete", "In Progress"))</f>
        <v>#REF!</v>
      </c>
      <c r="BC28" s="22">
        <v>0</v>
      </c>
      <c r="BD28" s="22" t="e">
        <f t="shared" si="153"/>
        <v>#REF!</v>
      </c>
      <c r="BE28" s="23" t="e">
        <f>IF(SUMPRODUCT($J$76:BD$76,$J28:BD28)&lt;0.5, "Pending", IF(BD28&lt;0.5, "Complete", "In Progress"))</f>
        <v>#REF!</v>
      </c>
      <c r="BF28" s="22">
        <v>0</v>
      </c>
      <c r="BG28" s="22" t="e">
        <f t="shared" si="154"/>
        <v>#REF!</v>
      </c>
      <c r="BH28" s="23" t="e">
        <f>IF(SUMPRODUCT($J$76:BG$76,$J28:BG28)&lt;0.5, "Pending", IF(BG28&lt;0.5, "Complete", "In Progress"))</f>
        <v>#REF!</v>
      </c>
      <c r="BI28" s="22">
        <v>0</v>
      </c>
      <c r="BJ28" s="22" t="e">
        <f t="shared" si="155"/>
        <v>#REF!</v>
      </c>
      <c r="BK28" s="23" t="e">
        <f>IF(SUMPRODUCT($J$76:BJ$76,$J28:BJ28)&lt;0.5, "Pending", IF(BJ28&lt;0.5, "Complete", "In Progress"))</f>
        <v>#REF!</v>
      </c>
      <c r="BL28" s="22">
        <v>0</v>
      </c>
      <c r="BM28" s="22" t="e">
        <f t="shared" si="156"/>
        <v>#REF!</v>
      </c>
      <c r="BN28" s="23" t="e">
        <f>IF(SUMPRODUCT($J$76:BM$76,$J28:BM28)&lt;0.5, "Pending", IF(BM28&lt;0.5, "Complete", "In Progress"))</f>
        <v>#REF!</v>
      </c>
      <c r="BO28" s="22">
        <v>0</v>
      </c>
      <c r="BP28" s="22" t="e">
        <f t="shared" si="157"/>
        <v>#REF!</v>
      </c>
      <c r="BQ28" s="23" t="e">
        <f>IF(SUMPRODUCT($J$76:BP$76,$J28:BP28)&lt;0.5, "Pending", IF(BP28&lt;0.5, "Complete", "In Progress"))</f>
        <v>#REF!</v>
      </c>
      <c r="BR28" s="22">
        <v>0</v>
      </c>
      <c r="BS28" s="22" t="e">
        <f t="shared" si="158"/>
        <v>#REF!</v>
      </c>
      <c r="BT28" s="23" t="e">
        <f>IF(SUMPRODUCT($J$76:BS$76,$J28:BS28)&lt;0.5, "Pending", IF(BS28&lt;0.5, "Complete", "In Progress"))</f>
        <v>#REF!</v>
      </c>
      <c r="BU28" s="22">
        <v>0</v>
      </c>
      <c r="BV28" s="22" t="e">
        <f t="shared" si="159"/>
        <v>#REF!</v>
      </c>
      <c r="BW28" s="23" t="e">
        <f>IF(SUMPRODUCT($J$76:BV$76,$J28:BV28)&lt;0.5, "Pending", IF(BV28&lt;0.5, "Complete", "In Progress"))</f>
        <v>#REF!</v>
      </c>
      <c r="BX28" s="22">
        <v>0</v>
      </c>
      <c r="BY28" s="22" t="e">
        <f t="shared" si="160"/>
        <v>#REF!</v>
      </c>
      <c r="BZ28" s="23" t="e">
        <f>IF(SUMPRODUCT($J$76:BY$76,$J28:BY28)&lt;0.5, "Pending", IF(BY28&lt;0.5, "Complete", "In Progress"))</f>
        <v>#REF!</v>
      </c>
      <c r="CA28" s="22">
        <v>0</v>
      </c>
      <c r="CB28" s="22" t="e">
        <f t="shared" si="161"/>
        <v>#REF!</v>
      </c>
      <c r="CC28" s="23" t="e">
        <f>IF(SUMPRODUCT($J$76:CB$76,$J28:CB28)&lt;0.5, "Pending", IF(CB28&lt;0.5, "Complete", "In Progress"))</f>
        <v>#REF!</v>
      </c>
      <c r="CD28" s="24"/>
      <c r="CE28" s="25">
        <f>SUMPRODUCT($H$76:AY$76,$H28:AY28)</f>
        <v>7</v>
      </c>
    </row>
    <row r="29" spans="1:83">
      <c r="A29" s="16"/>
      <c r="B29" s="16" t="s">
        <v>617</v>
      </c>
      <c r="C29" s="16" t="s">
        <v>166</v>
      </c>
      <c r="D29" s="17" t="s">
        <v>620</v>
      </c>
      <c r="E29" s="178" t="s">
        <v>616</v>
      </c>
      <c r="F29" s="18" t="s">
        <v>119</v>
      </c>
      <c r="G29" s="19" t="str">
        <f t="shared" ca="1" si="0"/>
        <v>Complete</v>
      </c>
      <c r="H29" s="20">
        <v>1</v>
      </c>
      <c r="I29" s="21">
        <v>7</v>
      </c>
      <c r="J29" s="22">
        <v>7</v>
      </c>
      <c r="K29" s="22">
        <f t="shared" si="139"/>
        <v>0</v>
      </c>
      <c r="L29" s="23" t="str">
        <f>IF(SUMPRODUCT($J$76:K$76,$J29:K29)&lt;0.5, "Pending", IF(K29&lt;0.5, "Complete", "In Progress"))</f>
        <v>Complete</v>
      </c>
      <c r="M29" s="22">
        <v>0</v>
      </c>
      <c r="N29" s="22">
        <f t="shared" si="140"/>
        <v>0</v>
      </c>
      <c r="O29" s="23" t="str">
        <f>IF(SUMPRODUCT($J$76:N$76,$J29:N29)&lt;0.5, "Pending", IF(N29&lt;0.5, "Complete", "In Progress"))</f>
        <v>Complete</v>
      </c>
      <c r="P29" s="22">
        <v>0</v>
      </c>
      <c r="Q29" s="22">
        <f t="shared" si="141"/>
        <v>0</v>
      </c>
      <c r="R29" s="23" t="str">
        <f>IF(SUMPRODUCT($J$76:Q$76,$J29:Q29)&lt;0.5, "Pending", IF(Q29&lt;0.5, "Complete", "In Progress"))</f>
        <v>Complete</v>
      </c>
      <c r="S29" s="22">
        <v>0</v>
      </c>
      <c r="T29" s="22">
        <f t="shared" si="142"/>
        <v>0</v>
      </c>
      <c r="U29" s="23" t="str">
        <f>IF(SUMPRODUCT($J$76:T$76,$J29:T29)&lt;0.5, "Pending", IF(T29&lt;0.5, "Complete", "In Progress"))</f>
        <v>Complete</v>
      </c>
      <c r="V29" s="22">
        <v>0</v>
      </c>
      <c r="W29" s="22">
        <f t="shared" si="143"/>
        <v>0</v>
      </c>
      <c r="X29" s="23" t="str">
        <f>IF(SUMPRODUCT($J$76:W$76,$J29:W29)&lt;0.5, "Pending", IF(W29&lt;0.5, "Complete", "In Progress"))</f>
        <v>Complete</v>
      </c>
      <c r="Y29" s="22">
        <v>0</v>
      </c>
      <c r="Z29" s="22">
        <f t="shared" si="144"/>
        <v>0</v>
      </c>
      <c r="AA29" s="23" t="str">
        <f>IF(SUMPRODUCT($J$76:Z$76,$J29:Z29)&lt;0.5, "Pending", IF(Z29&lt;0.5, "Complete", "In Progress"))</f>
        <v>Complete</v>
      </c>
      <c r="AB29" s="22">
        <v>0</v>
      </c>
      <c r="AC29" s="22">
        <f t="shared" si="145"/>
        <v>0</v>
      </c>
      <c r="AD29" s="23" t="str">
        <f>IF(SUMPRODUCT($J$76:AC$76,$J29:AC29)&lt;0.5, "Pending", IF(AC29&lt;0.5, "Complete", "In Progress"))</f>
        <v>Complete</v>
      </c>
      <c r="AE29" s="22">
        <v>0</v>
      </c>
      <c r="AF29" s="22">
        <f t="shared" si="146"/>
        <v>0</v>
      </c>
      <c r="AG29" s="23" t="str">
        <f>IF(SUMPRODUCT($J$76:AF$76,$J29:AF29)&lt;0.5, "Pending", IF(AF29&lt;0.5, "Complete", "In Progress"))</f>
        <v>Complete</v>
      </c>
      <c r="AH29" s="22">
        <v>0</v>
      </c>
      <c r="AI29" s="22">
        <f t="shared" si="147"/>
        <v>0</v>
      </c>
      <c r="AJ29" s="23" t="str">
        <f>IF(SUMPRODUCT($J$76:AI$76,$J29:AI29)&lt;0.5, "Pending", IF(AI29&lt;0.5, "Complete", "In Progress"))</f>
        <v>Complete</v>
      </c>
      <c r="AK29" s="22">
        <v>0</v>
      </c>
      <c r="AL29" s="22">
        <f t="shared" si="148"/>
        <v>0</v>
      </c>
      <c r="AM29" s="23" t="str">
        <f>IF(SUMPRODUCT($J$76:AL$76,$J29:AL29)&lt;0.5, "Pending", IF(AL29&lt;0.5, "Complete", "In Progress"))</f>
        <v>Complete</v>
      </c>
      <c r="AN29" s="22">
        <v>0</v>
      </c>
      <c r="AO29" s="22">
        <f t="shared" si="149"/>
        <v>0</v>
      </c>
      <c r="AP29" s="23" t="str">
        <f>IF(SUMPRODUCT($J$76:AO$76,$J29:AO29)&lt;0.5, "Pending", IF(AO29&lt;0.5, "Complete", "In Progress"))</f>
        <v>Complete</v>
      </c>
      <c r="AQ29" s="22">
        <v>0</v>
      </c>
      <c r="AR29" s="22">
        <f t="shared" si="150"/>
        <v>0</v>
      </c>
      <c r="AS29" s="23" t="str">
        <f>IF(SUMPRODUCT($J$76:AR$76,$J29:AR29)&lt;0.5, "Pending", IF(AR29&lt;0.5, "Complete", "In Progress"))</f>
        <v>Complete</v>
      </c>
      <c r="AT29" s="22">
        <v>0</v>
      </c>
      <c r="AU29" s="22">
        <f t="shared" si="151"/>
        <v>0</v>
      </c>
      <c r="AV29" s="23" t="str">
        <f>IF(SUMPRODUCT($J$76:AU$76,$J29:AU29)&lt;0.5, "Pending", IF(AU29&lt;0.5, "Complete", "In Progress"))</f>
        <v>Complete</v>
      </c>
      <c r="AW29" s="22">
        <v>0</v>
      </c>
      <c r="AX29" s="22">
        <f t="shared" si="152"/>
        <v>0</v>
      </c>
      <c r="AY29" s="23" t="str">
        <f>IF(SUMPRODUCT($J$76:AX$76,$J29:AX29)&lt;0.5, "Pending", IF(AX29&lt;0.5, "Complete", "In Progress"))</f>
        <v>Complete</v>
      </c>
      <c r="AZ29" s="22">
        <v>0</v>
      </c>
      <c r="BA29" s="22" t="e">
        <f>MAX(#REF!-AZ29,0)</f>
        <v>#REF!</v>
      </c>
      <c r="BB29" s="23" t="e">
        <f>IF(SUMPRODUCT($J$76:BA$76,$J29:BA29)&lt;0.5, "Pending", IF(BA29&lt;0.5, "Complete", "In Progress"))</f>
        <v>#REF!</v>
      </c>
      <c r="BC29" s="22">
        <v>0</v>
      </c>
      <c r="BD29" s="22" t="e">
        <f t="shared" si="153"/>
        <v>#REF!</v>
      </c>
      <c r="BE29" s="23" t="e">
        <f>IF(SUMPRODUCT($J$76:BD$76,$J29:BD29)&lt;0.5, "Pending", IF(BD29&lt;0.5, "Complete", "In Progress"))</f>
        <v>#REF!</v>
      </c>
      <c r="BF29" s="22">
        <v>0</v>
      </c>
      <c r="BG29" s="22" t="e">
        <f t="shared" si="154"/>
        <v>#REF!</v>
      </c>
      <c r="BH29" s="23" t="e">
        <f>IF(SUMPRODUCT($J$76:BG$76,$J29:BG29)&lt;0.5, "Pending", IF(BG29&lt;0.5, "Complete", "In Progress"))</f>
        <v>#REF!</v>
      </c>
      <c r="BI29" s="22">
        <v>0</v>
      </c>
      <c r="BJ29" s="22" t="e">
        <f t="shared" si="155"/>
        <v>#REF!</v>
      </c>
      <c r="BK29" s="23" t="e">
        <f>IF(SUMPRODUCT($J$76:BJ$76,$J29:BJ29)&lt;0.5, "Pending", IF(BJ29&lt;0.5, "Complete", "In Progress"))</f>
        <v>#REF!</v>
      </c>
      <c r="BL29" s="22">
        <v>0</v>
      </c>
      <c r="BM29" s="22" t="e">
        <f t="shared" si="156"/>
        <v>#REF!</v>
      </c>
      <c r="BN29" s="23" t="e">
        <f>IF(SUMPRODUCT($J$76:BM$76,$J29:BM29)&lt;0.5, "Pending", IF(BM29&lt;0.5, "Complete", "In Progress"))</f>
        <v>#REF!</v>
      </c>
      <c r="BO29" s="22">
        <v>0</v>
      </c>
      <c r="BP29" s="22" t="e">
        <f t="shared" si="157"/>
        <v>#REF!</v>
      </c>
      <c r="BQ29" s="23" t="e">
        <f>IF(SUMPRODUCT($J$76:BP$76,$J29:BP29)&lt;0.5, "Pending", IF(BP29&lt;0.5, "Complete", "In Progress"))</f>
        <v>#REF!</v>
      </c>
      <c r="BR29" s="22">
        <v>0</v>
      </c>
      <c r="BS29" s="22" t="e">
        <f t="shared" si="158"/>
        <v>#REF!</v>
      </c>
      <c r="BT29" s="23" t="e">
        <f>IF(SUMPRODUCT($J$76:BS$76,$J29:BS29)&lt;0.5, "Pending", IF(BS29&lt;0.5, "Complete", "In Progress"))</f>
        <v>#REF!</v>
      </c>
      <c r="BU29" s="22">
        <v>0</v>
      </c>
      <c r="BV29" s="22" t="e">
        <f t="shared" si="159"/>
        <v>#REF!</v>
      </c>
      <c r="BW29" s="23" t="e">
        <f>IF(SUMPRODUCT($J$76:BV$76,$J29:BV29)&lt;0.5, "Pending", IF(BV29&lt;0.5, "Complete", "In Progress"))</f>
        <v>#REF!</v>
      </c>
      <c r="BX29" s="22">
        <v>0</v>
      </c>
      <c r="BY29" s="22" t="e">
        <f t="shared" si="160"/>
        <v>#REF!</v>
      </c>
      <c r="BZ29" s="23" t="e">
        <f>IF(SUMPRODUCT($J$76:BY$76,$J29:BY29)&lt;0.5, "Pending", IF(BY29&lt;0.5, "Complete", "In Progress"))</f>
        <v>#REF!</v>
      </c>
      <c r="CA29" s="22">
        <v>0</v>
      </c>
      <c r="CB29" s="22" t="e">
        <f t="shared" si="161"/>
        <v>#REF!</v>
      </c>
      <c r="CC29" s="23" t="e">
        <f>IF(SUMPRODUCT($J$76:CB$76,$J29:CB29)&lt;0.5, "Pending", IF(CB29&lt;0.5, "Complete", "In Progress"))</f>
        <v>#REF!</v>
      </c>
      <c r="CD29" s="24"/>
      <c r="CE29" s="25">
        <f>SUMPRODUCT($H$76:AY$76,$H29:AY29)</f>
        <v>7</v>
      </c>
    </row>
    <row r="30" spans="1:83">
      <c r="A30" s="16"/>
      <c r="B30" s="16" t="s">
        <v>615</v>
      </c>
      <c r="C30" s="16" t="s">
        <v>166</v>
      </c>
      <c r="D30" s="17" t="s">
        <v>621</v>
      </c>
      <c r="E30" s="178" t="s">
        <v>619</v>
      </c>
      <c r="F30" s="18" t="s">
        <v>115</v>
      </c>
      <c r="G30" s="19" t="str">
        <f t="shared" ca="1" si="0"/>
        <v>In Progress</v>
      </c>
      <c r="H30" s="20">
        <v>1</v>
      </c>
      <c r="I30" s="21">
        <v>4</v>
      </c>
      <c r="J30" s="22">
        <v>2</v>
      </c>
      <c r="K30" s="22">
        <f t="shared" si="24"/>
        <v>2</v>
      </c>
      <c r="L30" s="23" t="str">
        <f>IF(SUMPRODUCT($J$76:K$76,$J30:K30)&lt;0.5, "Pending", IF(K30&lt;0.5, "Complete", "In Progress"))</f>
        <v>In Progress</v>
      </c>
      <c r="M30" s="22">
        <v>0</v>
      </c>
      <c r="N30" s="22">
        <f t="shared" si="25"/>
        <v>2</v>
      </c>
      <c r="O30" s="23" t="str">
        <f>IF(SUMPRODUCT($J$76:N$76,$J30:N30)&lt;0.5, "Pending", IF(N30&lt;0.5, "Complete", "In Progress"))</f>
        <v>In Progress</v>
      </c>
      <c r="P30" s="22">
        <v>0</v>
      </c>
      <c r="Q30" s="22">
        <f t="shared" si="26"/>
        <v>2</v>
      </c>
      <c r="R30" s="23" t="str">
        <f>IF(SUMPRODUCT($J$76:Q$76,$J30:Q30)&lt;0.5, "Pending", IF(Q30&lt;0.5, "Complete", "In Progress"))</f>
        <v>In Progress</v>
      </c>
      <c r="S30" s="22">
        <v>0</v>
      </c>
      <c r="T30" s="22">
        <f t="shared" si="27"/>
        <v>2</v>
      </c>
      <c r="U30" s="23" t="str">
        <f>IF(SUMPRODUCT($J$76:T$76,$J30:T30)&lt;0.5, "Pending", IF(T30&lt;0.5, "Complete", "In Progress"))</f>
        <v>In Progress</v>
      </c>
      <c r="V30" s="22">
        <v>0</v>
      </c>
      <c r="W30" s="22">
        <f t="shared" si="28"/>
        <v>2</v>
      </c>
      <c r="X30" s="23" t="str">
        <f>IF(SUMPRODUCT($J$76:W$76,$J30:W30)&lt;0.5, "Pending", IF(W30&lt;0.5, "Complete", "In Progress"))</f>
        <v>In Progress</v>
      </c>
      <c r="Y30" s="22">
        <v>0</v>
      </c>
      <c r="Z30" s="22">
        <f t="shared" si="29"/>
        <v>2</v>
      </c>
      <c r="AA30" s="23" t="str">
        <f>IF(SUMPRODUCT($J$76:Z$76,$J30:Z30)&lt;0.5, "Pending", IF(Z30&lt;0.5, "Complete", "In Progress"))</f>
        <v>In Progress</v>
      </c>
      <c r="AB30" s="22">
        <v>0</v>
      </c>
      <c r="AC30" s="22">
        <f t="shared" si="30"/>
        <v>2</v>
      </c>
      <c r="AD30" s="23" t="str">
        <f>IF(SUMPRODUCT($J$76:AC$76,$J30:AC30)&lt;0.5, "Pending", IF(AC30&lt;0.5, "Complete", "In Progress"))</f>
        <v>In Progress</v>
      </c>
      <c r="AE30" s="22">
        <v>0</v>
      </c>
      <c r="AF30" s="22">
        <f t="shared" si="31"/>
        <v>2</v>
      </c>
      <c r="AG30" s="23" t="str">
        <f>IF(SUMPRODUCT($J$76:AF$76,$J30:AF30)&lt;0.5, "Pending", IF(AF30&lt;0.5, "Complete", "In Progress"))</f>
        <v>In Progress</v>
      </c>
      <c r="AH30" s="22">
        <v>0</v>
      </c>
      <c r="AI30" s="22">
        <f t="shared" si="32"/>
        <v>2</v>
      </c>
      <c r="AJ30" s="23" t="str">
        <f>IF(SUMPRODUCT($J$76:AI$76,$J30:AI30)&lt;0.5, "Pending", IF(AI30&lt;0.5, "Complete", "In Progress"))</f>
        <v>In Progress</v>
      </c>
      <c r="AK30" s="22">
        <v>0</v>
      </c>
      <c r="AL30" s="22">
        <f t="shared" si="33"/>
        <v>2</v>
      </c>
      <c r="AM30" s="23" t="str">
        <f>IF(SUMPRODUCT($J$76:AL$76,$J30:AL30)&lt;0.5, "Pending", IF(AL30&lt;0.5, "Complete", "In Progress"))</f>
        <v>In Progress</v>
      </c>
      <c r="AN30" s="22">
        <v>0</v>
      </c>
      <c r="AO30" s="22">
        <f t="shared" si="34"/>
        <v>2</v>
      </c>
      <c r="AP30" s="23" t="str">
        <f>IF(SUMPRODUCT($J$76:AO$76,$J30:AO30)&lt;0.5, "Pending", IF(AO30&lt;0.5, "Complete", "In Progress"))</f>
        <v>In Progress</v>
      </c>
      <c r="AQ30" s="22">
        <v>0</v>
      </c>
      <c r="AR30" s="22">
        <f t="shared" si="35"/>
        <v>2</v>
      </c>
      <c r="AS30" s="23" t="str">
        <f>IF(SUMPRODUCT($J$76:AR$76,$J30:AR30)&lt;0.5, "Pending", IF(AR30&lt;0.5, "Complete", "In Progress"))</f>
        <v>In Progress</v>
      </c>
      <c r="AT30" s="22">
        <v>0</v>
      </c>
      <c r="AU30" s="22">
        <f t="shared" si="36"/>
        <v>2</v>
      </c>
      <c r="AV30" s="23" t="str">
        <f>IF(SUMPRODUCT($J$76:AU$76,$J30:AU30)&lt;0.5, "Pending", IF(AU30&lt;0.5, "Complete", "In Progress"))</f>
        <v>In Progress</v>
      </c>
      <c r="AW30" s="22">
        <v>0</v>
      </c>
      <c r="AX30" s="22">
        <f t="shared" si="37"/>
        <v>2</v>
      </c>
      <c r="AY30" s="23" t="str">
        <f>IF(SUMPRODUCT($J$76:AX$76,$J30:AX30)&lt;0.5, "Pending", IF(AX30&lt;0.5, "Complete", "In Progress"))</f>
        <v>In Progress</v>
      </c>
      <c r="AZ30" s="22">
        <v>0</v>
      </c>
      <c r="BA30" s="22" t="e">
        <f>MAX(#REF!-AZ30,0)</f>
        <v>#REF!</v>
      </c>
      <c r="BB30" s="23" t="e">
        <f>IF(SUMPRODUCT($J$76:BA$76,$J30:BA30)&lt;0.5, "Pending", IF(BA30&lt;0.5, "Complete", "In Progress"))</f>
        <v>#REF!</v>
      </c>
      <c r="BC30" s="22">
        <v>0</v>
      </c>
      <c r="BD30" s="22" t="e">
        <f t="shared" si="38"/>
        <v>#REF!</v>
      </c>
      <c r="BE30" s="23" t="e">
        <f>IF(SUMPRODUCT($J$76:BD$76,$J30:BD30)&lt;0.5, "Pending", IF(BD30&lt;0.5, "Complete", "In Progress"))</f>
        <v>#REF!</v>
      </c>
      <c r="BF30" s="22">
        <v>0</v>
      </c>
      <c r="BG30" s="22" t="e">
        <f t="shared" si="39"/>
        <v>#REF!</v>
      </c>
      <c r="BH30" s="23" t="e">
        <f>IF(SUMPRODUCT($J$76:BG$76,$J30:BG30)&lt;0.5, "Pending", IF(BG30&lt;0.5, "Complete", "In Progress"))</f>
        <v>#REF!</v>
      </c>
      <c r="BI30" s="22">
        <v>0</v>
      </c>
      <c r="BJ30" s="22" t="e">
        <f t="shared" si="40"/>
        <v>#REF!</v>
      </c>
      <c r="BK30" s="23" t="e">
        <f>IF(SUMPRODUCT($J$76:BJ$76,$J30:BJ30)&lt;0.5, "Pending", IF(BJ30&lt;0.5, "Complete", "In Progress"))</f>
        <v>#REF!</v>
      </c>
      <c r="BL30" s="22">
        <v>0</v>
      </c>
      <c r="BM30" s="22" t="e">
        <f t="shared" si="41"/>
        <v>#REF!</v>
      </c>
      <c r="BN30" s="23" t="e">
        <f>IF(SUMPRODUCT($J$76:BM$76,$J30:BM30)&lt;0.5, "Pending", IF(BM30&lt;0.5, "Complete", "In Progress"))</f>
        <v>#REF!</v>
      </c>
      <c r="BO30" s="22">
        <v>0</v>
      </c>
      <c r="BP30" s="22" t="e">
        <f t="shared" si="42"/>
        <v>#REF!</v>
      </c>
      <c r="BQ30" s="23" t="e">
        <f>IF(SUMPRODUCT($J$76:BP$76,$J30:BP30)&lt;0.5, "Pending", IF(BP30&lt;0.5, "Complete", "In Progress"))</f>
        <v>#REF!</v>
      </c>
      <c r="BR30" s="22">
        <v>0</v>
      </c>
      <c r="BS30" s="22" t="e">
        <f t="shared" si="43"/>
        <v>#REF!</v>
      </c>
      <c r="BT30" s="23" t="e">
        <f>IF(SUMPRODUCT($J$76:BS$76,$J30:BS30)&lt;0.5, "Pending", IF(BS30&lt;0.5, "Complete", "In Progress"))</f>
        <v>#REF!</v>
      </c>
      <c r="BU30" s="22">
        <v>0</v>
      </c>
      <c r="BV30" s="22" t="e">
        <f t="shared" si="44"/>
        <v>#REF!</v>
      </c>
      <c r="BW30" s="23" t="e">
        <f>IF(SUMPRODUCT($J$76:BV$76,$J30:BV30)&lt;0.5, "Pending", IF(BV30&lt;0.5, "Complete", "In Progress"))</f>
        <v>#REF!</v>
      </c>
      <c r="BX30" s="22">
        <v>0</v>
      </c>
      <c r="BY30" s="22" t="e">
        <f t="shared" si="45"/>
        <v>#REF!</v>
      </c>
      <c r="BZ30" s="23" t="e">
        <f>IF(SUMPRODUCT($J$76:BY$76,$J30:BY30)&lt;0.5, "Pending", IF(BY30&lt;0.5, "Complete", "In Progress"))</f>
        <v>#REF!</v>
      </c>
      <c r="CA30" s="22">
        <v>0</v>
      </c>
      <c r="CB30" s="22" t="e">
        <f t="shared" si="46"/>
        <v>#REF!</v>
      </c>
      <c r="CC30" s="23" t="e">
        <f>IF(SUMPRODUCT($J$76:CB$76,$J30:CB30)&lt;0.5, "Pending", IF(CB30&lt;0.5, "Complete", "In Progress"))</f>
        <v>#REF!</v>
      </c>
      <c r="CD30" s="24"/>
      <c r="CE30" s="25">
        <f>SUMPRODUCT($H$76:AY$76,$H30:AY30)</f>
        <v>2</v>
      </c>
    </row>
    <row r="31" spans="1:83">
      <c r="A31" s="16"/>
      <c r="B31" s="16" t="s">
        <v>125</v>
      </c>
      <c r="C31" s="16" t="s">
        <v>624</v>
      </c>
      <c r="D31" s="17" t="s">
        <v>625</v>
      </c>
      <c r="E31" s="178" t="s">
        <v>150</v>
      </c>
      <c r="F31" s="18" t="s">
        <v>118</v>
      </c>
      <c r="G31" s="19" t="str">
        <f t="shared" ca="1" si="0"/>
        <v>Pending</v>
      </c>
      <c r="H31" s="20">
        <v>1</v>
      </c>
      <c r="I31" s="21">
        <v>0</v>
      </c>
      <c r="J31" s="22">
        <v>0</v>
      </c>
      <c r="K31" s="22">
        <f t="shared" si="24"/>
        <v>0</v>
      </c>
      <c r="L31" s="23" t="str">
        <f>IF(SUMPRODUCT($J$76:K$76,$J31:K31)&lt;0.5, "Pending", IF(K31&lt;0.5, "Complete", "In Progress"))</f>
        <v>Pending</v>
      </c>
      <c r="M31" s="22">
        <v>0</v>
      </c>
      <c r="N31" s="22">
        <f t="shared" si="25"/>
        <v>0</v>
      </c>
      <c r="O31" s="23" t="str">
        <f>IF(SUMPRODUCT($J$76:N$76,$J31:N31)&lt;0.5, "Pending", IF(N31&lt;0.5, "Complete", "In Progress"))</f>
        <v>Pending</v>
      </c>
      <c r="P31" s="22">
        <v>0</v>
      </c>
      <c r="Q31" s="22">
        <f t="shared" si="26"/>
        <v>0</v>
      </c>
      <c r="R31" s="23" t="str">
        <f>IF(SUMPRODUCT($J$76:Q$76,$J31:Q31)&lt;0.5, "Pending", IF(Q31&lt;0.5, "Complete", "In Progress"))</f>
        <v>Pending</v>
      </c>
      <c r="S31" s="22">
        <v>0</v>
      </c>
      <c r="T31" s="22">
        <f t="shared" si="27"/>
        <v>0</v>
      </c>
      <c r="U31" s="23" t="str">
        <f>IF(SUMPRODUCT($J$76:T$76,$J31:T31)&lt;0.5, "Pending", IF(T31&lt;0.5, "Complete", "In Progress"))</f>
        <v>Pending</v>
      </c>
      <c r="V31" s="22">
        <v>0</v>
      </c>
      <c r="W31" s="22">
        <f t="shared" si="28"/>
        <v>0</v>
      </c>
      <c r="X31" s="23" t="str">
        <f>IF(SUMPRODUCT($J$76:W$76,$J31:W31)&lt;0.5, "Pending", IF(W31&lt;0.5, "Complete", "In Progress"))</f>
        <v>Pending</v>
      </c>
      <c r="Y31" s="22">
        <v>0</v>
      </c>
      <c r="Z31" s="22">
        <f t="shared" si="29"/>
        <v>0</v>
      </c>
      <c r="AA31" s="23" t="str">
        <f>IF(SUMPRODUCT($J$76:Z$76,$J31:Z31)&lt;0.5, "Pending", IF(Z31&lt;0.5, "Complete", "In Progress"))</f>
        <v>Pending</v>
      </c>
      <c r="AB31" s="22">
        <v>0</v>
      </c>
      <c r="AC31" s="22">
        <f t="shared" si="30"/>
        <v>0</v>
      </c>
      <c r="AD31" s="23" t="str">
        <f>IF(SUMPRODUCT($J$76:AC$76,$J31:AC31)&lt;0.5, "Pending", IF(AC31&lt;0.5, "Complete", "In Progress"))</f>
        <v>Pending</v>
      </c>
      <c r="AE31" s="22">
        <v>0</v>
      </c>
      <c r="AF31" s="22">
        <f t="shared" si="31"/>
        <v>0</v>
      </c>
      <c r="AG31" s="23" t="str">
        <f>IF(SUMPRODUCT($J$76:AF$76,$J31:AF31)&lt;0.5, "Pending", IF(AF31&lt;0.5, "Complete", "In Progress"))</f>
        <v>Pending</v>
      </c>
      <c r="AH31" s="22">
        <v>0</v>
      </c>
      <c r="AI31" s="22">
        <f t="shared" si="32"/>
        <v>0</v>
      </c>
      <c r="AJ31" s="23" t="str">
        <f>IF(SUMPRODUCT($J$76:AI$76,$J31:AI31)&lt;0.5, "Pending", IF(AI31&lt;0.5, "Complete", "In Progress"))</f>
        <v>Pending</v>
      </c>
      <c r="AK31" s="22">
        <v>0</v>
      </c>
      <c r="AL31" s="22">
        <f t="shared" si="33"/>
        <v>0</v>
      </c>
      <c r="AM31" s="23" t="str">
        <f>IF(SUMPRODUCT($J$76:AL$76,$J31:AL31)&lt;0.5, "Pending", IF(AL31&lt;0.5, "Complete", "In Progress"))</f>
        <v>Pending</v>
      </c>
      <c r="AN31" s="22">
        <v>0</v>
      </c>
      <c r="AO31" s="22">
        <f t="shared" si="34"/>
        <v>0</v>
      </c>
      <c r="AP31" s="23" t="str">
        <f>IF(SUMPRODUCT($J$76:AO$76,$J31:AO31)&lt;0.5, "Pending", IF(AO31&lt;0.5, "Complete", "In Progress"))</f>
        <v>Pending</v>
      </c>
      <c r="AQ31" s="22">
        <v>0</v>
      </c>
      <c r="AR31" s="22">
        <f t="shared" si="35"/>
        <v>0</v>
      </c>
      <c r="AS31" s="23" t="str">
        <f>IF(SUMPRODUCT($J$76:AR$76,$J31:AR31)&lt;0.5, "Pending", IF(AR31&lt;0.5, "Complete", "In Progress"))</f>
        <v>Pending</v>
      </c>
      <c r="AT31" s="22">
        <v>0</v>
      </c>
      <c r="AU31" s="22">
        <f t="shared" si="36"/>
        <v>0</v>
      </c>
      <c r="AV31" s="23" t="str">
        <f>IF(SUMPRODUCT($J$76:AU$76,$J31:AU31)&lt;0.5, "Pending", IF(AU31&lt;0.5, "Complete", "In Progress"))</f>
        <v>Pending</v>
      </c>
      <c r="AW31" s="22">
        <v>0</v>
      </c>
      <c r="AX31" s="22">
        <f t="shared" si="37"/>
        <v>0</v>
      </c>
      <c r="AY31" s="23" t="str">
        <f>IF(SUMPRODUCT($J$76:AX$76,$J31:AX31)&lt;0.5, "Pending", IF(AX31&lt;0.5, "Complete", "In Progress"))</f>
        <v>Pending</v>
      </c>
      <c r="AZ31" s="22">
        <v>0</v>
      </c>
      <c r="BA31" s="22" t="e">
        <f>MAX(#REF!-AZ31,0)</f>
        <v>#REF!</v>
      </c>
      <c r="BB31" s="23" t="e">
        <f>IF(SUMPRODUCT($J$76:BA$76,$J31:BA31)&lt;0.5, "Pending", IF(BA31&lt;0.5, "Complete", "In Progress"))</f>
        <v>#REF!</v>
      </c>
      <c r="BC31" s="22">
        <v>0</v>
      </c>
      <c r="BD31" s="22" t="e">
        <f t="shared" si="38"/>
        <v>#REF!</v>
      </c>
      <c r="BE31" s="23" t="e">
        <f>IF(SUMPRODUCT($J$76:BD$76,$J31:BD31)&lt;0.5, "Pending", IF(BD31&lt;0.5, "Complete", "In Progress"))</f>
        <v>#REF!</v>
      </c>
      <c r="BF31" s="22">
        <v>0</v>
      </c>
      <c r="BG31" s="22" t="e">
        <f t="shared" si="39"/>
        <v>#REF!</v>
      </c>
      <c r="BH31" s="23" t="e">
        <f>IF(SUMPRODUCT($J$76:BG$76,$J31:BG31)&lt;0.5, "Pending", IF(BG31&lt;0.5, "Complete", "In Progress"))</f>
        <v>#REF!</v>
      </c>
      <c r="BI31" s="22">
        <v>0</v>
      </c>
      <c r="BJ31" s="22" t="e">
        <f t="shared" si="40"/>
        <v>#REF!</v>
      </c>
      <c r="BK31" s="23" t="e">
        <f>IF(SUMPRODUCT($J$76:BJ$76,$J31:BJ31)&lt;0.5, "Pending", IF(BJ31&lt;0.5, "Complete", "In Progress"))</f>
        <v>#REF!</v>
      </c>
      <c r="BL31" s="22">
        <v>0</v>
      </c>
      <c r="BM31" s="22" t="e">
        <f t="shared" si="41"/>
        <v>#REF!</v>
      </c>
      <c r="BN31" s="23" t="e">
        <f>IF(SUMPRODUCT($J$76:BM$76,$J31:BM31)&lt;0.5, "Pending", IF(BM31&lt;0.5, "Complete", "In Progress"))</f>
        <v>#REF!</v>
      </c>
      <c r="BO31" s="22">
        <v>0</v>
      </c>
      <c r="BP31" s="22" t="e">
        <f t="shared" si="42"/>
        <v>#REF!</v>
      </c>
      <c r="BQ31" s="23" t="e">
        <f>IF(SUMPRODUCT($J$76:BP$76,$J31:BP31)&lt;0.5, "Pending", IF(BP31&lt;0.5, "Complete", "In Progress"))</f>
        <v>#REF!</v>
      </c>
      <c r="BR31" s="22">
        <v>0</v>
      </c>
      <c r="BS31" s="22" t="e">
        <f t="shared" si="43"/>
        <v>#REF!</v>
      </c>
      <c r="BT31" s="23" t="e">
        <f>IF(SUMPRODUCT($J$76:BS$76,$J31:BS31)&lt;0.5, "Pending", IF(BS31&lt;0.5, "Complete", "In Progress"))</f>
        <v>#REF!</v>
      </c>
      <c r="BU31" s="22">
        <v>0</v>
      </c>
      <c r="BV31" s="22" t="e">
        <f t="shared" si="44"/>
        <v>#REF!</v>
      </c>
      <c r="BW31" s="23" t="e">
        <f>IF(SUMPRODUCT($J$76:BV$76,$J31:BV31)&lt;0.5, "Pending", IF(BV31&lt;0.5, "Complete", "In Progress"))</f>
        <v>#REF!</v>
      </c>
      <c r="BX31" s="22">
        <v>0</v>
      </c>
      <c r="BY31" s="22" t="e">
        <f t="shared" si="45"/>
        <v>#REF!</v>
      </c>
      <c r="BZ31" s="23" t="e">
        <f>IF(SUMPRODUCT($J$76:BY$76,$J31:BY31)&lt;0.5, "Pending", IF(BY31&lt;0.5, "Complete", "In Progress"))</f>
        <v>#REF!</v>
      </c>
      <c r="CA31" s="22">
        <v>0</v>
      </c>
      <c r="CB31" s="22"/>
      <c r="CC31" s="23"/>
      <c r="CD31" s="24"/>
      <c r="CE31" s="25"/>
    </row>
    <row r="32" spans="1:83">
      <c r="A32" s="16"/>
      <c r="B32" s="16" t="s">
        <v>125</v>
      </c>
      <c r="C32" s="16" t="s">
        <v>624</v>
      </c>
      <c r="D32" s="17" t="s">
        <v>625</v>
      </c>
      <c r="E32" s="178" t="s">
        <v>151</v>
      </c>
      <c r="F32" s="18" t="s">
        <v>118</v>
      </c>
      <c r="G32" s="19" t="str">
        <f t="shared" ca="1" si="0"/>
        <v>Pending</v>
      </c>
      <c r="H32" s="20">
        <v>1</v>
      </c>
      <c r="I32" s="21">
        <v>0</v>
      </c>
      <c r="J32" s="22">
        <v>0</v>
      </c>
      <c r="K32" s="22">
        <f t="shared" si="24"/>
        <v>0</v>
      </c>
      <c r="L32" s="23" t="str">
        <f>IF(SUMPRODUCT($J$76:K$76,$J32:K32)&lt;0.5, "Pending", IF(K32&lt;0.5, "Complete", "In Progress"))</f>
        <v>Pending</v>
      </c>
      <c r="M32" s="22">
        <v>0</v>
      </c>
      <c r="N32" s="22">
        <f t="shared" si="25"/>
        <v>0</v>
      </c>
      <c r="O32" s="23" t="str">
        <f>IF(SUMPRODUCT($J$76:N$76,$J32:N32)&lt;0.5, "Pending", IF(N32&lt;0.5, "Complete", "In Progress"))</f>
        <v>Pending</v>
      </c>
      <c r="P32" s="22">
        <v>0</v>
      </c>
      <c r="Q32" s="22">
        <f t="shared" si="26"/>
        <v>0</v>
      </c>
      <c r="R32" s="23" t="str">
        <f>IF(SUMPRODUCT($J$76:Q$76,$J32:Q32)&lt;0.5, "Pending", IF(Q32&lt;0.5, "Complete", "In Progress"))</f>
        <v>Pending</v>
      </c>
      <c r="S32" s="22">
        <v>0</v>
      </c>
      <c r="T32" s="22">
        <f t="shared" si="27"/>
        <v>0</v>
      </c>
      <c r="U32" s="23" t="str">
        <f>IF(SUMPRODUCT($J$76:T$76,$J32:T32)&lt;0.5, "Pending", IF(T32&lt;0.5, "Complete", "In Progress"))</f>
        <v>Pending</v>
      </c>
      <c r="V32" s="22">
        <v>0</v>
      </c>
      <c r="W32" s="22">
        <f t="shared" si="28"/>
        <v>0</v>
      </c>
      <c r="X32" s="23" t="str">
        <f>IF(SUMPRODUCT($J$76:W$76,$J32:W32)&lt;0.5, "Pending", IF(W32&lt;0.5, "Complete", "In Progress"))</f>
        <v>Pending</v>
      </c>
      <c r="Y32" s="22">
        <v>0</v>
      </c>
      <c r="Z32" s="22">
        <f t="shared" si="29"/>
        <v>0</v>
      </c>
      <c r="AA32" s="23" t="str">
        <f>IF(SUMPRODUCT($J$76:Z$76,$J32:Z32)&lt;0.5, "Pending", IF(Z32&lt;0.5, "Complete", "In Progress"))</f>
        <v>Pending</v>
      </c>
      <c r="AB32" s="22">
        <v>0</v>
      </c>
      <c r="AC32" s="22">
        <f t="shared" si="30"/>
        <v>0</v>
      </c>
      <c r="AD32" s="23" t="str">
        <f>IF(SUMPRODUCT($J$76:AC$76,$J32:AC32)&lt;0.5, "Pending", IF(AC32&lt;0.5, "Complete", "In Progress"))</f>
        <v>Pending</v>
      </c>
      <c r="AE32" s="22">
        <v>0</v>
      </c>
      <c r="AF32" s="22">
        <f t="shared" si="31"/>
        <v>0</v>
      </c>
      <c r="AG32" s="23" t="str">
        <f>IF(SUMPRODUCT($J$76:AF$76,$J32:AF32)&lt;0.5, "Pending", IF(AF32&lt;0.5, "Complete", "In Progress"))</f>
        <v>Pending</v>
      </c>
      <c r="AH32" s="22">
        <v>0</v>
      </c>
      <c r="AI32" s="22">
        <f t="shared" si="32"/>
        <v>0</v>
      </c>
      <c r="AJ32" s="23" t="str">
        <f>IF(SUMPRODUCT($J$76:AI$76,$J32:AI32)&lt;0.5, "Pending", IF(AI32&lt;0.5, "Complete", "In Progress"))</f>
        <v>Pending</v>
      </c>
      <c r="AK32" s="22">
        <v>0</v>
      </c>
      <c r="AL32" s="22">
        <f t="shared" si="33"/>
        <v>0</v>
      </c>
      <c r="AM32" s="23" t="str">
        <f>IF(SUMPRODUCT($J$76:AL$76,$J32:AL32)&lt;0.5, "Pending", IF(AL32&lt;0.5, "Complete", "In Progress"))</f>
        <v>Pending</v>
      </c>
      <c r="AN32" s="22">
        <v>0</v>
      </c>
      <c r="AO32" s="22">
        <f t="shared" si="34"/>
        <v>0</v>
      </c>
      <c r="AP32" s="23" t="str">
        <f>IF(SUMPRODUCT($J$76:AO$76,$J32:AO32)&lt;0.5, "Pending", IF(AO32&lt;0.5, "Complete", "In Progress"))</f>
        <v>Pending</v>
      </c>
      <c r="AQ32" s="22">
        <v>0</v>
      </c>
      <c r="AR32" s="22">
        <f t="shared" si="35"/>
        <v>0</v>
      </c>
      <c r="AS32" s="23" t="str">
        <f>IF(SUMPRODUCT($J$76:AR$76,$J32:AR32)&lt;0.5, "Pending", IF(AR32&lt;0.5, "Complete", "In Progress"))</f>
        <v>Pending</v>
      </c>
      <c r="AT32" s="22">
        <v>0</v>
      </c>
      <c r="AU32" s="22">
        <f t="shared" si="36"/>
        <v>0</v>
      </c>
      <c r="AV32" s="23" t="str">
        <f>IF(SUMPRODUCT($J$76:AU$76,$J32:AU32)&lt;0.5, "Pending", IF(AU32&lt;0.5, "Complete", "In Progress"))</f>
        <v>Pending</v>
      </c>
      <c r="AW32" s="22">
        <v>0</v>
      </c>
      <c r="AX32" s="22">
        <f t="shared" si="37"/>
        <v>0</v>
      </c>
      <c r="AY32" s="23" t="str">
        <f>IF(SUMPRODUCT($J$76:AX$76,$J32:AX32)&lt;0.5, "Pending", IF(AX32&lt;0.5, "Complete", "In Progress"))</f>
        <v>Pending</v>
      </c>
      <c r="AZ32" s="22">
        <v>0</v>
      </c>
      <c r="BA32" s="22" t="e">
        <f>MAX(#REF!-AZ32,0)</f>
        <v>#REF!</v>
      </c>
      <c r="BB32" s="23" t="e">
        <f>IF(SUMPRODUCT($J$76:BA$76,$J32:BA32)&lt;0.5, "Pending", IF(BA32&lt;0.5, "Complete", "In Progress"))</f>
        <v>#REF!</v>
      </c>
      <c r="BC32" s="22">
        <v>0</v>
      </c>
      <c r="BD32" s="22" t="e">
        <f t="shared" si="38"/>
        <v>#REF!</v>
      </c>
      <c r="BE32" s="23" t="e">
        <f>IF(SUMPRODUCT($J$76:BD$76,$J32:BD32)&lt;0.5, "Pending", IF(BD32&lt;0.5, "Complete", "In Progress"))</f>
        <v>#REF!</v>
      </c>
      <c r="BF32" s="22">
        <v>0</v>
      </c>
      <c r="BG32" s="22" t="e">
        <f t="shared" si="39"/>
        <v>#REF!</v>
      </c>
      <c r="BH32" s="23" t="e">
        <f>IF(SUMPRODUCT($J$76:BG$76,$J32:BG32)&lt;0.5, "Pending", IF(BG32&lt;0.5, "Complete", "In Progress"))</f>
        <v>#REF!</v>
      </c>
      <c r="BI32" s="22">
        <v>0</v>
      </c>
      <c r="BJ32" s="22" t="e">
        <f t="shared" si="40"/>
        <v>#REF!</v>
      </c>
      <c r="BK32" s="23" t="e">
        <f>IF(SUMPRODUCT($J$76:BJ$76,$J32:BJ32)&lt;0.5, "Pending", IF(BJ32&lt;0.5, "Complete", "In Progress"))</f>
        <v>#REF!</v>
      </c>
      <c r="BL32" s="22">
        <v>0</v>
      </c>
      <c r="BM32" s="22" t="e">
        <f t="shared" si="41"/>
        <v>#REF!</v>
      </c>
      <c r="BN32" s="23" t="e">
        <f>IF(SUMPRODUCT($J$76:BM$76,$J32:BM32)&lt;0.5, "Pending", IF(BM32&lt;0.5, "Complete", "In Progress"))</f>
        <v>#REF!</v>
      </c>
      <c r="BO32" s="22">
        <v>0</v>
      </c>
      <c r="BP32" s="22" t="e">
        <f t="shared" si="42"/>
        <v>#REF!</v>
      </c>
      <c r="BQ32" s="23" t="e">
        <f>IF(SUMPRODUCT($J$76:BP$76,$J32:BP32)&lt;0.5, "Pending", IF(BP32&lt;0.5, "Complete", "In Progress"))</f>
        <v>#REF!</v>
      </c>
      <c r="BR32" s="22">
        <v>0</v>
      </c>
      <c r="BS32" s="22" t="e">
        <f t="shared" si="43"/>
        <v>#REF!</v>
      </c>
      <c r="BT32" s="23" t="e">
        <f>IF(SUMPRODUCT($J$76:BS$76,$J32:BS32)&lt;0.5, "Pending", IF(BS32&lt;0.5, "Complete", "In Progress"))</f>
        <v>#REF!</v>
      </c>
      <c r="BU32" s="22">
        <v>0</v>
      </c>
      <c r="BV32" s="22" t="e">
        <f t="shared" si="44"/>
        <v>#REF!</v>
      </c>
      <c r="BW32" s="23" t="e">
        <f>IF(SUMPRODUCT($J$76:BV$76,$J32:BV32)&lt;0.5, "Pending", IF(BV32&lt;0.5, "Complete", "In Progress"))</f>
        <v>#REF!</v>
      </c>
      <c r="BX32" s="22">
        <v>0</v>
      </c>
      <c r="BY32" s="22" t="e">
        <f t="shared" si="45"/>
        <v>#REF!</v>
      </c>
      <c r="BZ32" s="23" t="e">
        <f>IF(SUMPRODUCT($J$76:BY$76,$J32:BY32)&lt;0.5, "Pending", IF(BY32&lt;0.5, "Complete", "In Progress"))</f>
        <v>#REF!</v>
      </c>
      <c r="CA32" s="22">
        <v>0</v>
      </c>
      <c r="CB32" s="22"/>
      <c r="CC32" s="23"/>
      <c r="CD32" s="24"/>
      <c r="CE32" s="25"/>
    </row>
    <row r="33" spans="1:83">
      <c r="A33" s="16"/>
      <c r="B33" s="16" t="s">
        <v>125</v>
      </c>
      <c r="C33" s="16" t="s">
        <v>624</v>
      </c>
      <c r="D33" s="17" t="s">
        <v>627</v>
      </c>
      <c r="E33" s="178" t="s">
        <v>618</v>
      </c>
      <c r="F33" s="18" t="s">
        <v>118</v>
      </c>
      <c r="G33" s="19" t="str">
        <f t="shared" ca="1" si="0"/>
        <v>Pending</v>
      </c>
      <c r="H33" s="20">
        <v>1</v>
      </c>
      <c r="I33" s="21">
        <v>0</v>
      </c>
      <c r="J33" s="22">
        <v>0</v>
      </c>
      <c r="K33" s="22">
        <f t="shared" si="24"/>
        <v>0</v>
      </c>
      <c r="L33" s="23" t="str">
        <f>IF(SUMPRODUCT($J$76:K$76,$J33:K33)&lt;0.5, "Pending", IF(K33&lt;0.5, "Complete", "In Progress"))</f>
        <v>Pending</v>
      </c>
      <c r="M33" s="22">
        <v>0</v>
      </c>
      <c r="N33" s="22">
        <f t="shared" si="25"/>
        <v>0</v>
      </c>
      <c r="O33" s="23" t="str">
        <f>IF(SUMPRODUCT($J$76:N$76,$J33:N33)&lt;0.5, "Pending", IF(N33&lt;0.5, "Complete", "In Progress"))</f>
        <v>Pending</v>
      </c>
      <c r="P33" s="22">
        <v>0</v>
      </c>
      <c r="Q33" s="22">
        <f t="shared" si="26"/>
        <v>0</v>
      </c>
      <c r="R33" s="23" t="str">
        <f>IF(SUMPRODUCT($J$76:Q$76,$J33:Q33)&lt;0.5, "Pending", IF(Q33&lt;0.5, "Complete", "In Progress"))</f>
        <v>Pending</v>
      </c>
      <c r="S33" s="22">
        <v>0</v>
      </c>
      <c r="T33" s="22">
        <f t="shared" si="27"/>
        <v>0</v>
      </c>
      <c r="U33" s="23" t="str">
        <f>IF(SUMPRODUCT($J$76:T$76,$J33:T33)&lt;0.5, "Pending", IF(T33&lt;0.5, "Complete", "In Progress"))</f>
        <v>Pending</v>
      </c>
      <c r="V33" s="22">
        <v>0</v>
      </c>
      <c r="W33" s="22">
        <f t="shared" si="28"/>
        <v>0</v>
      </c>
      <c r="X33" s="23" t="str">
        <f>IF(SUMPRODUCT($J$76:W$76,$J33:W33)&lt;0.5, "Pending", IF(W33&lt;0.5, "Complete", "In Progress"))</f>
        <v>Pending</v>
      </c>
      <c r="Y33" s="22">
        <v>0</v>
      </c>
      <c r="Z33" s="22">
        <f t="shared" si="29"/>
        <v>0</v>
      </c>
      <c r="AA33" s="23" t="str">
        <f>IF(SUMPRODUCT($J$76:Z$76,$J33:Z33)&lt;0.5, "Pending", IF(Z33&lt;0.5, "Complete", "In Progress"))</f>
        <v>Pending</v>
      </c>
      <c r="AB33" s="22">
        <v>0</v>
      </c>
      <c r="AC33" s="22">
        <f t="shared" si="30"/>
        <v>0</v>
      </c>
      <c r="AD33" s="23" t="str">
        <f>IF(SUMPRODUCT($J$76:AC$76,$J33:AC33)&lt;0.5, "Pending", IF(AC33&lt;0.5, "Complete", "In Progress"))</f>
        <v>Pending</v>
      </c>
      <c r="AE33" s="22">
        <v>0</v>
      </c>
      <c r="AF33" s="22">
        <f t="shared" si="31"/>
        <v>0</v>
      </c>
      <c r="AG33" s="23" t="str">
        <f>IF(SUMPRODUCT($J$76:AF$76,$J33:AF33)&lt;0.5, "Pending", IF(AF33&lt;0.5, "Complete", "In Progress"))</f>
        <v>Pending</v>
      </c>
      <c r="AH33" s="22">
        <v>0</v>
      </c>
      <c r="AI33" s="22">
        <f t="shared" si="32"/>
        <v>0</v>
      </c>
      <c r="AJ33" s="23" t="str">
        <f>IF(SUMPRODUCT($J$76:AI$76,$J33:AI33)&lt;0.5, "Pending", IF(AI33&lt;0.5, "Complete", "In Progress"))</f>
        <v>Pending</v>
      </c>
      <c r="AK33" s="22">
        <v>0</v>
      </c>
      <c r="AL33" s="22">
        <f t="shared" si="33"/>
        <v>0</v>
      </c>
      <c r="AM33" s="23" t="str">
        <f>IF(SUMPRODUCT($J$76:AL$76,$J33:AL33)&lt;0.5, "Pending", IF(AL33&lt;0.5, "Complete", "In Progress"))</f>
        <v>Pending</v>
      </c>
      <c r="AN33" s="22">
        <v>0</v>
      </c>
      <c r="AO33" s="22">
        <f t="shared" si="34"/>
        <v>0</v>
      </c>
      <c r="AP33" s="23" t="str">
        <f>IF(SUMPRODUCT($J$76:AO$76,$J33:AO33)&lt;0.5, "Pending", IF(AO33&lt;0.5, "Complete", "In Progress"))</f>
        <v>Pending</v>
      </c>
      <c r="AQ33" s="22">
        <v>0</v>
      </c>
      <c r="AR33" s="22">
        <f t="shared" si="35"/>
        <v>0</v>
      </c>
      <c r="AS33" s="23" t="str">
        <f>IF(SUMPRODUCT($J$76:AR$76,$J33:AR33)&lt;0.5, "Pending", IF(AR33&lt;0.5, "Complete", "In Progress"))</f>
        <v>Pending</v>
      </c>
      <c r="AT33" s="22">
        <v>0</v>
      </c>
      <c r="AU33" s="22">
        <f t="shared" si="36"/>
        <v>0</v>
      </c>
      <c r="AV33" s="23" t="str">
        <f>IF(SUMPRODUCT($J$76:AU$76,$J33:AU33)&lt;0.5, "Pending", IF(AU33&lt;0.5, "Complete", "In Progress"))</f>
        <v>Pending</v>
      </c>
      <c r="AW33" s="22">
        <v>0</v>
      </c>
      <c r="AX33" s="22">
        <f t="shared" si="37"/>
        <v>0</v>
      </c>
      <c r="AY33" s="23" t="str">
        <f>IF(SUMPRODUCT($J$76:AX$76,$J33:AX33)&lt;0.5, "Pending", IF(AX33&lt;0.5, "Complete", "In Progress"))</f>
        <v>Pending</v>
      </c>
      <c r="AZ33" s="22">
        <v>0</v>
      </c>
      <c r="BA33" s="22" t="e">
        <f>MAX(#REF!-AZ33,0)</f>
        <v>#REF!</v>
      </c>
      <c r="BB33" s="23" t="e">
        <f>IF(SUMPRODUCT($J$76:BA$76,$J33:BA33)&lt;0.5, "Pending", IF(BA33&lt;0.5, "Complete", "In Progress"))</f>
        <v>#REF!</v>
      </c>
      <c r="BC33" s="22">
        <v>0</v>
      </c>
      <c r="BD33" s="22" t="e">
        <f t="shared" si="38"/>
        <v>#REF!</v>
      </c>
      <c r="BE33" s="23" t="e">
        <f>IF(SUMPRODUCT($J$76:BD$76,$J33:BD33)&lt;0.5, "Pending", IF(BD33&lt;0.5, "Complete", "In Progress"))</f>
        <v>#REF!</v>
      </c>
      <c r="BF33" s="22">
        <v>0</v>
      </c>
      <c r="BG33" s="22" t="e">
        <f t="shared" si="39"/>
        <v>#REF!</v>
      </c>
      <c r="BH33" s="23" t="e">
        <f>IF(SUMPRODUCT($J$76:BG$76,$J33:BG33)&lt;0.5, "Pending", IF(BG33&lt;0.5, "Complete", "In Progress"))</f>
        <v>#REF!</v>
      </c>
      <c r="BI33" s="22">
        <v>0</v>
      </c>
      <c r="BJ33" s="22" t="e">
        <f t="shared" si="40"/>
        <v>#REF!</v>
      </c>
      <c r="BK33" s="23" t="e">
        <f>IF(SUMPRODUCT($J$76:BJ$76,$J33:BJ33)&lt;0.5, "Pending", IF(BJ33&lt;0.5, "Complete", "In Progress"))</f>
        <v>#REF!</v>
      </c>
      <c r="BL33" s="22">
        <v>0</v>
      </c>
      <c r="BM33" s="22" t="e">
        <f t="shared" si="41"/>
        <v>#REF!</v>
      </c>
      <c r="BN33" s="23" t="e">
        <f>IF(SUMPRODUCT($J$76:BM$76,$J33:BM33)&lt;0.5, "Pending", IF(BM33&lt;0.5, "Complete", "In Progress"))</f>
        <v>#REF!</v>
      </c>
      <c r="BO33" s="22">
        <v>0</v>
      </c>
      <c r="BP33" s="22" t="e">
        <f t="shared" si="42"/>
        <v>#REF!</v>
      </c>
      <c r="BQ33" s="23" t="e">
        <f>IF(SUMPRODUCT($J$76:BP$76,$J33:BP33)&lt;0.5, "Pending", IF(BP33&lt;0.5, "Complete", "In Progress"))</f>
        <v>#REF!</v>
      </c>
      <c r="BR33" s="22">
        <v>0</v>
      </c>
      <c r="BS33" s="22" t="e">
        <f t="shared" si="43"/>
        <v>#REF!</v>
      </c>
      <c r="BT33" s="23" t="e">
        <f>IF(SUMPRODUCT($J$76:BS$76,$J33:BS33)&lt;0.5, "Pending", IF(BS33&lt;0.5, "Complete", "In Progress"))</f>
        <v>#REF!</v>
      </c>
      <c r="BU33" s="22">
        <v>0</v>
      </c>
      <c r="BV33" s="22" t="e">
        <f t="shared" si="44"/>
        <v>#REF!</v>
      </c>
      <c r="BW33" s="23" t="e">
        <f>IF(SUMPRODUCT($J$76:BV$76,$J33:BV33)&lt;0.5, "Pending", IF(BV33&lt;0.5, "Complete", "In Progress"))</f>
        <v>#REF!</v>
      </c>
      <c r="BX33" s="22">
        <v>0</v>
      </c>
      <c r="BY33" s="22" t="e">
        <f t="shared" si="45"/>
        <v>#REF!</v>
      </c>
      <c r="BZ33" s="23" t="e">
        <f>IF(SUMPRODUCT($J$76:BY$76,$J33:BY33)&lt;0.5, "Pending", IF(BY33&lt;0.5, "Complete", "In Progress"))</f>
        <v>#REF!</v>
      </c>
      <c r="CA33" s="22">
        <v>0</v>
      </c>
      <c r="CB33" s="22"/>
      <c r="CC33" s="23"/>
      <c r="CD33" s="24"/>
      <c r="CE33" s="25"/>
    </row>
    <row r="34" spans="1:83">
      <c r="A34" s="16"/>
      <c r="B34" s="16" t="s">
        <v>125</v>
      </c>
      <c r="C34" s="16" t="s">
        <v>624</v>
      </c>
      <c r="D34" s="17" t="s">
        <v>629</v>
      </c>
      <c r="E34" s="178" t="s">
        <v>155</v>
      </c>
      <c r="F34" s="18" t="s">
        <v>118</v>
      </c>
      <c r="G34" s="19" t="str">
        <f t="shared" ca="1" si="0"/>
        <v>Pending</v>
      </c>
      <c r="H34" s="20">
        <v>1</v>
      </c>
      <c r="I34" s="21">
        <v>0</v>
      </c>
      <c r="J34" s="22">
        <v>0</v>
      </c>
      <c r="K34" s="22">
        <f t="shared" ref="K34" si="162">MAX(I34-J34, 0)</f>
        <v>0</v>
      </c>
      <c r="L34" s="23" t="str">
        <f>IF(SUMPRODUCT($J$76:K$76,$J34:K34)&lt;0.5, "Pending", IF(K34&lt;0.5, "Complete", "In Progress"))</f>
        <v>Pending</v>
      </c>
      <c r="M34" s="22">
        <v>0</v>
      </c>
      <c r="N34" s="22">
        <f t="shared" ref="N34" si="163">MAX(K34-M34,0)</f>
        <v>0</v>
      </c>
      <c r="O34" s="23" t="str">
        <f>IF(SUMPRODUCT($J$76:N$76,$J34:N34)&lt;0.5, "Pending", IF(N34&lt;0.5, "Complete", "In Progress"))</f>
        <v>Pending</v>
      </c>
      <c r="P34" s="22">
        <v>0</v>
      </c>
      <c r="Q34" s="22">
        <f t="shared" ref="Q34" si="164">MAX(N34-P34,0)</f>
        <v>0</v>
      </c>
      <c r="R34" s="23" t="str">
        <f>IF(SUMPRODUCT($J$76:Q$76,$J34:Q34)&lt;0.5, "Pending", IF(Q34&lt;0.5, "Complete", "In Progress"))</f>
        <v>Pending</v>
      </c>
      <c r="S34" s="22">
        <v>0</v>
      </c>
      <c r="T34" s="22">
        <f t="shared" ref="T34" si="165">MAX(Q34-S34,0)</f>
        <v>0</v>
      </c>
      <c r="U34" s="23" t="str">
        <f>IF(SUMPRODUCT($J$76:T$76,$J34:T34)&lt;0.5, "Pending", IF(T34&lt;0.5, "Complete", "In Progress"))</f>
        <v>Pending</v>
      </c>
      <c r="V34" s="22">
        <v>0</v>
      </c>
      <c r="W34" s="22">
        <f t="shared" ref="W34" si="166">MAX(T34-V34,0)</f>
        <v>0</v>
      </c>
      <c r="X34" s="23" t="str">
        <f>IF(SUMPRODUCT($J$76:W$76,$J34:W34)&lt;0.5, "Pending", IF(W34&lt;0.5, "Complete", "In Progress"))</f>
        <v>Pending</v>
      </c>
      <c r="Y34" s="22">
        <v>0</v>
      </c>
      <c r="Z34" s="22">
        <f t="shared" ref="Z34" si="167">MAX(W34-Y34,0)</f>
        <v>0</v>
      </c>
      <c r="AA34" s="23" t="str">
        <f>IF(SUMPRODUCT($J$76:Z$76,$J34:Z34)&lt;0.5, "Pending", IF(Z34&lt;0.5, "Complete", "In Progress"))</f>
        <v>Pending</v>
      </c>
      <c r="AB34" s="22">
        <v>0</v>
      </c>
      <c r="AC34" s="22">
        <f t="shared" ref="AC34" si="168">MAX(Z34-AB34,0)</f>
        <v>0</v>
      </c>
      <c r="AD34" s="23" t="str">
        <f>IF(SUMPRODUCT($J$76:AC$76,$J34:AC34)&lt;0.5, "Pending", IF(AC34&lt;0.5, "Complete", "In Progress"))</f>
        <v>Pending</v>
      </c>
      <c r="AE34" s="22">
        <v>0</v>
      </c>
      <c r="AF34" s="22">
        <f t="shared" ref="AF34" si="169">MAX(AC34-AE34,0)</f>
        <v>0</v>
      </c>
      <c r="AG34" s="23" t="str">
        <f>IF(SUMPRODUCT($J$76:AF$76,$J34:AF34)&lt;0.5, "Pending", IF(AF34&lt;0.5, "Complete", "In Progress"))</f>
        <v>Pending</v>
      </c>
      <c r="AH34" s="22">
        <v>0</v>
      </c>
      <c r="AI34" s="22">
        <f t="shared" ref="AI34" si="170">MAX(AF34-AH34,0)</f>
        <v>0</v>
      </c>
      <c r="AJ34" s="23" t="str">
        <f>IF(SUMPRODUCT($J$76:AI$76,$J34:AI34)&lt;0.5, "Pending", IF(AI34&lt;0.5, "Complete", "In Progress"))</f>
        <v>Pending</v>
      </c>
      <c r="AK34" s="22">
        <v>0</v>
      </c>
      <c r="AL34" s="22">
        <f t="shared" ref="AL34" si="171">MAX(AI34-AK34,0)</f>
        <v>0</v>
      </c>
      <c r="AM34" s="23" t="str">
        <f>IF(SUMPRODUCT($J$76:AL$76,$J34:AL34)&lt;0.5, "Pending", IF(AL34&lt;0.5, "Complete", "In Progress"))</f>
        <v>Pending</v>
      </c>
      <c r="AN34" s="22">
        <v>0</v>
      </c>
      <c r="AO34" s="22">
        <f t="shared" ref="AO34" si="172">MAX(AL34-AN34,0)</f>
        <v>0</v>
      </c>
      <c r="AP34" s="23" t="str">
        <f>IF(SUMPRODUCT($J$76:AO$76,$J34:AO34)&lt;0.5, "Pending", IF(AO34&lt;0.5, "Complete", "In Progress"))</f>
        <v>Pending</v>
      </c>
      <c r="AQ34" s="22">
        <v>0</v>
      </c>
      <c r="AR34" s="22">
        <f t="shared" ref="AR34" si="173">MAX(AO34-AQ34,0)</f>
        <v>0</v>
      </c>
      <c r="AS34" s="23" t="str">
        <f>IF(SUMPRODUCT($J$76:AR$76,$J34:AR34)&lt;0.5, "Pending", IF(AR34&lt;0.5, "Complete", "In Progress"))</f>
        <v>Pending</v>
      </c>
      <c r="AT34" s="22">
        <v>0</v>
      </c>
      <c r="AU34" s="22">
        <f t="shared" ref="AU34" si="174">MAX(AR34-AT34,0)</f>
        <v>0</v>
      </c>
      <c r="AV34" s="23" t="str">
        <f>IF(SUMPRODUCT($J$76:AU$76,$J34:AU34)&lt;0.5, "Pending", IF(AU34&lt;0.5, "Complete", "In Progress"))</f>
        <v>Pending</v>
      </c>
      <c r="AW34" s="22">
        <v>0</v>
      </c>
      <c r="AX34" s="22">
        <f t="shared" ref="AX34" si="175">MAX(AU34-AW34,0)</f>
        <v>0</v>
      </c>
      <c r="AY34" s="23" t="str">
        <f>IF(SUMPRODUCT($J$76:AX$76,$J34:AX34)&lt;0.5, "Pending", IF(AX34&lt;0.5, "Complete", "In Progress"))</f>
        <v>Pending</v>
      </c>
      <c r="AZ34" s="22">
        <v>0</v>
      </c>
      <c r="BA34" s="22" t="e">
        <f>MAX(#REF!-AZ34,0)</f>
        <v>#REF!</v>
      </c>
      <c r="BB34" s="23" t="e">
        <f>IF(SUMPRODUCT($J$76:BA$76,$J34:BA34)&lt;0.5, "Pending", IF(BA34&lt;0.5, "Complete", "In Progress"))</f>
        <v>#REF!</v>
      </c>
      <c r="BC34" s="22">
        <v>0</v>
      </c>
      <c r="BD34" s="22" t="e">
        <f t="shared" ref="BD34" si="176">MAX(BA34-BC34,0)</f>
        <v>#REF!</v>
      </c>
      <c r="BE34" s="23" t="e">
        <f>IF(SUMPRODUCT($J$76:BD$76,$J34:BD34)&lt;0.5, "Pending", IF(BD34&lt;0.5, "Complete", "In Progress"))</f>
        <v>#REF!</v>
      </c>
      <c r="BF34" s="22">
        <v>0</v>
      </c>
      <c r="BG34" s="22" t="e">
        <f t="shared" ref="BG34" si="177">MAX(BD34-BF34,0)</f>
        <v>#REF!</v>
      </c>
      <c r="BH34" s="23" t="e">
        <f>IF(SUMPRODUCT($J$76:BG$76,$J34:BG34)&lt;0.5, "Pending", IF(BG34&lt;0.5, "Complete", "In Progress"))</f>
        <v>#REF!</v>
      </c>
      <c r="BI34" s="22">
        <v>0</v>
      </c>
      <c r="BJ34" s="22" t="e">
        <f t="shared" ref="BJ34" si="178">MAX(BG34-BI34,0)</f>
        <v>#REF!</v>
      </c>
      <c r="BK34" s="23" t="e">
        <f>IF(SUMPRODUCT($J$76:BJ$76,$J34:BJ34)&lt;0.5, "Pending", IF(BJ34&lt;0.5, "Complete", "In Progress"))</f>
        <v>#REF!</v>
      </c>
      <c r="BL34" s="22">
        <v>0</v>
      </c>
      <c r="BM34" s="22" t="e">
        <f t="shared" ref="BM34" si="179">MAX(BJ34-BL34,0)</f>
        <v>#REF!</v>
      </c>
      <c r="BN34" s="23" t="e">
        <f>IF(SUMPRODUCT($J$76:BM$76,$J34:BM34)&lt;0.5, "Pending", IF(BM34&lt;0.5, "Complete", "In Progress"))</f>
        <v>#REF!</v>
      </c>
      <c r="BO34" s="22">
        <v>0</v>
      </c>
      <c r="BP34" s="22" t="e">
        <f t="shared" ref="BP34" si="180">MAX(BM34-BO34,0)</f>
        <v>#REF!</v>
      </c>
      <c r="BQ34" s="23" t="e">
        <f>IF(SUMPRODUCT($J$76:BP$76,$J34:BP34)&lt;0.5, "Pending", IF(BP34&lt;0.5, "Complete", "In Progress"))</f>
        <v>#REF!</v>
      </c>
      <c r="BR34" s="22">
        <v>0</v>
      </c>
      <c r="BS34" s="22" t="e">
        <f t="shared" ref="BS34" si="181">MAX(BP34-BR34,0)</f>
        <v>#REF!</v>
      </c>
      <c r="BT34" s="23" t="e">
        <f>IF(SUMPRODUCT($J$76:BS$76,$J34:BS34)&lt;0.5, "Pending", IF(BS34&lt;0.5, "Complete", "In Progress"))</f>
        <v>#REF!</v>
      </c>
      <c r="BU34" s="22">
        <v>0</v>
      </c>
      <c r="BV34" s="22" t="e">
        <f t="shared" ref="BV34" si="182">MAX(BS34-BU34,0)</f>
        <v>#REF!</v>
      </c>
      <c r="BW34" s="23" t="e">
        <f>IF(SUMPRODUCT($J$76:BV$76,$J34:BV34)&lt;0.5, "Pending", IF(BV34&lt;0.5, "Complete", "In Progress"))</f>
        <v>#REF!</v>
      </c>
      <c r="BX34" s="22">
        <v>0</v>
      </c>
      <c r="BY34" s="22" t="e">
        <f t="shared" ref="BY34" si="183">MAX(BV34-BX34,0)</f>
        <v>#REF!</v>
      </c>
      <c r="BZ34" s="23" t="e">
        <f>IF(SUMPRODUCT($J$76:BY$76,$J34:BY34)&lt;0.5, "Pending", IF(BY34&lt;0.5, "Complete", "In Progress"))</f>
        <v>#REF!</v>
      </c>
      <c r="CA34" s="22">
        <v>0</v>
      </c>
      <c r="CB34" s="22"/>
      <c r="CC34" s="23"/>
      <c r="CD34" s="24"/>
      <c r="CE34" s="25"/>
    </row>
    <row r="35" spans="1:83">
      <c r="A35" s="16"/>
      <c r="B35" s="16" t="s">
        <v>124</v>
      </c>
      <c r="C35" s="16" t="s">
        <v>624</v>
      </c>
      <c r="D35" s="17" t="s">
        <v>640</v>
      </c>
      <c r="E35" s="178" t="s">
        <v>628</v>
      </c>
      <c r="F35" s="18" t="s">
        <v>118</v>
      </c>
      <c r="G35" s="19" t="str">
        <f t="shared" ca="1" si="0"/>
        <v>In Progress</v>
      </c>
      <c r="H35" s="20">
        <v>1</v>
      </c>
      <c r="I35" s="21">
        <v>1</v>
      </c>
      <c r="J35" s="22">
        <v>0</v>
      </c>
      <c r="K35" s="22">
        <f t="shared" si="24"/>
        <v>1</v>
      </c>
      <c r="L35" s="23" t="str">
        <f>IF(SUMPRODUCT($J$76:K$76,$J35:K35)&lt;0.5, "Pending", IF(K35&lt;0.5, "Complete", "In Progress"))</f>
        <v>Pending</v>
      </c>
      <c r="M35" s="22">
        <v>0</v>
      </c>
      <c r="N35" s="22">
        <f t="shared" si="25"/>
        <v>1</v>
      </c>
      <c r="O35" s="23" t="str">
        <f>IF(SUMPRODUCT($J$76:N$76,$J35:N35)&lt;0.5, "Pending", IF(N35&lt;0.5, "Complete", "In Progress"))</f>
        <v>Pending</v>
      </c>
      <c r="P35" s="22">
        <v>0</v>
      </c>
      <c r="Q35" s="22">
        <f t="shared" si="26"/>
        <v>1</v>
      </c>
      <c r="R35" s="23" t="str">
        <f>IF(SUMPRODUCT($J$76:Q$76,$J35:Q35)&lt;0.5, "Pending", IF(Q35&lt;0.5, "Complete", "In Progress"))</f>
        <v>Pending</v>
      </c>
      <c r="S35" s="22">
        <v>0</v>
      </c>
      <c r="T35" s="22">
        <f t="shared" si="27"/>
        <v>1</v>
      </c>
      <c r="U35" s="23" t="str">
        <f>IF(SUMPRODUCT($J$76:T$76,$J35:T35)&lt;0.5, "Pending", IF(T35&lt;0.5, "Complete", "In Progress"))</f>
        <v>Pending</v>
      </c>
      <c r="V35" s="22">
        <v>0</v>
      </c>
      <c r="W35" s="22">
        <f t="shared" si="28"/>
        <v>1</v>
      </c>
      <c r="X35" s="23" t="str">
        <f>IF(SUMPRODUCT($J$76:W$76,$J35:W35)&lt;0.5, "Pending", IF(W35&lt;0.5, "Complete", "In Progress"))</f>
        <v>Pending</v>
      </c>
      <c r="Y35" s="22">
        <v>0</v>
      </c>
      <c r="Z35" s="22">
        <f t="shared" si="29"/>
        <v>1</v>
      </c>
      <c r="AA35" s="23" t="str">
        <f>IF(SUMPRODUCT($J$76:Z$76,$J35:Z35)&lt;0.5, "Pending", IF(Z35&lt;0.5, "Complete", "In Progress"))</f>
        <v>Pending</v>
      </c>
      <c r="AB35" s="22">
        <v>0</v>
      </c>
      <c r="AC35" s="22">
        <f t="shared" si="30"/>
        <v>1</v>
      </c>
      <c r="AD35" s="23" t="str">
        <f>IF(SUMPRODUCT($J$76:AC$76,$J35:AC35)&lt;0.5, "Pending", IF(AC35&lt;0.5, "Complete", "In Progress"))</f>
        <v>Pending</v>
      </c>
      <c r="AE35" s="22">
        <v>0.5</v>
      </c>
      <c r="AF35" s="22">
        <f t="shared" si="31"/>
        <v>0.5</v>
      </c>
      <c r="AG35" s="23" t="str">
        <f>IF(SUMPRODUCT($J$76:AF$76,$J35:AF35)&lt;0.5, "Pending", IF(AF35&lt;0.5, "Complete", "In Progress"))</f>
        <v>In Progress</v>
      </c>
      <c r="AH35" s="22">
        <v>0</v>
      </c>
      <c r="AI35" s="22">
        <f t="shared" si="32"/>
        <v>0.5</v>
      </c>
      <c r="AJ35" s="23" t="str">
        <f>IF(SUMPRODUCT($J$76:AI$76,$J35:AI35)&lt;0.5, "Pending", IF(AI35&lt;0.5, "Complete", "In Progress"))</f>
        <v>In Progress</v>
      </c>
      <c r="AK35" s="22">
        <v>0</v>
      </c>
      <c r="AL35" s="22">
        <f t="shared" si="33"/>
        <v>0.5</v>
      </c>
      <c r="AM35" s="23" t="str">
        <f>IF(SUMPRODUCT($J$76:AL$76,$J35:AL35)&lt;0.5, "Pending", IF(AL35&lt;0.5, "Complete", "In Progress"))</f>
        <v>In Progress</v>
      </c>
      <c r="AN35" s="22">
        <v>0</v>
      </c>
      <c r="AO35" s="22">
        <f t="shared" si="34"/>
        <v>0.5</v>
      </c>
      <c r="AP35" s="23" t="str">
        <f>IF(SUMPRODUCT($J$76:AO$76,$J35:AO35)&lt;0.5, "Pending", IF(AO35&lt;0.5, "Complete", "In Progress"))</f>
        <v>In Progress</v>
      </c>
      <c r="AQ35" s="22">
        <v>0</v>
      </c>
      <c r="AR35" s="22">
        <f t="shared" si="35"/>
        <v>0.5</v>
      </c>
      <c r="AS35" s="23" t="str">
        <f>IF(SUMPRODUCT($J$76:AR$76,$J35:AR35)&lt;0.5, "Pending", IF(AR35&lt;0.5, "Complete", "In Progress"))</f>
        <v>In Progress</v>
      </c>
      <c r="AT35" s="22">
        <v>0</v>
      </c>
      <c r="AU35" s="22">
        <f t="shared" si="36"/>
        <v>0.5</v>
      </c>
      <c r="AV35" s="23" t="str">
        <f>IF(SUMPRODUCT($J$76:AU$76,$J35:AU35)&lt;0.5, "Pending", IF(AU35&lt;0.5, "Complete", "In Progress"))</f>
        <v>In Progress</v>
      </c>
      <c r="AW35" s="22">
        <v>0</v>
      </c>
      <c r="AX35" s="22">
        <f t="shared" si="37"/>
        <v>0.5</v>
      </c>
      <c r="AY35" s="23" t="str">
        <f>IF(SUMPRODUCT($J$76:AX$76,$J35:AX35)&lt;0.5, "Pending", IF(AX35&lt;0.5, "Complete", "In Progress"))</f>
        <v>In Progress</v>
      </c>
      <c r="AZ35" s="22">
        <v>0</v>
      </c>
      <c r="BA35" s="22" t="e">
        <f>MAX(#REF!-AZ35,0)</f>
        <v>#REF!</v>
      </c>
      <c r="BB35" s="23" t="e">
        <f>IF(SUMPRODUCT($J$76:BA$76,$J35:BA35)&lt;0.5, "Pending", IF(BA35&lt;0.5, "Complete", "In Progress"))</f>
        <v>#REF!</v>
      </c>
      <c r="BC35" s="22">
        <v>0</v>
      </c>
      <c r="BD35" s="22" t="e">
        <f t="shared" si="38"/>
        <v>#REF!</v>
      </c>
      <c r="BE35" s="23" t="e">
        <f>IF(SUMPRODUCT($J$76:BD$76,$J35:BD35)&lt;0.5, "Pending", IF(BD35&lt;0.5, "Complete", "In Progress"))</f>
        <v>#REF!</v>
      </c>
      <c r="BF35" s="22">
        <v>0</v>
      </c>
      <c r="BG35" s="22" t="e">
        <f t="shared" si="39"/>
        <v>#REF!</v>
      </c>
      <c r="BH35" s="23" t="e">
        <f>IF(SUMPRODUCT($J$76:BG$76,$J35:BG35)&lt;0.5, "Pending", IF(BG35&lt;0.5, "Complete", "In Progress"))</f>
        <v>#REF!</v>
      </c>
      <c r="BI35" s="22">
        <v>0</v>
      </c>
      <c r="BJ35" s="22" t="e">
        <f t="shared" si="40"/>
        <v>#REF!</v>
      </c>
      <c r="BK35" s="23" t="e">
        <f>IF(SUMPRODUCT($J$76:BJ$76,$J35:BJ35)&lt;0.5, "Pending", IF(BJ35&lt;0.5, "Complete", "In Progress"))</f>
        <v>#REF!</v>
      </c>
      <c r="BL35" s="22">
        <v>0</v>
      </c>
      <c r="BM35" s="22" t="e">
        <f t="shared" si="41"/>
        <v>#REF!</v>
      </c>
      <c r="BN35" s="23" t="e">
        <f>IF(SUMPRODUCT($J$76:BM$76,$J35:BM35)&lt;0.5, "Pending", IF(BM35&lt;0.5, "Complete", "In Progress"))</f>
        <v>#REF!</v>
      </c>
      <c r="BO35" s="22">
        <v>0</v>
      </c>
      <c r="BP35" s="22" t="e">
        <f t="shared" si="42"/>
        <v>#REF!</v>
      </c>
      <c r="BQ35" s="23" t="e">
        <f>IF(SUMPRODUCT($J$76:BP$76,$J35:BP35)&lt;0.5, "Pending", IF(BP35&lt;0.5, "Complete", "In Progress"))</f>
        <v>#REF!</v>
      </c>
      <c r="BR35" s="22">
        <v>0</v>
      </c>
      <c r="BS35" s="22" t="e">
        <f t="shared" si="43"/>
        <v>#REF!</v>
      </c>
      <c r="BT35" s="23" t="e">
        <f>IF(SUMPRODUCT($J$76:BS$76,$J35:BS35)&lt;0.5, "Pending", IF(BS35&lt;0.5, "Complete", "In Progress"))</f>
        <v>#REF!</v>
      </c>
      <c r="BU35" s="22">
        <v>0</v>
      </c>
      <c r="BV35" s="22" t="e">
        <f t="shared" si="44"/>
        <v>#REF!</v>
      </c>
      <c r="BW35" s="23" t="e">
        <f>IF(SUMPRODUCT($J$76:BV$76,$J35:BV35)&lt;0.5, "Pending", IF(BV35&lt;0.5, "Complete", "In Progress"))</f>
        <v>#REF!</v>
      </c>
      <c r="BX35" s="22">
        <v>0</v>
      </c>
      <c r="BY35" s="22" t="e">
        <f t="shared" si="45"/>
        <v>#REF!</v>
      </c>
      <c r="BZ35" s="23" t="e">
        <f>IF(SUMPRODUCT($J$76:BY$76,$J35:BY35)&lt;0.5, "Pending", IF(BY35&lt;0.5, "Complete", "In Progress"))</f>
        <v>#REF!</v>
      </c>
      <c r="CA35" s="22">
        <v>0</v>
      </c>
      <c r="CB35" s="22" t="e">
        <f t="shared" si="46"/>
        <v>#REF!</v>
      </c>
      <c r="CC35" s="23" t="e">
        <f>IF(SUMPRODUCT($J$76:CB$76,$J35:CB35)&lt;0.5, "Pending", IF(CB35&lt;0.5, "Complete", "In Progress"))</f>
        <v>#REF!</v>
      </c>
      <c r="CD35" s="24"/>
      <c r="CE35" s="25">
        <f>SUMPRODUCT($H$76:AY$76,$H35:AY35)</f>
        <v>0.5</v>
      </c>
    </row>
    <row r="36" spans="1:83">
      <c r="A36" s="16"/>
      <c r="B36" s="16" t="s">
        <v>123</v>
      </c>
      <c r="C36" s="16" t="s">
        <v>624</v>
      </c>
      <c r="D36" s="17" t="s">
        <v>641</v>
      </c>
      <c r="E36" s="178" t="s">
        <v>140</v>
      </c>
      <c r="F36" s="18" t="s">
        <v>116</v>
      </c>
      <c r="G36" s="19" t="str">
        <f t="shared" ca="1" si="0"/>
        <v>Pending</v>
      </c>
      <c r="H36" s="20">
        <v>1</v>
      </c>
      <c r="I36" s="21">
        <v>0</v>
      </c>
      <c r="J36" s="22">
        <v>0</v>
      </c>
      <c r="K36" s="22">
        <f t="shared" si="24"/>
        <v>0</v>
      </c>
      <c r="L36" s="23" t="str">
        <f>IF(SUMPRODUCT($J$76:K$76,$J36:K36)&lt;0.5, "Pending", IF(K36&lt;0.5, "Complete", "In Progress"))</f>
        <v>Pending</v>
      </c>
      <c r="M36" s="22">
        <v>0</v>
      </c>
      <c r="N36" s="22">
        <f t="shared" si="25"/>
        <v>0</v>
      </c>
      <c r="O36" s="23" t="str">
        <f>IF(SUMPRODUCT($J$76:N$76,$J36:N36)&lt;0.5, "Pending", IF(N36&lt;0.5, "Complete", "In Progress"))</f>
        <v>Pending</v>
      </c>
      <c r="P36" s="22">
        <v>0</v>
      </c>
      <c r="Q36" s="22">
        <f t="shared" si="26"/>
        <v>0</v>
      </c>
      <c r="R36" s="23" t="str">
        <f>IF(SUMPRODUCT($J$76:Q$76,$J36:Q36)&lt;0.5, "Pending", IF(Q36&lt;0.5, "Complete", "In Progress"))</f>
        <v>Pending</v>
      </c>
      <c r="S36" s="22">
        <v>0</v>
      </c>
      <c r="T36" s="22">
        <f t="shared" si="27"/>
        <v>0</v>
      </c>
      <c r="U36" s="23" t="str">
        <f>IF(SUMPRODUCT($J$76:T$76,$J36:T36)&lt;0.5, "Pending", IF(T36&lt;0.5, "Complete", "In Progress"))</f>
        <v>Pending</v>
      </c>
      <c r="V36" s="22">
        <v>0</v>
      </c>
      <c r="W36" s="22">
        <f t="shared" si="28"/>
        <v>0</v>
      </c>
      <c r="X36" s="23" t="str">
        <f>IF(SUMPRODUCT($J$76:W$76,$J36:W36)&lt;0.5, "Pending", IF(W36&lt;0.5, "Complete", "In Progress"))</f>
        <v>Pending</v>
      </c>
      <c r="Y36" s="22">
        <v>0</v>
      </c>
      <c r="Z36" s="22">
        <f t="shared" si="29"/>
        <v>0</v>
      </c>
      <c r="AA36" s="23" t="str">
        <f>IF(SUMPRODUCT($J$76:Z$76,$J36:Z36)&lt;0.5, "Pending", IF(Z36&lt;0.5, "Complete", "In Progress"))</f>
        <v>Pending</v>
      </c>
      <c r="AB36" s="22">
        <v>0</v>
      </c>
      <c r="AC36" s="22">
        <f t="shared" si="30"/>
        <v>0</v>
      </c>
      <c r="AD36" s="23" t="str">
        <f>IF(SUMPRODUCT($J$76:AC$76,$J36:AC36)&lt;0.5, "Pending", IF(AC36&lt;0.5, "Complete", "In Progress"))</f>
        <v>Pending</v>
      </c>
      <c r="AE36" s="22">
        <v>0</v>
      </c>
      <c r="AF36" s="22">
        <f t="shared" si="31"/>
        <v>0</v>
      </c>
      <c r="AG36" s="23" t="str">
        <f>IF(SUMPRODUCT($J$76:AF$76,$J36:AF36)&lt;0.5, "Pending", IF(AF36&lt;0.5, "Complete", "In Progress"))</f>
        <v>Pending</v>
      </c>
      <c r="AH36" s="22">
        <v>0</v>
      </c>
      <c r="AI36" s="22">
        <f t="shared" si="32"/>
        <v>0</v>
      </c>
      <c r="AJ36" s="23" t="str">
        <f>IF(SUMPRODUCT($J$76:AI$76,$J36:AI36)&lt;0.5, "Pending", IF(AI36&lt;0.5, "Complete", "In Progress"))</f>
        <v>Pending</v>
      </c>
      <c r="AK36" s="22">
        <v>0</v>
      </c>
      <c r="AL36" s="22">
        <f t="shared" si="33"/>
        <v>0</v>
      </c>
      <c r="AM36" s="23" t="str">
        <f>IF(SUMPRODUCT($J$76:AL$76,$J36:AL36)&lt;0.5, "Pending", IF(AL36&lt;0.5, "Complete", "In Progress"))</f>
        <v>Pending</v>
      </c>
      <c r="AN36" s="22">
        <v>0</v>
      </c>
      <c r="AO36" s="22">
        <f t="shared" si="34"/>
        <v>0</v>
      </c>
      <c r="AP36" s="23" t="str">
        <f>IF(SUMPRODUCT($J$76:AO$76,$J36:AO36)&lt;0.5, "Pending", IF(AO36&lt;0.5, "Complete", "In Progress"))</f>
        <v>Pending</v>
      </c>
      <c r="AQ36" s="22">
        <v>0</v>
      </c>
      <c r="AR36" s="22">
        <f t="shared" si="35"/>
        <v>0</v>
      </c>
      <c r="AS36" s="23" t="str">
        <f>IF(SUMPRODUCT($J$76:AR$76,$J36:AR36)&lt;0.5, "Pending", IF(AR36&lt;0.5, "Complete", "In Progress"))</f>
        <v>Pending</v>
      </c>
      <c r="AT36" s="22">
        <v>0</v>
      </c>
      <c r="AU36" s="22">
        <f t="shared" si="36"/>
        <v>0</v>
      </c>
      <c r="AV36" s="23" t="str">
        <f>IF(SUMPRODUCT($J$76:AU$76,$J36:AU36)&lt;0.5, "Pending", IF(AU36&lt;0.5, "Complete", "In Progress"))</f>
        <v>Pending</v>
      </c>
      <c r="AW36" s="22">
        <v>0</v>
      </c>
      <c r="AX36" s="22">
        <f t="shared" si="37"/>
        <v>0</v>
      </c>
      <c r="AY36" s="23" t="str">
        <f>IF(SUMPRODUCT($J$76:AX$76,$J36:AX36)&lt;0.5, "Pending", IF(AX36&lt;0.5, "Complete", "In Progress"))</f>
        <v>Pending</v>
      </c>
      <c r="AZ36" s="22">
        <v>0</v>
      </c>
      <c r="BA36" s="22" t="e">
        <f>MAX(#REF!-AZ36,0)</f>
        <v>#REF!</v>
      </c>
      <c r="BB36" s="23" t="e">
        <f>IF(SUMPRODUCT($J$76:BA$76,$J36:BA36)&lt;0.5, "Pending", IF(BA36&lt;0.5, "Complete", "In Progress"))</f>
        <v>#REF!</v>
      </c>
      <c r="BC36" s="22">
        <v>0</v>
      </c>
      <c r="BD36" s="22" t="e">
        <f t="shared" si="38"/>
        <v>#REF!</v>
      </c>
      <c r="BE36" s="23" t="e">
        <f>IF(SUMPRODUCT($J$76:BD$76,$J36:BD36)&lt;0.5, "Pending", IF(BD36&lt;0.5, "Complete", "In Progress"))</f>
        <v>#REF!</v>
      </c>
      <c r="BF36" s="22">
        <v>0</v>
      </c>
      <c r="BG36" s="22" t="e">
        <f t="shared" si="39"/>
        <v>#REF!</v>
      </c>
      <c r="BH36" s="23" t="e">
        <f>IF(SUMPRODUCT($J$76:BG$76,$J36:BG36)&lt;0.5, "Pending", IF(BG36&lt;0.5, "Complete", "In Progress"))</f>
        <v>#REF!</v>
      </c>
      <c r="BI36" s="22">
        <v>0</v>
      </c>
      <c r="BJ36" s="22" t="e">
        <f t="shared" si="40"/>
        <v>#REF!</v>
      </c>
      <c r="BK36" s="23" t="e">
        <f>IF(SUMPRODUCT($J$76:BJ$76,$J36:BJ36)&lt;0.5, "Pending", IF(BJ36&lt;0.5, "Complete", "In Progress"))</f>
        <v>#REF!</v>
      </c>
      <c r="BL36" s="22">
        <v>0</v>
      </c>
      <c r="BM36" s="22" t="e">
        <f t="shared" si="41"/>
        <v>#REF!</v>
      </c>
      <c r="BN36" s="23" t="e">
        <f>IF(SUMPRODUCT($J$76:BM$76,$J36:BM36)&lt;0.5, "Pending", IF(BM36&lt;0.5, "Complete", "In Progress"))</f>
        <v>#REF!</v>
      </c>
      <c r="BO36" s="22">
        <v>0</v>
      </c>
      <c r="BP36" s="22" t="e">
        <f t="shared" si="42"/>
        <v>#REF!</v>
      </c>
      <c r="BQ36" s="23" t="e">
        <f>IF(SUMPRODUCT($J$76:BP$76,$J36:BP36)&lt;0.5, "Pending", IF(BP36&lt;0.5, "Complete", "In Progress"))</f>
        <v>#REF!</v>
      </c>
      <c r="BR36" s="22">
        <v>0</v>
      </c>
      <c r="BS36" s="22" t="e">
        <f t="shared" si="43"/>
        <v>#REF!</v>
      </c>
      <c r="BT36" s="23" t="e">
        <f>IF(SUMPRODUCT($J$76:BS$76,$J36:BS36)&lt;0.5, "Pending", IF(BS36&lt;0.5, "Complete", "In Progress"))</f>
        <v>#REF!</v>
      </c>
      <c r="BU36" s="22">
        <v>0</v>
      </c>
      <c r="BV36" s="22" t="e">
        <f t="shared" si="44"/>
        <v>#REF!</v>
      </c>
      <c r="BW36" s="23" t="e">
        <f>IF(SUMPRODUCT($J$76:BV$76,$J36:BV36)&lt;0.5, "Pending", IF(BV36&lt;0.5, "Complete", "In Progress"))</f>
        <v>#REF!</v>
      </c>
      <c r="BX36" s="22">
        <v>0</v>
      </c>
      <c r="BY36" s="22" t="e">
        <f t="shared" si="45"/>
        <v>#REF!</v>
      </c>
      <c r="BZ36" s="23" t="e">
        <f>IF(SUMPRODUCT($J$76:BY$76,$J36:BY36)&lt;0.5, "Pending", IF(BY36&lt;0.5, "Complete", "In Progress"))</f>
        <v>#REF!</v>
      </c>
      <c r="CA36" s="22">
        <v>0</v>
      </c>
      <c r="CB36" s="22"/>
      <c r="CC36" s="23"/>
      <c r="CD36" s="24"/>
      <c r="CE36" s="25"/>
    </row>
    <row r="37" spans="1:83">
      <c r="A37" s="16"/>
      <c r="B37" s="16" t="s">
        <v>123</v>
      </c>
      <c r="C37" s="16" t="s">
        <v>624</v>
      </c>
      <c r="D37" s="17" t="s">
        <v>642</v>
      </c>
      <c r="E37" s="178" t="s">
        <v>141</v>
      </c>
      <c r="F37" s="18" t="s">
        <v>115</v>
      </c>
      <c r="G37" s="19" t="str">
        <f t="shared" ca="1" si="0"/>
        <v>Pending</v>
      </c>
      <c r="H37" s="20">
        <v>1</v>
      </c>
      <c r="I37" s="21">
        <v>0</v>
      </c>
      <c r="J37" s="22">
        <v>0</v>
      </c>
      <c r="K37" s="22">
        <f t="shared" si="24"/>
        <v>0</v>
      </c>
      <c r="L37" s="23" t="str">
        <f>IF(SUMPRODUCT($J$76:K$76,$J37:K37)&lt;0.5, "Pending", IF(K37&lt;0.5, "Complete", "In Progress"))</f>
        <v>Pending</v>
      </c>
      <c r="M37" s="22">
        <v>0</v>
      </c>
      <c r="N37" s="22">
        <f t="shared" si="25"/>
        <v>0</v>
      </c>
      <c r="O37" s="23" t="str">
        <f>IF(SUMPRODUCT($J$76:N$76,$J37:N37)&lt;0.5, "Pending", IF(N37&lt;0.5, "Complete", "In Progress"))</f>
        <v>Pending</v>
      </c>
      <c r="P37" s="22">
        <v>0</v>
      </c>
      <c r="Q37" s="22">
        <f t="shared" si="26"/>
        <v>0</v>
      </c>
      <c r="R37" s="23" t="str">
        <f>IF(SUMPRODUCT($J$76:Q$76,$J37:Q37)&lt;0.5, "Pending", IF(Q37&lt;0.5, "Complete", "In Progress"))</f>
        <v>Pending</v>
      </c>
      <c r="S37" s="22">
        <v>0</v>
      </c>
      <c r="T37" s="22">
        <f t="shared" si="27"/>
        <v>0</v>
      </c>
      <c r="U37" s="23" t="str">
        <f>IF(SUMPRODUCT($J$76:T$76,$J37:T37)&lt;0.5, "Pending", IF(T37&lt;0.5, "Complete", "In Progress"))</f>
        <v>Pending</v>
      </c>
      <c r="V37" s="22">
        <v>0</v>
      </c>
      <c r="W37" s="22">
        <f t="shared" si="28"/>
        <v>0</v>
      </c>
      <c r="X37" s="23" t="str">
        <f>IF(SUMPRODUCT($J$76:W$76,$J37:W37)&lt;0.5, "Pending", IF(W37&lt;0.5, "Complete", "In Progress"))</f>
        <v>Pending</v>
      </c>
      <c r="Y37" s="22">
        <v>0</v>
      </c>
      <c r="Z37" s="22">
        <f t="shared" si="29"/>
        <v>0</v>
      </c>
      <c r="AA37" s="23" t="str">
        <f>IF(SUMPRODUCT($J$76:Z$76,$J37:Z37)&lt;0.5, "Pending", IF(Z37&lt;0.5, "Complete", "In Progress"))</f>
        <v>Pending</v>
      </c>
      <c r="AB37" s="22">
        <v>0</v>
      </c>
      <c r="AC37" s="22">
        <f t="shared" si="30"/>
        <v>0</v>
      </c>
      <c r="AD37" s="23" t="str">
        <f>IF(SUMPRODUCT($J$76:AC$76,$J37:AC37)&lt;0.5, "Pending", IF(AC37&lt;0.5, "Complete", "In Progress"))</f>
        <v>Pending</v>
      </c>
      <c r="AE37" s="22">
        <v>0</v>
      </c>
      <c r="AF37" s="22">
        <f t="shared" si="31"/>
        <v>0</v>
      </c>
      <c r="AG37" s="23" t="str">
        <f>IF(SUMPRODUCT($J$76:AF$76,$J37:AF37)&lt;0.5, "Pending", IF(AF37&lt;0.5, "Complete", "In Progress"))</f>
        <v>Pending</v>
      </c>
      <c r="AH37" s="22">
        <v>0</v>
      </c>
      <c r="AI37" s="22">
        <f t="shared" si="32"/>
        <v>0</v>
      </c>
      <c r="AJ37" s="23" t="str">
        <f>IF(SUMPRODUCT($J$76:AI$76,$J37:AI37)&lt;0.5, "Pending", IF(AI37&lt;0.5, "Complete", "In Progress"))</f>
        <v>Pending</v>
      </c>
      <c r="AK37" s="22">
        <v>0</v>
      </c>
      <c r="AL37" s="22">
        <f t="shared" si="33"/>
        <v>0</v>
      </c>
      <c r="AM37" s="23" t="str">
        <f>IF(SUMPRODUCT($J$76:AL$76,$J37:AL37)&lt;0.5, "Pending", IF(AL37&lt;0.5, "Complete", "In Progress"))</f>
        <v>Pending</v>
      </c>
      <c r="AN37" s="22">
        <v>0</v>
      </c>
      <c r="AO37" s="22">
        <f t="shared" si="34"/>
        <v>0</v>
      </c>
      <c r="AP37" s="23" t="str">
        <f>IF(SUMPRODUCT($J$76:AO$76,$J37:AO37)&lt;0.5, "Pending", IF(AO37&lt;0.5, "Complete", "In Progress"))</f>
        <v>Pending</v>
      </c>
      <c r="AQ37" s="22">
        <v>0</v>
      </c>
      <c r="AR37" s="22">
        <f t="shared" si="35"/>
        <v>0</v>
      </c>
      <c r="AS37" s="23" t="str">
        <f>IF(SUMPRODUCT($J$76:AR$76,$J37:AR37)&lt;0.5, "Pending", IF(AR37&lt;0.5, "Complete", "In Progress"))</f>
        <v>Pending</v>
      </c>
      <c r="AT37" s="22">
        <v>0</v>
      </c>
      <c r="AU37" s="22">
        <f t="shared" si="36"/>
        <v>0</v>
      </c>
      <c r="AV37" s="23" t="str">
        <f>IF(SUMPRODUCT($J$76:AU$76,$J37:AU37)&lt;0.5, "Pending", IF(AU37&lt;0.5, "Complete", "In Progress"))</f>
        <v>Pending</v>
      </c>
      <c r="AW37" s="22">
        <v>0</v>
      </c>
      <c r="AX37" s="22">
        <f t="shared" si="37"/>
        <v>0</v>
      </c>
      <c r="AY37" s="23" t="str">
        <f>IF(SUMPRODUCT($J$76:AX$76,$J37:AX37)&lt;0.5, "Pending", IF(AX37&lt;0.5, "Complete", "In Progress"))</f>
        <v>Pending</v>
      </c>
      <c r="AZ37" s="22">
        <v>0</v>
      </c>
      <c r="BA37" s="22" t="e">
        <f>MAX(#REF!-AZ37,0)</f>
        <v>#REF!</v>
      </c>
      <c r="BB37" s="23" t="e">
        <f>IF(SUMPRODUCT($J$76:BA$76,$J37:BA37)&lt;0.5, "Pending", IF(BA37&lt;0.5, "Complete", "In Progress"))</f>
        <v>#REF!</v>
      </c>
      <c r="BC37" s="22">
        <v>0</v>
      </c>
      <c r="BD37" s="22" t="e">
        <f t="shared" si="38"/>
        <v>#REF!</v>
      </c>
      <c r="BE37" s="23" t="e">
        <f>IF(SUMPRODUCT($J$76:BD$76,$J37:BD37)&lt;0.5, "Pending", IF(BD37&lt;0.5, "Complete", "In Progress"))</f>
        <v>#REF!</v>
      </c>
      <c r="BF37" s="22">
        <v>0</v>
      </c>
      <c r="BG37" s="22" t="e">
        <f t="shared" si="39"/>
        <v>#REF!</v>
      </c>
      <c r="BH37" s="23" t="e">
        <f>IF(SUMPRODUCT($J$76:BG$76,$J37:BG37)&lt;0.5, "Pending", IF(BG37&lt;0.5, "Complete", "In Progress"))</f>
        <v>#REF!</v>
      </c>
      <c r="BI37" s="22">
        <v>0</v>
      </c>
      <c r="BJ37" s="22" t="e">
        <f t="shared" si="40"/>
        <v>#REF!</v>
      </c>
      <c r="BK37" s="23" t="e">
        <f>IF(SUMPRODUCT($J$76:BJ$76,$J37:BJ37)&lt;0.5, "Pending", IF(BJ37&lt;0.5, "Complete", "In Progress"))</f>
        <v>#REF!</v>
      </c>
      <c r="BL37" s="22">
        <v>0</v>
      </c>
      <c r="BM37" s="22" t="e">
        <f t="shared" si="41"/>
        <v>#REF!</v>
      </c>
      <c r="BN37" s="23" t="e">
        <f>IF(SUMPRODUCT($J$76:BM$76,$J37:BM37)&lt;0.5, "Pending", IF(BM37&lt;0.5, "Complete", "In Progress"))</f>
        <v>#REF!</v>
      </c>
      <c r="BO37" s="22">
        <v>0</v>
      </c>
      <c r="BP37" s="22" t="e">
        <f t="shared" si="42"/>
        <v>#REF!</v>
      </c>
      <c r="BQ37" s="23" t="e">
        <f>IF(SUMPRODUCT($J$76:BP$76,$J37:BP37)&lt;0.5, "Pending", IF(BP37&lt;0.5, "Complete", "In Progress"))</f>
        <v>#REF!</v>
      </c>
      <c r="BR37" s="22">
        <v>0</v>
      </c>
      <c r="BS37" s="22" t="e">
        <f t="shared" si="43"/>
        <v>#REF!</v>
      </c>
      <c r="BT37" s="23" t="e">
        <f>IF(SUMPRODUCT($J$76:BS$76,$J37:BS37)&lt;0.5, "Pending", IF(BS37&lt;0.5, "Complete", "In Progress"))</f>
        <v>#REF!</v>
      </c>
      <c r="BU37" s="22">
        <v>0</v>
      </c>
      <c r="BV37" s="22" t="e">
        <f t="shared" si="44"/>
        <v>#REF!</v>
      </c>
      <c r="BW37" s="23" t="e">
        <f>IF(SUMPRODUCT($J$76:BV$76,$J37:BV37)&lt;0.5, "Pending", IF(BV37&lt;0.5, "Complete", "In Progress"))</f>
        <v>#REF!</v>
      </c>
      <c r="BX37" s="22">
        <v>0</v>
      </c>
      <c r="BY37" s="22" t="e">
        <f t="shared" si="45"/>
        <v>#REF!</v>
      </c>
      <c r="BZ37" s="23" t="e">
        <f>IF(SUMPRODUCT($J$76:BY$76,$J37:BY37)&lt;0.5, "Pending", IF(BY37&lt;0.5, "Complete", "In Progress"))</f>
        <v>#REF!</v>
      </c>
      <c r="CA37" s="22">
        <v>0</v>
      </c>
      <c r="CB37" s="22"/>
      <c r="CC37" s="23"/>
      <c r="CD37" s="24"/>
      <c r="CE37" s="25"/>
    </row>
    <row r="38" spans="1:83">
      <c r="A38" s="16"/>
      <c r="B38" s="16" t="s">
        <v>123</v>
      </c>
      <c r="C38" s="16" t="s">
        <v>624</v>
      </c>
      <c r="D38" s="17" t="s">
        <v>643</v>
      </c>
      <c r="E38" s="178" t="s">
        <v>142</v>
      </c>
      <c r="F38" s="18" t="s">
        <v>116</v>
      </c>
      <c r="G38" s="19" t="str">
        <f t="shared" ca="1" si="0"/>
        <v>Pending</v>
      </c>
      <c r="H38" s="20">
        <v>1</v>
      </c>
      <c r="I38" s="21">
        <v>0</v>
      </c>
      <c r="J38" s="22">
        <v>0</v>
      </c>
      <c r="K38" s="22">
        <f t="shared" si="24"/>
        <v>0</v>
      </c>
      <c r="L38" s="23" t="str">
        <f>IF(SUMPRODUCT($J$76:K$76,$J38:K38)&lt;0.5, "Pending", IF(K38&lt;0.5, "Complete", "In Progress"))</f>
        <v>Pending</v>
      </c>
      <c r="M38" s="22">
        <v>0</v>
      </c>
      <c r="N38" s="22">
        <f t="shared" si="25"/>
        <v>0</v>
      </c>
      <c r="O38" s="23" t="str">
        <f>IF(SUMPRODUCT($J$76:N$76,$J38:N38)&lt;0.5, "Pending", IF(N38&lt;0.5, "Complete", "In Progress"))</f>
        <v>Pending</v>
      </c>
      <c r="P38" s="22">
        <v>0</v>
      </c>
      <c r="Q38" s="22">
        <f t="shared" si="26"/>
        <v>0</v>
      </c>
      <c r="R38" s="23" t="str">
        <f>IF(SUMPRODUCT($J$76:Q$76,$J38:Q38)&lt;0.5, "Pending", IF(Q38&lt;0.5, "Complete", "In Progress"))</f>
        <v>Pending</v>
      </c>
      <c r="S38" s="22">
        <v>0</v>
      </c>
      <c r="T38" s="22">
        <f t="shared" si="27"/>
        <v>0</v>
      </c>
      <c r="U38" s="23" t="str">
        <f>IF(SUMPRODUCT($J$76:T$76,$J38:T38)&lt;0.5, "Pending", IF(T38&lt;0.5, "Complete", "In Progress"))</f>
        <v>Pending</v>
      </c>
      <c r="V38" s="22">
        <v>0</v>
      </c>
      <c r="W38" s="22">
        <f t="shared" si="28"/>
        <v>0</v>
      </c>
      <c r="X38" s="23" t="str">
        <f>IF(SUMPRODUCT($J$76:W$76,$J38:W38)&lt;0.5, "Pending", IF(W38&lt;0.5, "Complete", "In Progress"))</f>
        <v>Pending</v>
      </c>
      <c r="Y38" s="22">
        <v>0</v>
      </c>
      <c r="Z38" s="22">
        <f t="shared" si="29"/>
        <v>0</v>
      </c>
      <c r="AA38" s="23" t="str">
        <f>IF(SUMPRODUCT($J$76:Z$76,$J38:Z38)&lt;0.5, "Pending", IF(Z38&lt;0.5, "Complete", "In Progress"))</f>
        <v>Pending</v>
      </c>
      <c r="AB38" s="22">
        <v>0</v>
      </c>
      <c r="AC38" s="22">
        <f t="shared" si="30"/>
        <v>0</v>
      </c>
      <c r="AD38" s="23" t="str">
        <f>IF(SUMPRODUCT($J$76:AC$76,$J38:AC38)&lt;0.5, "Pending", IF(AC38&lt;0.5, "Complete", "In Progress"))</f>
        <v>Pending</v>
      </c>
      <c r="AE38" s="22">
        <v>0</v>
      </c>
      <c r="AF38" s="22">
        <f t="shared" si="31"/>
        <v>0</v>
      </c>
      <c r="AG38" s="23" t="str">
        <f>IF(SUMPRODUCT($J$76:AF$76,$J38:AF38)&lt;0.5, "Pending", IF(AF38&lt;0.5, "Complete", "In Progress"))</f>
        <v>Pending</v>
      </c>
      <c r="AH38" s="22">
        <v>0</v>
      </c>
      <c r="AI38" s="22">
        <f t="shared" si="32"/>
        <v>0</v>
      </c>
      <c r="AJ38" s="23" t="str">
        <f>IF(SUMPRODUCT($J$76:AI$76,$J38:AI38)&lt;0.5, "Pending", IF(AI38&lt;0.5, "Complete", "In Progress"))</f>
        <v>Pending</v>
      </c>
      <c r="AK38" s="22">
        <v>0</v>
      </c>
      <c r="AL38" s="22">
        <f t="shared" si="33"/>
        <v>0</v>
      </c>
      <c r="AM38" s="23" t="str">
        <f>IF(SUMPRODUCT($J$76:AL$76,$J38:AL38)&lt;0.5, "Pending", IF(AL38&lt;0.5, "Complete", "In Progress"))</f>
        <v>Pending</v>
      </c>
      <c r="AN38" s="22">
        <v>0</v>
      </c>
      <c r="AO38" s="22">
        <f t="shared" si="34"/>
        <v>0</v>
      </c>
      <c r="AP38" s="23" t="str">
        <f>IF(SUMPRODUCT($J$76:AO$76,$J38:AO38)&lt;0.5, "Pending", IF(AO38&lt;0.5, "Complete", "In Progress"))</f>
        <v>Pending</v>
      </c>
      <c r="AQ38" s="22">
        <v>0</v>
      </c>
      <c r="AR38" s="22">
        <f t="shared" si="35"/>
        <v>0</v>
      </c>
      <c r="AS38" s="23" t="str">
        <f>IF(SUMPRODUCT($J$76:AR$76,$J38:AR38)&lt;0.5, "Pending", IF(AR38&lt;0.5, "Complete", "In Progress"))</f>
        <v>Pending</v>
      </c>
      <c r="AT38" s="22">
        <v>0</v>
      </c>
      <c r="AU38" s="22">
        <f t="shared" si="36"/>
        <v>0</v>
      </c>
      <c r="AV38" s="23" t="str">
        <f>IF(SUMPRODUCT($J$76:AU$76,$J38:AU38)&lt;0.5, "Pending", IF(AU38&lt;0.5, "Complete", "In Progress"))</f>
        <v>Pending</v>
      </c>
      <c r="AW38" s="22">
        <v>0</v>
      </c>
      <c r="AX38" s="22">
        <f t="shared" si="37"/>
        <v>0</v>
      </c>
      <c r="AY38" s="23" t="str">
        <f>IF(SUMPRODUCT($J$76:AX$76,$J38:AX38)&lt;0.5, "Pending", IF(AX38&lt;0.5, "Complete", "In Progress"))</f>
        <v>Pending</v>
      </c>
      <c r="AZ38" s="22">
        <v>0</v>
      </c>
      <c r="BA38" s="22" t="e">
        <f>MAX(#REF!-AZ38,0)</f>
        <v>#REF!</v>
      </c>
      <c r="BB38" s="23" t="e">
        <f>IF(SUMPRODUCT($J$76:BA$76,$J38:BA38)&lt;0.5, "Pending", IF(BA38&lt;0.5, "Complete", "In Progress"))</f>
        <v>#REF!</v>
      </c>
      <c r="BC38" s="22">
        <v>0</v>
      </c>
      <c r="BD38" s="22" t="e">
        <f t="shared" si="38"/>
        <v>#REF!</v>
      </c>
      <c r="BE38" s="23" t="e">
        <f>IF(SUMPRODUCT($J$76:BD$76,$J38:BD38)&lt;0.5, "Pending", IF(BD38&lt;0.5, "Complete", "In Progress"))</f>
        <v>#REF!</v>
      </c>
      <c r="BF38" s="22">
        <v>0</v>
      </c>
      <c r="BG38" s="22" t="e">
        <f t="shared" si="39"/>
        <v>#REF!</v>
      </c>
      <c r="BH38" s="23" t="e">
        <f>IF(SUMPRODUCT($J$76:BG$76,$J38:BG38)&lt;0.5, "Pending", IF(BG38&lt;0.5, "Complete", "In Progress"))</f>
        <v>#REF!</v>
      </c>
      <c r="BI38" s="22">
        <v>0</v>
      </c>
      <c r="BJ38" s="22" t="e">
        <f t="shared" si="40"/>
        <v>#REF!</v>
      </c>
      <c r="BK38" s="23" t="e">
        <f>IF(SUMPRODUCT($J$76:BJ$76,$J38:BJ38)&lt;0.5, "Pending", IF(BJ38&lt;0.5, "Complete", "In Progress"))</f>
        <v>#REF!</v>
      </c>
      <c r="BL38" s="22">
        <v>0</v>
      </c>
      <c r="BM38" s="22" t="e">
        <f t="shared" si="41"/>
        <v>#REF!</v>
      </c>
      <c r="BN38" s="23" t="e">
        <f>IF(SUMPRODUCT($J$76:BM$76,$J38:BM38)&lt;0.5, "Pending", IF(BM38&lt;0.5, "Complete", "In Progress"))</f>
        <v>#REF!</v>
      </c>
      <c r="BO38" s="22">
        <v>0</v>
      </c>
      <c r="BP38" s="22" t="e">
        <f t="shared" si="42"/>
        <v>#REF!</v>
      </c>
      <c r="BQ38" s="23" t="e">
        <f>IF(SUMPRODUCT($J$76:BP$76,$J38:BP38)&lt;0.5, "Pending", IF(BP38&lt;0.5, "Complete", "In Progress"))</f>
        <v>#REF!</v>
      </c>
      <c r="BR38" s="22">
        <v>0</v>
      </c>
      <c r="BS38" s="22" t="e">
        <f t="shared" si="43"/>
        <v>#REF!</v>
      </c>
      <c r="BT38" s="23" t="e">
        <f>IF(SUMPRODUCT($J$76:BS$76,$J38:BS38)&lt;0.5, "Pending", IF(BS38&lt;0.5, "Complete", "In Progress"))</f>
        <v>#REF!</v>
      </c>
      <c r="BU38" s="22">
        <v>0</v>
      </c>
      <c r="BV38" s="22" t="e">
        <f t="shared" si="44"/>
        <v>#REF!</v>
      </c>
      <c r="BW38" s="23" t="e">
        <f>IF(SUMPRODUCT($J$76:BV$76,$J38:BV38)&lt;0.5, "Pending", IF(BV38&lt;0.5, "Complete", "In Progress"))</f>
        <v>#REF!</v>
      </c>
      <c r="BX38" s="22">
        <v>0</v>
      </c>
      <c r="BY38" s="22" t="e">
        <f t="shared" si="45"/>
        <v>#REF!</v>
      </c>
      <c r="BZ38" s="23" t="e">
        <f>IF(SUMPRODUCT($J$76:BY$76,$J38:BY38)&lt;0.5, "Pending", IF(BY38&lt;0.5, "Complete", "In Progress"))</f>
        <v>#REF!</v>
      </c>
      <c r="CA38" s="22">
        <v>0</v>
      </c>
      <c r="CB38" s="22"/>
      <c r="CC38" s="23"/>
      <c r="CD38" s="24"/>
      <c r="CE38" s="25"/>
    </row>
    <row r="39" spans="1:83">
      <c r="A39" s="16"/>
      <c r="B39" s="16" t="s">
        <v>124</v>
      </c>
      <c r="C39" s="16" t="s">
        <v>630</v>
      </c>
      <c r="D39" s="17" t="s">
        <v>631</v>
      </c>
      <c r="E39" s="178" t="s">
        <v>626</v>
      </c>
      <c r="F39" s="18" t="s">
        <v>114</v>
      </c>
      <c r="G39" s="19" t="str">
        <f t="shared" ca="1" si="0"/>
        <v>Pending</v>
      </c>
      <c r="H39" s="20">
        <v>1</v>
      </c>
      <c r="I39" s="21">
        <v>0</v>
      </c>
      <c r="J39" s="22">
        <v>0</v>
      </c>
      <c r="K39" s="22">
        <f t="shared" ref="K39" si="184">MAX(I39-J39, 0)</f>
        <v>0</v>
      </c>
      <c r="L39" s="23" t="str">
        <f>IF(SUMPRODUCT($J$76:K$76,$J39:K39)&lt;0.5, "Pending", IF(K39&lt;0.5, "Complete", "In Progress"))</f>
        <v>Pending</v>
      </c>
      <c r="M39" s="22">
        <v>0</v>
      </c>
      <c r="N39" s="22">
        <f t="shared" ref="N39" si="185">MAX(K39-M39,0)</f>
        <v>0</v>
      </c>
      <c r="O39" s="23" t="str">
        <f>IF(SUMPRODUCT($J$76:N$76,$J39:N39)&lt;0.5, "Pending", IF(N39&lt;0.5, "Complete", "In Progress"))</f>
        <v>Pending</v>
      </c>
      <c r="P39" s="22">
        <v>0</v>
      </c>
      <c r="Q39" s="22">
        <f t="shared" ref="Q39" si="186">MAX(N39-P39,0)</f>
        <v>0</v>
      </c>
      <c r="R39" s="23" t="str">
        <f>IF(SUMPRODUCT($J$76:Q$76,$J39:Q39)&lt;0.5, "Pending", IF(Q39&lt;0.5, "Complete", "In Progress"))</f>
        <v>Pending</v>
      </c>
      <c r="S39" s="22">
        <v>0</v>
      </c>
      <c r="T39" s="22">
        <f t="shared" ref="T39" si="187">MAX(Q39-S39,0)</f>
        <v>0</v>
      </c>
      <c r="U39" s="23" t="str">
        <f>IF(SUMPRODUCT($J$76:T$76,$J39:T39)&lt;0.5, "Pending", IF(T39&lt;0.5, "Complete", "In Progress"))</f>
        <v>Pending</v>
      </c>
      <c r="V39" s="22">
        <v>0</v>
      </c>
      <c r="W39" s="22">
        <f t="shared" ref="W39" si="188">MAX(T39-V39,0)</f>
        <v>0</v>
      </c>
      <c r="X39" s="23" t="str">
        <f>IF(SUMPRODUCT($J$76:W$76,$J39:W39)&lt;0.5, "Pending", IF(W39&lt;0.5, "Complete", "In Progress"))</f>
        <v>Pending</v>
      </c>
      <c r="Y39" s="22">
        <v>0</v>
      </c>
      <c r="Z39" s="22">
        <f t="shared" ref="Z39" si="189">MAX(W39-Y39,0)</f>
        <v>0</v>
      </c>
      <c r="AA39" s="23" t="str">
        <f>IF(SUMPRODUCT($J$76:Z$76,$J39:Z39)&lt;0.5, "Pending", IF(Z39&lt;0.5, "Complete", "In Progress"))</f>
        <v>Pending</v>
      </c>
      <c r="AB39" s="22">
        <v>0</v>
      </c>
      <c r="AC39" s="22">
        <f t="shared" ref="AC39" si="190">MAX(Z39-AB39,0)</f>
        <v>0</v>
      </c>
      <c r="AD39" s="23" t="str">
        <f>IF(SUMPRODUCT($J$76:AC$76,$J39:AC39)&lt;0.5, "Pending", IF(AC39&lt;0.5, "Complete", "In Progress"))</f>
        <v>Pending</v>
      </c>
      <c r="AE39" s="22">
        <v>0</v>
      </c>
      <c r="AF39" s="22">
        <f t="shared" ref="AF39" si="191">MAX(AC39-AE39,0)</f>
        <v>0</v>
      </c>
      <c r="AG39" s="23" t="str">
        <f>IF(SUMPRODUCT($J$76:AF$76,$J39:AF39)&lt;0.5, "Pending", IF(AF39&lt;0.5, "Complete", "In Progress"))</f>
        <v>Pending</v>
      </c>
      <c r="AH39" s="22">
        <v>0</v>
      </c>
      <c r="AI39" s="22">
        <f t="shared" ref="AI39" si="192">MAX(AF39-AH39,0)</f>
        <v>0</v>
      </c>
      <c r="AJ39" s="23" t="str">
        <f>IF(SUMPRODUCT($J$76:AI$76,$J39:AI39)&lt;0.5, "Pending", IF(AI39&lt;0.5, "Complete", "In Progress"))</f>
        <v>Pending</v>
      </c>
      <c r="AK39" s="22">
        <v>0</v>
      </c>
      <c r="AL39" s="22">
        <f t="shared" ref="AL39" si="193">MAX(AI39-AK39,0)</f>
        <v>0</v>
      </c>
      <c r="AM39" s="23" t="str">
        <f>IF(SUMPRODUCT($J$76:AL$76,$J39:AL39)&lt;0.5, "Pending", IF(AL39&lt;0.5, "Complete", "In Progress"))</f>
        <v>Pending</v>
      </c>
      <c r="AN39" s="22">
        <v>0</v>
      </c>
      <c r="AO39" s="22">
        <f t="shared" ref="AO39" si="194">MAX(AL39-AN39,0)</f>
        <v>0</v>
      </c>
      <c r="AP39" s="23" t="str">
        <f>IF(SUMPRODUCT($J$76:AO$76,$J39:AO39)&lt;0.5, "Pending", IF(AO39&lt;0.5, "Complete", "In Progress"))</f>
        <v>Pending</v>
      </c>
      <c r="AQ39" s="22">
        <v>0</v>
      </c>
      <c r="AR39" s="22">
        <f t="shared" ref="AR39" si="195">MAX(AO39-AQ39,0)</f>
        <v>0</v>
      </c>
      <c r="AS39" s="23" t="str">
        <f>IF(SUMPRODUCT($J$76:AR$76,$J39:AR39)&lt;0.5, "Pending", IF(AR39&lt;0.5, "Complete", "In Progress"))</f>
        <v>Pending</v>
      </c>
      <c r="AT39" s="22">
        <v>0</v>
      </c>
      <c r="AU39" s="22">
        <f t="shared" ref="AU39" si="196">MAX(AR39-AT39,0)</f>
        <v>0</v>
      </c>
      <c r="AV39" s="23" t="str">
        <f>IF(SUMPRODUCT($J$76:AU$76,$J39:AU39)&lt;0.5, "Pending", IF(AU39&lt;0.5, "Complete", "In Progress"))</f>
        <v>Pending</v>
      </c>
      <c r="AW39" s="22">
        <v>0</v>
      </c>
      <c r="AX39" s="22">
        <f t="shared" ref="AX39" si="197">MAX(AU39-AW39,0)</f>
        <v>0</v>
      </c>
      <c r="AY39" s="23" t="str">
        <f>IF(SUMPRODUCT($J$76:AX$76,$J39:AX39)&lt;0.5, "Pending", IF(AX39&lt;0.5, "Complete", "In Progress"))</f>
        <v>Pending</v>
      </c>
      <c r="AZ39" s="22">
        <v>0</v>
      </c>
      <c r="BA39" s="22" t="e">
        <f>MAX(#REF!-AZ39,0)</f>
        <v>#REF!</v>
      </c>
      <c r="BB39" s="23" t="e">
        <f>IF(SUMPRODUCT($J$76:BA$76,$J39:BA39)&lt;0.5, "Pending", IF(BA39&lt;0.5, "Complete", "In Progress"))</f>
        <v>#REF!</v>
      </c>
      <c r="BC39" s="22">
        <v>0</v>
      </c>
      <c r="BD39" s="22" t="e">
        <f t="shared" ref="BD39" si="198">MAX(BA39-BC39,0)</f>
        <v>#REF!</v>
      </c>
      <c r="BE39" s="23" t="e">
        <f>IF(SUMPRODUCT($J$76:BD$76,$J39:BD39)&lt;0.5, "Pending", IF(BD39&lt;0.5, "Complete", "In Progress"))</f>
        <v>#REF!</v>
      </c>
      <c r="BF39" s="22">
        <v>0</v>
      </c>
      <c r="BG39" s="22" t="e">
        <f t="shared" ref="BG39" si="199">MAX(BD39-BF39,0)</f>
        <v>#REF!</v>
      </c>
      <c r="BH39" s="23" t="e">
        <f>IF(SUMPRODUCT($J$76:BG$76,$J39:BG39)&lt;0.5, "Pending", IF(BG39&lt;0.5, "Complete", "In Progress"))</f>
        <v>#REF!</v>
      </c>
      <c r="BI39" s="22">
        <v>0</v>
      </c>
      <c r="BJ39" s="22" t="e">
        <f t="shared" ref="BJ39" si="200">MAX(BG39-BI39,0)</f>
        <v>#REF!</v>
      </c>
      <c r="BK39" s="23" t="e">
        <f>IF(SUMPRODUCT($J$76:BJ$76,$J39:BJ39)&lt;0.5, "Pending", IF(BJ39&lt;0.5, "Complete", "In Progress"))</f>
        <v>#REF!</v>
      </c>
      <c r="BL39" s="22">
        <v>0</v>
      </c>
      <c r="BM39" s="22" t="e">
        <f t="shared" ref="BM39" si="201">MAX(BJ39-BL39,0)</f>
        <v>#REF!</v>
      </c>
      <c r="BN39" s="23" t="e">
        <f>IF(SUMPRODUCT($J$76:BM$76,$J39:BM39)&lt;0.5, "Pending", IF(BM39&lt;0.5, "Complete", "In Progress"))</f>
        <v>#REF!</v>
      </c>
      <c r="BO39" s="22">
        <v>0</v>
      </c>
      <c r="BP39" s="22" t="e">
        <f t="shared" ref="BP39" si="202">MAX(BM39-BO39,0)</f>
        <v>#REF!</v>
      </c>
      <c r="BQ39" s="23" t="e">
        <f>IF(SUMPRODUCT($J$76:BP$76,$J39:BP39)&lt;0.5, "Pending", IF(BP39&lt;0.5, "Complete", "In Progress"))</f>
        <v>#REF!</v>
      </c>
      <c r="BR39" s="22">
        <v>0</v>
      </c>
      <c r="BS39" s="22" t="e">
        <f t="shared" ref="BS39" si="203">MAX(BP39-BR39,0)</f>
        <v>#REF!</v>
      </c>
      <c r="BT39" s="23" t="e">
        <f>IF(SUMPRODUCT($J$76:BS$76,$J39:BS39)&lt;0.5, "Pending", IF(BS39&lt;0.5, "Complete", "In Progress"))</f>
        <v>#REF!</v>
      </c>
      <c r="BU39" s="22">
        <v>0</v>
      </c>
      <c r="BV39" s="22" t="e">
        <f t="shared" ref="BV39" si="204">MAX(BS39-BU39,0)</f>
        <v>#REF!</v>
      </c>
      <c r="BW39" s="23" t="e">
        <f>IF(SUMPRODUCT($J$76:BV$76,$J39:BV39)&lt;0.5, "Pending", IF(BV39&lt;0.5, "Complete", "In Progress"))</f>
        <v>#REF!</v>
      </c>
      <c r="BX39" s="22">
        <v>0</v>
      </c>
      <c r="BY39" s="22" t="e">
        <f t="shared" ref="BY39" si="205">MAX(BV39-BX39,0)</f>
        <v>#REF!</v>
      </c>
      <c r="BZ39" s="23" t="e">
        <f>IF(SUMPRODUCT($J$76:BY$76,$J39:BY39)&lt;0.5, "Pending", IF(BY39&lt;0.5, "Complete", "In Progress"))</f>
        <v>#REF!</v>
      </c>
      <c r="CA39" s="22">
        <v>0</v>
      </c>
      <c r="CB39" s="22" t="e">
        <f t="shared" si="46"/>
        <v>#REF!</v>
      </c>
      <c r="CC39" s="23" t="e">
        <f>IF(SUMPRODUCT($J$76:CB$76,$J39:CB39)&lt;0.5, "Pending", IF(CB39&lt;0.5, "Complete", "In Progress"))</f>
        <v>#REF!</v>
      </c>
      <c r="CD39" s="24"/>
      <c r="CE39" s="25">
        <f>SUMPRODUCT($H$76:AY$76,$H39:AY39)</f>
        <v>0</v>
      </c>
    </row>
    <row r="40" spans="1:83">
      <c r="A40" s="16"/>
      <c r="B40" s="16" t="s">
        <v>123</v>
      </c>
      <c r="C40" s="16" t="s">
        <v>634</v>
      </c>
      <c r="D40" s="17" t="s">
        <v>644</v>
      </c>
      <c r="E40" s="178" t="s">
        <v>140</v>
      </c>
      <c r="F40" s="18" t="s">
        <v>116</v>
      </c>
      <c r="G40" s="19" t="str">
        <f t="shared" ca="1" si="0"/>
        <v>Pending</v>
      </c>
      <c r="H40" s="20">
        <v>1</v>
      </c>
      <c r="I40" s="21">
        <v>0</v>
      </c>
      <c r="J40" s="22">
        <v>0</v>
      </c>
      <c r="K40" s="22">
        <f t="shared" ref="K40:K41" si="206">MAX(I40-J40, 0)</f>
        <v>0</v>
      </c>
      <c r="L40" s="23" t="str">
        <f>IF(SUMPRODUCT($J$76:K$76,$J40:K40)&lt;0.5, "Pending", IF(K40&lt;0.5, "Complete", "In Progress"))</f>
        <v>Pending</v>
      </c>
      <c r="M40" s="22">
        <v>0</v>
      </c>
      <c r="N40" s="22">
        <f t="shared" ref="N40:N41" si="207">MAX(K40-M40,0)</f>
        <v>0</v>
      </c>
      <c r="O40" s="23" t="str">
        <f>IF(SUMPRODUCT($J$76:N$76,$J40:N40)&lt;0.5, "Pending", IF(N40&lt;0.5, "Complete", "In Progress"))</f>
        <v>Pending</v>
      </c>
      <c r="P40" s="22">
        <v>0</v>
      </c>
      <c r="Q40" s="22">
        <f t="shared" ref="Q40:Q41" si="208">MAX(N40-P40,0)</f>
        <v>0</v>
      </c>
      <c r="R40" s="23" t="str">
        <f>IF(SUMPRODUCT($J$76:Q$76,$J40:Q40)&lt;0.5, "Pending", IF(Q40&lt;0.5, "Complete", "In Progress"))</f>
        <v>Pending</v>
      </c>
      <c r="S40" s="22">
        <v>0</v>
      </c>
      <c r="T40" s="22">
        <f t="shared" ref="T40:T41" si="209">MAX(Q40-S40,0)</f>
        <v>0</v>
      </c>
      <c r="U40" s="23" t="str">
        <f>IF(SUMPRODUCT($J$76:T$76,$J40:T40)&lt;0.5, "Pending", IF(T40&lt;0.5, "Complete", "In Progress"))</f>
        <v>Pending</v>
      </c>
      <c r="V40" s="22">
        <v>0</v>
      </c>
      <c r="W40" s="22">
        <f t="shared" ref="W40:W41" si="210">MAX(T40-V40,0)</f>
        <v>0</v>
      </c>
      <c r="X40" s="23" t="str">
        <f>IF(SUMPRODUCT($J$76:W$76,$J40:W40)&lt;0.5, "Pending", IF(W40&lt;0.5, "Complete", "In Progress"))</f>
        <v>Pending</v>
      </c>
      <c r="Y40" s="22">
        <v>0</v>
      </c>
      <c r="Z40" s="22">
        <f t="shared" ref="Z40:Z41" si="211">MAX(W40-Y40,0)</f>
        <v>0</v>
      </c>
      <c r="AA40" s="23" t="str">
        <f>IF(SUMPRODUCT($J$76:Z$76,$J40:Z40)&lt;0.5, "Pending", IF(Z40&lt;0.5, "Complete", "In Progress"))</f>
        <v>Pending</v>
      </c>
      <c r="AB40" s="22">
        <v>0</v>
      </c>
      <c r="AC40" s="22">
        <f t="shared" ref="AC40:AC41" si="212">MAX(Z40-AB40,0)</f>
        <v>0</v>
      </c>
      <c r="AD40" s="23" t="str">
        <f>IF(SUMPRODUCT($J$76:AC$76,$J40:AC40)&lt;0.5, "Pending", IF(AC40&lt;0.5, "Complete", "In Progress"))</f>
        <v>Pending</v>
      </c>
      <c r="AE40" s="22">
        <v>0</v>
      </c>
      <c r="AF40" s="22">
        <f t="shared" ref="AF40:AF41" si="213">MAX(AC40-AE40,0)</f>
        <v>0</v>
      </c>
      <c r="AG40" s="23" t="str">
        <f>IF(SUMPRODUCT($J$76:AF$76,$J40:AF40)&lt;0.5, "Pending", IF(AF40&lt;0.5, "Complete", "In Progress"))</f>
        <v>Pending</v>
      </c>
      <c r="AH40" s="22">
        <v>0</v>
      </c>
      <c r="AI40" s="22">
        <f t="shared" ref="AI40:AI41" si="214">MAX(AF40-AH40,0)</f>
        <v>0</v>
      </c>
      <c r="AJ40" s="23" t="str">
        <f>IF(SUMPRODUCT($J$76:AI$76,$J40:AI40)&lt;0.5, "Pending", IF(AI40&lt;0.5, "Complete", "In Progress"))</f>
        <v>Pending</v>
      </c>
      <c r="AK40" s="22">
        <v>0</v>
      </c>
      <c r="AL40" s="22">
        <f t="shared" ref="AL40:AL41" si="215">MAX(AI40-AK40,0)</f>
        <v>0</v>
      </c>
      <c r="AM40" s="23" t="str">
        <f>IF(SUMPRODUCT($J$76:AL$76,$J40:AL40)&lt;0.5, "Pending", IF(AL40&lt;0.5, "Complete", "In Progress"))</f>
        <v>Pending</v>
      </c>
      <c r="AN40" s="22">
        <v>0</v>
      </c>
      <c r="AO40" s="22">
        <f t="shared" ref="AO40:AO41" si="216">MAX(AL40-AN40,0)</f>
        <v>0</v>
      </c>
      <c r="AP40" s="23" t="str">
        <f>IF(SUMPRODUCT($J$76:AO$76,$J40:AO40)&lt;0.5, "Pending", IF(AO40&lt;0.5, "Complete", "In Progress"))</f>
        <v>Pending</v>
      </c>
      <c r="AQ40" s="22">
        <v>0</v>
      </c>
      <c r="AR40" s="22">
        <f t="shared" ref="AR40:AR41" si="217">MAX(AO40-AQ40,0)</f>
        <v>0</v>
      </c>
      <c r="AS40" s="23" t="str">
        <f>IF(SUMPRODUCT($J$76:AR$76,$J40:AR40)&lt;0.5, "Pending", IF(AR40&lt;0.5, "Complete", "In Progress"))</f>
        <v>Pending</v>
      </c>
      <c r="AT40" s="22">
        <v>0</v>
      </c>
      <c r="AU40" s="22">
        <f t="shared" ref="AU40:AU41" si="218">MAX(AR40-AT40,0)</f>
        <v>0</v>
      </c>
      <c r="AV40" s="23" t="str">
        <f>IF(SUMPRODUCT($J$76:AU$76,$J40:AU40)&lt;0.5, "Pending", IF(AU40&lt;0.5, "Complete", "In Progress"))</f>
        <v>Pending</v>
      </c>
      <c r="AW40" s="22">
        <v>0</v>
      </c>
      <c r="AX40" s="22">
        <f t="shared" ref="AX40:AX41" si="219">MAX(AU40-AW40,0)</f>
        <v>0</v>
      </c>
      <c r="AY40" s="23" t="str">
        <f>IF(SUMPRODUCT($J$76:AX$76,$J40:AX40)&lt;0.5, "Pending", IF(AX40&lt;0.5, "Complete", "In Progress"))</f>
        <v>Pending</v>
      </c>
      <c r="AZ40" s="22">
        <v>0</v>
      </c>
      <c r="BA40" s="22" t="e">
        <f>MAX(#REF!-AZ40,0)</f>
        <v>#REF!</v>
      </c>
      <c r="BB40" s="23" t="e">
        <f>IF(SUMPRODUCT($J$76:BA$76,$J40:BA40)&lt;0.5, "Pending", IF(BA40&lt;0.5, "Complete", "In Progress"))</f>
        <v>#REF!</v>
      </c>
      <c r="BC40" s="22">
        <v>0</v>
      </c>
      <c r="BD40" s="22" t="e">
        <f t="shared" ref="BD40:BD41" si="220">MAX(BA40-BC40,0)</f>
        <v>#REF!</v>
      </c>
      <c r="BE40" s="23" t="e">
        <f>IF(SUMPRODUCT($J$76:BD$76,$J40:BD40)&lt;0.5, "Pending", IF(BD40&lt;0.5, "Complete", "In Progress"))</f>
        <v>#REF!</v>
      </c>
      <c r="BF40" s="22">
        <v>0</v>
      </c>
      <c r="BG40" s="22" t="e">
        <f t="shared" ref="BG40:BG41" si="221">MAX(BD40-BF40,0)</f>
        <v>#REF!</v>
      </c>
      <c r="BH40" s="23" t="e">
        <f>IF(SUMPRODUCT($J$76:BG$76,$J40:BG40)&lt;0.5, "Pending", IF(BG40&lt;0.5, "Complete", "In Progress"))</f>
        <v>#REF!</v>
      </c>
      <c r="BI40" s="22">
        <v>0</v>
      </c>
      <c r="BJ40" s="22" t="e">
        <f t="shared" ref="BJ40:BJ41" si="222">MAX(BG40-BI40,0)</f>
        <v>#REF!</v>
      </c>
      <c r="BK40" s="23" t="e">
        <f>IF(SUMPRODUCT($J$76:BJ$76,$J40:BJ40)&lt;0.5, "Pending", IF(BJ40&lt;0.5, "Complete", "In Progress"))</f>
        <v>#REF!</v>
      </c>
      <c r="BL40" s="22">
        <v>0</v>
      </c>
      <c r="BM40" s="22" t="e">
        <f t="shared" ref="BM40:BM41" si="223">MAX(BJ40-BL40,0)</f>
        <v>#REF!</v>
      </c>
      <c r="BN40" s="23" t="e">
        <f>IF(SUMPRODUCT($J$76:BM$76,$J40:BM40)&lt;0.5, "Pending", IF(BM40&lt;0.5, "Complete", "In Progress"))</f>
        <v>#REF!</v>
      </c>
      <c r="BO40" s="22">
        <v>0</v>
      </c>
      <c r="BP40" s="22" t="e">
        <f t="shared" ref="BP40:BP41" si="224">MAX(BM40-BO40,0)</f>
        <v>#REF!</v>
      </c>
      <c r="BQ40" s="23" t="e">
        <f>IF(SUMPRODUCT($J$76:BP$76,$J40:BP40)&lt;0.5, "Pending", IF(BP40&lt;0.5, "Complete", "In Progress"))</f>
        <v>#REF!</v>
      </c>
      <c r="BR40" s="22">
        <v>0</v>
      </c>
      <c r="BS40" s="22" t="e">
        <f t="shared" ref="BS40:BS41" si="225">MAX(BP40-BR40,0)</f>
        <v>#REF!</v>
      </c>
      <c r="BT40" s="23" t="e">
        <f>IF(SUMPRODUCT($J$76:BS$76,$J40:BS40)&lt;0.5, "Pending", IF(BS40&lt;0.5, "Complete", "In Progress"))</f>
        <v>#REF!</v>
      </c>
      <c r="BU40" s="22">
        <v>0</v>
      </c>
      <c r="BV40" s="22" t="e">
        <f t="shared" ref="BV40:BV41" si="226">MAX(BS40-BU40,0)</f>
        <v>#REF!</v>
      </c>
      <c r="BW40" s="23" t="e">
        <f>IF(SUMPRODUCT($J$76:BV$76,$J40:BV40)&lt;0.5, "Pending", IF(BV40&lt;0.5, "Complete", "In Progress"))</f>
        <v>#REF!</v>
      </c>
      <c r="BX40" s="22">
        <v>0</v>
      </c>
      <c r="BY40" s="22" t="e">
        <f t="shared" ref="BY40:BY41" si="227">MAX(BV40-BX40,0)</f>
        <v>#REF!</v>
      </c>
      <c r="BZ40" s="23" t="e">
        <f>IF(SUMPRODUCT($J$76:BY$76,$J40:BY40)&lt;0.5, "Pending", IF(BY40&lt;0.5, "Complete", "In Progress"))</f>
        <v>#REF!</v>
      </c>
      <c r="CA40" s="22">
        <v>0</v>
      </c>
      <c r="CB40" s="22" t="e">
        <f t="shared" ref="CB40:CB41" si="228">MAX(BY40-CA40,0)</f>
        <v>#REF!</v>
      </c>
      <c r="CC40" s="23" t="e">
        <f>IF(SUMPRODUCT($J$76:CB$76,$J40:CB40)&lt;0.5, "Pending", IF(CB40&lt;0.5, "Complete", "In Progress"))</f>
        <v>#REF!</v>
      </c>
      <c r="CD40" s="24"/>
      <c r="CE40" s="25">
        <f>SUMPRODUCT($H$76:AY$76,$H40:AY40)</f>
        <v>0</v>
      </c>
    </row>
    <row r="41" spans="1:83">
      <c r="A41" s="16"/>
      <c r="B41" s="16" t="s">
        <v>123</v>
      </c>
      <c r="C41" s="16" t="s">
        <v>634</v>
      </c>
      <c r="D41" s="17" t="s">
        <v>645</v>
      </c>
      <c r="E41" s="178" t="s">
        <v>141</v>
      </c>
      <c r="F41" s="18" t="s">
        <v>115</v>
      </c>
      <c r="G41" s="19" t="str">
        <f t="shared" ca="1" si="0"/>
        <v>Pending</v>
      </c>
      <c r="H41" s="20">
        <v>1</v>
      </c>
      <c r="I41" s="21">
        <v>0</v>
      </c>
      <c r="J41" s="22">
        <v>0</v>
      </c>
      <c r="K41" s="22">
        <f t="shared" si="206"/>
        <v>0</v>
      </c>
      <c r="L41" s="23" t="str">
        <f>IF(SUMPRODUCT($J$76:K$76,$J41:K41)&lt;0.5, "Pending", IF(K41&lt;0.5, "Complete", "In Progress"))</f>
        <v>Pending</v>
      </c>
      <c r="M41" s="22">
        <v>0</v>
      </c>
      <c r="N41" s="22">
        <f t="shared" si="207"/>
        <v>0</v>
      </c>
      <c r="O41" s="23" t="str">
        <f>IF(SUMPRODUCT($J$76:N$76,$J41:N41)&lt;0.5, "Pending", IF(N41&lt;0.5, "Complete", "In Progress"))</f>
        <v>Pending</v>
      </c>
      <c r="P41" s="22">
        <v>0</v>
      </c>
      <c r="Q41" s="22">
        <f t="shared" si="208"/>
        <v>0</v>
      </c>
      <c r="R41" s="23" t="str">
        <f>IF(SUMPRODUCT($J$76:Q$76,$J41:Q41)&lt;0.5, "Pending", IF(Q41&lt;0.5, "Complete", "In Progress"))</f>
        <v>Pending</v>
      </c>
      <c r="S41" s="22">
        <v>0</v>
      </c>
      <c r="T41" s="22">
        <f t="shared" si="209"/>
        <v>0</v>
      </c>
      <c r="U41" s="23" t="str">
        <f>IF(SUMPRODUCT($J$76:T$76,$J41:T41)&lt;0.5, "Pending", IF(T41&lt;0.5, "Complete", "In Progress"))</f>
        <v>Pending</v>
      </c>
      <c r="V41" s="22">
        <v>0</v>
      </c>
      <c r="W41" s="22">
        <f t="shared" si="210"/>
        <v>0</v>
      </c>
      <c r="X41" s="23" t="str">
        <f>IF(SUMPRODUCT($J$76:W$76,$J41:W41)&lt;0.5, "Pending", IF(W41&lt;0.5, "Complete", "In Progress"))</f>
        <v>Pending</v>
      </c>
      <c r="Y41" s="22">
        <v>0</v>
      </c>
      <c r="Z41" s="22">
        <f t="shared" si="211"/>
        <v>0</v>
      </c>
      <c r="AA41" s="23" t="str">
        <f>IF(SUMPRODUCT($J$76:Z$76,$J41:Z41)&lt;0.5, "Pending", IF(Z41&lt;0.5, "Complete", "In Progress"))</f>
        <v>Pending</v>
      </c>
      <c r="AB41" s="22">
        <v>0</v>
      </c>
      <c r="AC41" s="22">
        <f t="shared" si="212"/>
        <v>0</v>
      </c>
      <c r="AD41" s="23" t="str">
        <f>IF(SUMPRODUCT($J$76:AC$76,$J41:AC41)&lt;0.5, "Pending", IF(AC41&lt;0.5, "Complete", "In Progress"))</f>
        <v>Pending</v>
      </c>
      <c r="AE41" s="22">
        <v>0</v>
      </c>
      <c r="AF41" s="22">
        <f t="shared" si="213"/>
        <v>0</v>
      </c>
      <c r="AG41" s="23" t="str">
        <f>IF(SUMPRODUCT($J$76:AF$76,$J41:AF41)&lt;0.5, "Pending", IF(AF41&lt;0.5, "Complete", "In Progress"))</f>
        <v>Pending</v>
      </c>
      <c r="AH41" s="22">
        <v>0</v>
      </c>
      <c r="AI41" s="22">
        <f t="shared" si="214"/>
        <v>0</v>
      </c>
      <c r="AJ41" s="23" t="str">
        <f>IF(SUMPRODUCT($J$76:AI$76,$J41:AI41)&lt;0.5, "Pending", IF(AI41&lt;0.5, "Complete", "In Progress"))</f>
        <v>Pending</v>
      </c>
      <c r="AK41" s="22">
        <v>0</v>
      </c>
      <c r="AL41" s="22">
        <f t="shared" si="215"/>
        <v>0</v>
      </c>
      <c r="AM41" s="23" t="str">
        <f>IF(SUMPRODUCT($J$76:AL$76,$J41:AL41)&lt;0.5, "Pending", IF(AL41&lt;0.5, "Complete", "In Progress"))</f>
        <v>Pending</v>
      </c>
      <c r="AN41" s="22">
        <v>0</v>
      </c>
      <c r="AO41" s="22">
        <f t="shared" si="216"/>
        <v>0</v>
      </c>
      <c r="AP41" s="23" t="str">
        <f>IF(SUMPRODUCT($J$76:AO$76,$J41:AO41)&lt;0.5, "Pending", IF(AO41&lt;0.5, "Complete", "In Progress"))</f>
        <v>Pending</v>
      </c>
      <c r="AQ41" s="22">
        <v>0</v>
      </c>
      <c r="AR41" s="22">
        <f t="shared" si="217"/>
        <v>0</v>
      </c>
      <c r="AS41" s="23" t="str">
        <f>IF(SUMPRODUCT($J$76:AR$76,$J41:AR41)&lt;0.5, "Pending", IF(AR41&lt;0.5, "Complete", "In Progress"))</f>
        <v>Pending</v>
      </c>
      <c r="AT41" s="22">
        <v>0</v>
      </c>
      <c r="AU41" s="22">
        <f t="shared" si="218"/>
        <v>0</v>
      </c>
      <c r="AV41" s="23" t="str">
        <f>IF(SUMPRODUCT($J$76:AU$76,$J41:AU41)&lt;0.5, "Pending", IF(AU41&lt;0.5, "Complete", "In Progress"))</f>
        <v>Pending</v>
      </c>
      <c r="AW41" s="22">
        <v>0</v>
      </c>
      <c r="AX41" s="22">
        <f t="shared" si="219"/>
        <v>0</v>
      </c>
      <c r="AY41" s="23" t="str">
        <f>IF(SUMPRODUCT($J$76:AX$76,$J41:AX41)&lt;0.5, "Pending", IF(AX41&lt;0.5, "Complete", "In Progress"))</f>
        <v>Pending</v>
      </c>
      <c r="AZ41" s="22">
        <v>0</v>
      </c>
      <c r="BA41" s="22" t="e">
        <f>MAX(#REF!-AZ41,0)</f>
        <v>#REF!</v>
      </c>
      <c r="BB41" s="23" t="e">
        <f>IF(SUMPRODUCT($J$76:BA$76,$J41:BA41)&lt;0.5, "Pending", IF(BA41&lt;0.5, "Complete", "In Progress"))</f>
        <v>#REF!</v>
      </c>
      <c r="BC41" s="22">
        <v>0</v>
      </c>
      <c r="BD41" s="22" t="e">
        <f t="shared" si="220"/>
        <v>#REF!</v>
      </c>
      <c r="BE41" s="23" t="e">
        <f>IF(SUMPRODUCT($J$76:BD$76,$J41:BD41)&lt;0.5, "Pending", IF(BD41&lt;0.5, "Complete", "In Progress"))</f>
        <v>#REF!</v>
      </c>
      <c r="BF41" s="22">
        <v>0</v>
      </c>
      <c r="BG41" s="22" t="e">
        <f t="shared" si="221"/>
        <v>#REF!</v>
      </c>
      <c r="BH41" s="23" t="e">
        <f>IF(SUMPRODUCT($J$76:BG$76,$J41:BG41)&lt;0.5, "Pending", IF(BG41&lt;0.5, "Complete", "In Progress"))</f>
        <v>#REF!</v>
      </c>
      <c r="BI41" s="22">
        <v>0</v>
      </c>
      <c r="BJ41" s="22" t="e">
        <f t="shared" si="222"/>
        <v>#REF!</v>
      </c>
      <c r="BK41" s="23" t="e">
        <f>IF(SUMPRODUCT($J$76:BJ$76,$J41:BJ41)&lt;0.5, "Pending", IF(BJ41&lt;0.5, "Complete", "In Progress"))</f>
        <v>#REF!</v>
      </c>
      <c r="BL41" s="22">
        <v>0</v>
      </c>
      <c r="BM41" s="22" t="e">
        <f t="shared" si="223"/>
        <v>#REF!</v>
      </c>
      <c r="BN41" s="23" t="e">
        <f>IF(SUMPRODUCT($J$76:BM$76,$J41:BM41)&lt;0.5, "Pending", IF(BM41&lt;0.5, "Complete", "In Progress"))</f>
        <v>#REF!</v>
      </c>
      <c r="BO41" s="22">
        <v>0</v>
      </c>
      <c r="BP41" s="22" t="e">
        <f t="shared" si="224"/>
        <v>#REF!</v>
      </c>
      <c r="BQ41" s="23" t="e">
        <f>IF(SUMPRODUCT($J$76:BP$76,$J41:BP41)&lt;0.5, "Pending", IF(BP41&lt;0.5, "Complete", "In Progress"))</f>
        <v>#REF!</v>
      </c>
      <c r="BR41" s="22">
        <v>0</v>
      </c>
      <c r="BS41" s="22" t="e">
        <f t="shared" si="225"/>
        <v>#REF!</v>
      </c>
      <c r="BT41" s="23" t="e">
        <f>IF(SUMPRODUCT($J$76:BS$76,$J41:BS41)&lt;0.5, "Pending", IF(BS41&lt;0.5, "Complete", "In Progress"))</f>
        <v>#REF!</v>
      </c>
      <c r="BU41" s="22">
        <v>0</v>
      </c>
      <c r="BV41" s="22" t="e">
        <f t="shared" si="226"/>
        <v>#REF!</v>
      </c>
      <c r="BW41" s="23" t="e">
        <f>IF(SUMPRODUCT($J$76:BV$76,$J41:BV41)&lt;0.5, "Pending", IF(BV41&lt;0.5, "Complete", "In Progress"))</f>
        <v>#REF!</v>
      </c>
      <c r="BX41" s="22">
        <v>0</v>
      </c>
      <c r="BY41" s="22" t="e">
        <f t="shared" si="227"/>
        <v>#REF!</v>
      </c>
      <c r="BZ41" s="23" t="e">
        <f>IF(SUMPRODUCT($J$76:BY$76,$J41:BY41)&lt;0.5, "Pending", IF(BY41&lt;0.5, "Complete", "In Progress"))</f>
        <v>#REF!</v>
      </c>
      <c r="CA41" s="22">
        <v>0</v>
      </c>
      <c r="CB41" s="22" t="e">
        <f t="shared" si="228"/>
        <v>#REF!</v>
      </c>
      <c r="CC41" s="23" t="e">
        <f>IF(SUMPRODUCT($J$76:CB$76,$J41:CB41)&lt;0.5, "Pending", IF(CB41&lt;0.5, "Complete", "In Progress"))</f>
        <v>#REF!</v>
      </c>
      <c r="CD41" s="24"/>
      <c r="CE41" s="25">
        <f>SUMPRODUCT($H$76:AY$76,$H41:AY41)</f>
        <v>0</v>
      </c>
    </row>
    <row r="42" spans="1:83">
      <c r="A42" s="16"/>
      <c r="B42" s="16" t="s">
        <v>123</v>
      </c>
      <c r="C42" s="16" t="s">
        <v>634</v>
      </c>
      <c r="D42" s="17" t="s">
        <v>646</v>
      </c>
      <c r="E42" s="178" t="s">
        <v>142</v>
      </c>
      <c r="F42" s="18" t="s">
        <v>116</v>
      </c>
      <c r="G42" s="19" t="str">
        <f t="shared" ca="1" si="0"/>
        <v>Pending</v>
      </c>
      <c r="H42" s="20">
        <v>1</v>
      </c>
      <c r="I42" s="21">
        <v>0</v>
      </c>
      <c r="J42" s="22">
        <v>0</v>
      </c>
      <c r="K42" s="22">
        <f t="shared" ref="K42" si="229">MAX(I42-J42, 0)</f>
        <v>0</v>
      </c>
      <c r="L42" s="23" t="str">
        <f>IF(SUMPRODUCT($J$76:K$76,$J42:K42)&lt;0.5, "Pending", IF(K42&lt;0.5, "Complete", "In Progress"))</f>
        <v>Pending</v>
      </c>
      <c r="M42" s="22">
        <v>0</v>
      </c>
      <c r="N42" s="22">
        <f t="shared" ref="N42" si="230">MAX(K42-M42,0)</f>
        <v>0</v>
      </c>
      <c r="O42" s="23" t="str">
        <f>IF(SUMPRODUCT($J$76:N$76,$J42:N42)&lt;0.5, "Pending", IF(N42&lt;0.5, "Complete", "In Progress"))</f>
        <v>Pending</v>
      </c>
      <c r="P42" s="22">
        <v>0</v>
      </c>
      <c r="Q42" s="22">
        <f t="shared" ref="Q42" si="231">MAX(N42-P42,0)</f>
        <v>0</v>
      </c>
      <c r="R42" s="23" t="str">
        <f>IF(SUMPRODUCT($J$76:Q$76,$J42:Q42)&lt;0.5, "Pending", IF(Q42&lt;0.5, "Complete", "In Progress"))</f>
        <v>Pending</v>
      </c>
      <c r="S42" s="22">
        <v>0</v>
      </c>
      <c r="T42" s="22">
        <f t="shared" ref="T42" si="232">MAX(Q42-S42,0)</f>
        <v>0</v>
      </c>
      <c r="U42" s="23" t="str">
        <f>IF(SUMPRODUCT($J$76:T$76,$J42:T42)&lt;0.5, "Pending", IF(T42&lt;0.5, "Complete", "In Progress"))</f>
        <v>Pending</v>
      </c>
      <c r="V42" s="22">
        <v>0</v>
      </c>
      <c r="W42" s="22">
        <f t="shared" ref="W42" si="233">MAX(T42-V42,0)</f>
        <v>0</v>
      </c>
      <c r="X42" s="23" t="str">
        <f>IF(SUMPRODUCT($J$76:W$76,$J42:W42)&lt;0.5, "Pending", IF(W42&lt;0.5, "Complete", "In Progress"))</f>
        <v>Pending</v>
      </c>
      <c r="Y42" s="22">
        <v>0</v>
      </c>
      <c r="Z42" s="22">
        <f t="shared" ref="Z42" si="234">MAX(W42-Y42,0)</f>
        <v>0</v>
      </c>
      <c r="AA42" s="23" t="str">
        <f>IF(SUMPRODUCT($J$76:Z$76,$J42:Z42)&lt;0.5, "Pending", IF(Z42&lt;0.5, "Complete", "In Progress"))</f>
        <v>Pending</v>
      </c>
      <c r="AB42" s="22">
        <v>0</v>
      </c>
      <c r="AC42" s="22">
        <f t="shared" ref="AC42" si="235">MAX(Z42-AB42,0)</f>
        <v>0</v>
      </c>
      <c r="AD42" s="23" t="str">
        <f>IF(SUMPRODUCT($J$76:AC$76,$J42:AC42)&lt;0.5, "Pending", IF(AC42&lt;0.5, "Complete", "In Progress"))</f>
        <v>Pending</v>
      </c>
      <c r="AE42" s="22">
        <v>0</v>
      </c>
      <c r="AF42" s="22">
        <f t="shared" ref="AF42" si="236">MAX(AC42-AE42,0)</f>
        <v>0</v>
      </c>
      <c r="AG42" s="23" t="str">
        <f>IF(SUMPRODUCT($J$76:AF$76,$J42:AF42)&lt;0.5, "Pending", IF(AF42&lt;0.5, "Complete", "In Progress"))</f>
        <v>Pending</v>
      </c>
      <c r="AH42" s="22">
        <v>0</v>
      </c>
      <c r="AI42" s="22">
        <f t="shared" ref="AI42" si="237">MAX(AF42-AH42,0)</f>
        <v>0</v>
      </c>
      <c r="AJ42" s="23" t="str">
        <f>IF(SUMPRODUCT($J$76:AI$76,$J42:AI42)&lt;0.5, "Pending", IF(AI42&lt;0.5, "Complete", "In Progress"))</f>
        <v>Pending</v>
      </c>
      <c r="AK42" s="22">
        <v>0</v>
      </c>
      <c r="AL42" s="22">
        <f t="shared" ref="AL42" si="238">MAX(AI42-AK42,0)</f>
        <v>0</v>
      </c>
      <c r="AM42" s="23" t="str">
        <f>IF(SUMPRODUCT($J$76:AL$76,$J42:AL42)&lt;0.5, "Pending", IF(AL42&lt;0.5, "Complete", "In Progress"))</f>
        <v>Pending</v>
      </c>
      <c r="AN42" s="22">
        <v>0</v>
      </c>
      <c r="AO42" s="22">
        <f t="shared" ref="AO42" si="239">MAX(AL42-AN42,0)</f>
        <v>0</v>
      </c>
      <c r="AP42" s="23" t="str">
        <f>IF(SUMPRODUCT($J$76:AO$76,$J42:AO42)&lt;0.5, "Pending", IF(AO42&lt;0.5, "Complete", "In Progress"))</f>
        <v>Pending</v>
      </c>
      <c r="AQ42" s="22">
        <v>0</v>
      </c>
      <c r="AR42" s="22">
        <f t="shared" ref="AR42" si="240">MAX(AO42-AQ42,0)</f>
        <v>0</v>
      </c>
      <c r="AS42" s="23" t="str">
        <f>IF(SUMPRODUCT($J$76:AR$76,$J42:AR42)&lt;0.5, "Pending", IF(AR42&lt;0.5, "Complete", "In Progress"))</f>
        <v>Pending</v>
      </c>
      <c r="AT42" s="22">
        <v>0</v>
      </c>
      <c r="AU42" s="22">
        <f t="shared" ref="AU42" si="241">MAX(AR42-AT42,0)</f>
        <v>0</v>
      </c>
      <c r="AV42" s="23" t="str">
        <f>IF(SUMPRODUCT($J$76:AU$76,$J42:AU42)&lt;0.5, "Pending", IF(AU42&lt;0.5, "Complete", "In Progress"))</f>
        <v>Pending</v>
      </c>
      <c r="AW42" s="22">
        <v>0</v>
      </c>
      <c r="AX42" s="22">
        <f t="shared" ref="AX42" si="242">MAX(AU42-AW42,0)</f>
        <v>0</v>
      </c>
      <c r="AY42" s="23" t="str">
        <f>IF(SUMPRODUCT($J$76:AX$76,$J42:AX42)&lt;0.5, "Pending", IF(AX42&lt;0.5, "Complete", "In Progress"))</f>
        <v>Pending</v>
      </c>
      <c r="AZ42" s="22">
        <v>0</v>
      </c>
      <c r="BA42" s="22" t="e">
        <f>MAX(#REF!-AZ42,0)</f>
        <v>#REF!</v>
      </c>
      <c r="BB42" s="23" t="e">
        <f>IF(SUMPRODUCT($J$76:BA$76,$J42:BA42)&lt;0.5, "Pending", IF(BA42&lt;0.5, "Complete", "In Progress"))</f>
        <v>#REF!</v>
      </c>
      <c r="BC42" s="22">
        <v>0</v>
      </c>
      <c r="BD42" s="22" t="e">
        <f t="shared" ref="BD42" si="243">MAX(BA42-BC42,0)</f>
        <v>#REF!</v>
      </c>
      <c r="BE42" s="23" t="e">
        <f>IF(SUMPRODUCT($J$76:BD$76,$J42:BD42)&lt;0.5, "Pending", IF(BD42&lt;0.5, "Complete", "In Progress"))</f>
        <v>#REF!</v>
      </c>
      <c r="BF42" s="22">
        <v>0</v>
      </c>
      <c r="BG42" s="22" t="e">
        <f t="shared" ref="BG42" si="244">MAX(BD42-BF42,0)</f>
        <v>#REF!</v>
      </c>
      <c r="BH42" s="23" t="e">
        <f>IF(SUMPRODUCT($J$76:BG$76,$J42:BG42)&lt;0.5, "Pending", IF(BG42&lt;0.5, "Complete", "In Progress"))</f>
        <v>#REF!</v>
      </c>
      <c r="BI42" s="22">
        <v>0</v>
      </c>
      <c r="BJ42" s="22" t="e">
        <f t="shared" ref="BJ42" si="245">MAX(BG42-BI42,0)</f>
        <v>#REF!</v>
      </c>
      <c r="BK42" s="23" t="e">
        <f>IF(SUMPRODUCT($J$76:BJ$76,$J42:BJ42)&lt;0.5, "Pending", IF(BJ42&lt;0.5, "Complete", "In Progress"))</f>
        <v>#REF!</v>
      </c>
      <c r="BL42" s="22">
        <v>0</v>
      </c>
      <c r="BM42" s="22" t="e">
        <f t="shared" ref="BM42" si="246">MAX(BJ42-BL42,0)</f>
        <v>#REF!</v>
      </c>
      <c r="BN42" s="23" t="e">
        <f>IF(SUMPRODUCT($J$76:BM$76,$J42:BM42)&lt;0.5, "Pending", IF(BM42&lt;0.5, "Complete", "In Progress"))</f>
        <v>#REF!</v>
      </c>
      <c r="BO42" s="22">
        <v>0</v>
      </c>
      <c r="BP42" s="22" t="e">
        <f t="shared" ref="BP42" si="247">MAX(BM42-BO42,0)</f>
        <v>#REF!</v>
      </c>
      <c r="BQ42" s="23" t="e">
        <f>IF(SUMPRODUCT($J$76:BP$76,$J42:BP42)&lt;0.5, "Pending", IF(BP42&lt;0.5, "Complete", "In Progress"))</f>
        <v>#REF!</v>
      </c>
      <c r="BR42" s="22">
        <v>0</v>
      </c>
      <c r="BS42" s="22" t="e">
        <f t="shared" ref="BS42" si="248">MAX(BP42-BR42,0)</f>
        <v>#REF!</v>
      </c>
      <c r="BT42" s="23" t="e">
        <f>IF(SUMPRODUCT($J$76:BS$76,$J42:BS42)&lt;0.5, "Pending", IF(BS42&lt;0.5, "Complete", "In Progress"))</f>
        <v>#REF!</v>
      </c>
      <c r="BU42" s="22">
        <v>0</v>
      </c>
      <c r="BV42" s="22" t="e">
        <f t="shared" ref="BV42" si="249">MAX(BS42-BU42,0)</f>
        <v>#REF!</v>
      </c>
      <c r="BW42" s="23" t="e">
        <f>IF(SUMPRODUCT($J$76:BV$76,$J42:BV42)&lt;0.5, "Pending", IF(BV42&lt;0.5, "Complete", "In Progress"))</f>
        <v>#REF!</v>
      </c>
      <c r="BX42" s="22">
        <v>0</v>
      </c>
      <c r="BY42" s="22" t="e">
        <f t="shared" ref="BY42" si="250">MAX(BV42-BX42,0)</f>
        <v>#REF!</v>
      </c>
      <c r="BZ42" s="23" t="e">
        <f>IF(SUMPRODUCT($J$76:BY$76,$J42:BY42)&lt;0.5, "Pending", IF(BY42&lt;0.5, "Complete", "In Progress"))</f>
        <v>#REF!</v>
      </c>
      <c r="CA42" s="22">
        <v>0</v>
      </c>
      <c r="CB42" s="22" t="e">
        <f t="shared" ref="CB42" si="251">MAX(BY42-CA42,0)</f>
        <v>#REF!</v>
      </c>
      <c r="CC42" s="23" t="e">
        <f>IF(SUMPRODUCT($J$76:CB$76,$J42:CB42)&lt;0.5, "Pending", IF(CB42&lt;0.5, "Complete", "In Progress"))</f>
        <v>#REF!</v>
      </c>
      <c r="CD42" s="24"/>
      <c r="CE42" s="25">
        <f>SUMPRODUCT($H$76:AY$76,$H42:AY42)</f>
        <v>0</v>
      </c>
    </row>
    <row r="43" spans="1:83">
      <c r="A43" s="16"/>
      <c r="B43" s="16" t="s">
        <v>124</v>
      </c>
      <c r="C43" s="16" t="s">
        <v>630</v>
      </c>
      <c r="D43" s="17" t="s">
        <v>632</v>
      </c>
      <c r="E43" s="178" t="s">
        <v>633</v>
      </c>
      <c r="F43" s="18" t="s">
        <v>114</v>
      </c>
      <c r="G43" s="19" t="str">
        <f t="shared" ca="1" si="0"/>
        <v>Pending</v>
      </c>
      <c r="H43" s="20">
        <v>1</v>
      </c>
      <c r="I43" s="21">
        <v>0</v>
      </c>
      <c r="J43" s="22">
        <v>0</v>
      </c>
      <c r="K43" s="22">
        <f t="shared" si="24"/>
        <v>0</v>
      </c>
      <c r="L43" s="23" t="str">
        <f>IF(SUMPRODUCT($J$76:K$76,$J43:K43)&lt;0.5, "Pending", IF(K43&lt;0.5, "Complete", "In Progress"))</f>
        <v>Pending</v>
      </c>
      <c r="M43" s="22">
        <v>0</v>
      </c>
      <c r="N43" s="22">
        <f t="shared" si="25"/>
        <v>0</v>
      </c>
      <c r="O43" s="23" t="str">
        <f>IF(SUMPRODUCT($J$76:N$76,$J43:N43)&lt;0.5, "Pending", IF(N43&lt;0.5, "Complete", "In Progress"))</f>
        <v>Pending</v>
      </c>
      <c r="P43" s="22">
        <v>0</v>
      </c>
      <c r="Q43" s="22">
        <f t="shared" si="26"/>
        <v>0</v>
      </c>
      <c r="R43" s="23" t="str">
        <f>IF(SUMPRODUCT($J$76:Q$76,$J43:Q43)&lt;0.5, "Pending", IF(Q43&lt;0.5, "Complete", "In Progress"))</f>
        <v>Pending</v>
      </c>
      <c r="S43" s="22">
        <v>0</v>
      </c>
      <c r="T43" s="22">
        <f t="shared" si="27"/>
        <v>0</v>
      </c>
      <c r="U43" s="23" t="str">
        <f>IF(SUMPRODUCT($J$76:T$76,$J43:T43)&lt;0.5, "Pending", IF(T43&lt;0.5, "Complete", "In Progress"))</f>
        <v>Pending</v>
      </c>
      <c r="V43" s="22">
        <v>0</v>
      </c>
      <c r="W43" s="22">
        <f t="shared" si="28"/>
        <v>0</v>
      </c>
      <c r="X43" s="23" t="str">
        <f>IF(SUMPRODUCT($J$76:W$76,$J43:W43)&lt;0.5, "Pending", IF(W43&lt;0.5, "Complete", "In Progress"))</f>
        <v>Pending</v>
      </c>
      <c r="Y43" s="22">
        <v>0</v>
      </c>
      <c r="Z43" s="22">
        <f t="shared" si="29"/>
        <v>0</v>
      </c>
      <c r="AA43" s="23" t="str">
        <f>IF(SUMPRODUCT($J$76:Z$76,$J43:Z43)&lt;0.5, "Pending", IF(Z43&lt;0.5, "Complete", "In Progress"))</f>
        <v>Pending</v>
      </c>
      <c r="AB43" s="22">
        <v>0</v>
      </c>
      <c r="AC43" s="22">
        <f t="shared" si="30"/>
        <v>0</v>
      </c>
      <c r="AD43" s="23" t="str">
        <f>IF(SUMPRODUCT($J$76:AC$76,$J43:AC43)&lt;0.5, "Pending", IF(AC43&lt;0.5, "Complete", "In Progress"))</f>
        <v>Pending</v>
      </c>
      <c r="AE43" s="22">
        <v>0</v>
      </c>
      <c r="AF43" s="22">
        <f t="shared" si="31"/>
        <v>0</v>
      </c>
      <c r="AG43" s="23" t="str">
        <f>IF(SUMPRODUCT($J$76:AF$76,$J43:AF43)&lt;0.5, "Pending", IF(AF43&lt;0.5, "Complete", "In Progress"))</f>
        <v>Pending</v>
      </c>
      <c r="AH43" s="22">
        <v>0</v>
      </c>
      <c r="AI43" s="22">
        <f t="shared" si="32"/>
        <v>0</v>
      </c>
      <c r="AJ43" s="23" t="str">
        <f>IF(SUMPRODUCT($J$76:AI$76,$J43:AI43)&lt;0.5, "Pending", IF(AI43&lt;0.5, "Complete", "In Progress"))</f>
        <v>Pending</v>
      </c>
      <c r="AK43" s="22">
        <v>0</v>
      </c>
      <c r="AL43" s="22">
        <f t="shared" si="33"/>
        <v>0</v>
      </c>
      <c r="AM43" s="23" t="str">
        <f>IF(SUMPRODUCT($J$76:AL$76,$J43:AL43)&lt;0.5, "Pending", IF(AL43&lt;0.5, "Complete", "In Progress"))</f>
        <v>Pending</v>
      </c>
      <c r="AN43" s="22">
        <v>0</v>
      </c>
      <c r="AO43" s="22">
        <f t="shared" si="34"/>
        <v>0</v>
      </c>
      <c r="AP43" s="23" t="str">
        <f>IF(SUMPRODUCT($J$76:AO$76,$J43:AO43)&lt;0.5, "Pending", IF(AO43&lt;0.5, "Complete", "In Progress"))</f>
        <v>Pending</v>
      </c>
      <c r="AQ43" s="22">
        <v>0</v>
      </c>
      <c r="AR43" s="22">
        <f t="shared" si="35"/>
        <v>0</v>
      </c>
      <c r="AS43" s="23" t="str">
        <f>IF(SUMPRODUCT($J$76:AR$76,$J43:AR43)&lt;0.5, "Pending", IF(AR43&lt;0.5, "Complete", "In Progress"))</f>
        <v>Pending</v>
      </c>
      <c r="AT43" s="22">
        <v>0</v>
      </c>
      <c r="AU43" s="22">
        <f t="shared" si="36"/>
        <v>0</v>
      </c>
      <c r="AV43" s="23" t="str">
        <f>IF(SUMPRODUCT($J$76:AU$76,$J43:AU43)&lt;0.5, "Pending", IF(AU43&lt;0.5, "Complete", "In Progress"))</f>
        <v>Pending</v>
      </c>
      <c r="AW43" s="22">
        <v>0</v>
      </c>
      <c r="AX43" s="22">
        <f t="shared" si="37"/>
        <v>0</v>
      </c>
      <c r="AY43" s="23" t="str">
        <f>IF(SUMPRODUCT($J$76:AX$76,$J43:AX43)&lt;0.5, "Pending", IF(AX43&lt;0.5, "Complete", "In Progress"))</f>
        <v>Pending</v>
      </c>
      <c r="AZ43" s="22">
        <v>0</v>
      </c>
      <c r="BA43" s="22" t="e">
        <f>MAX(#REF!-AZ43,0)</f>
        <v>#REF!</v>
      </c>
      <c r="BB43" s="23" t="e">
        <f>IF(SUMPRODUCT($J$76:BA$76,$J43:BA43)&lt;0.5, "Pending", IF(BA43&lt;0.5, "Complete", "In Progress"))</f>
        <v>#REF!</v>
      </c>
      <c r="BC43" s="22">
        <v>0</v>
      </c>
      <c r="BD43" s="22" t="e">
        <f t="shared" si="38"/>
        <v>#REF!</v>
      </c>
      <c r="BE43" s="23" t="e">
        <f>IF(SUMPRODUCT($J$76:BD$76,$J43:BD43)&lt;0.5, "Pending", IF(BD43&lt;0.5, "Complete", "In Progress"))</f>
        <v>#REF!</v>
      </c>
      <c r="BF43" s="22">
        <v>0</v>
      </c>
      <c r="BG43" s="22" t="e">
        <f t="shared" si="39"/>
        <v>#REF!</v>
      </c>
      <c r="BH43" s="23" t="e">
        <f>IF(SUMPRODUCT($J$76:BG$76,$J43:BG43)&lt;0.5, "Pending", IF(BG43&lt;0.5, "Complete", "In Progress"))</f>
        <v>#REF!</v>
      </c>
      <c r="BI43" s="22">
        <v>0</v>
      </c>
      <c r="BJ43" s="22" t="e">
        <f t="shared" si="40"/>
        <v>#REF!</v>
      </c>
      <c r="BK43" s="23" t="e">
        <f>IF(SUMPRODUCT($J$76:BJ$76,$J43:BJ43)&lt;0.5, "Pending", IF(BJ43&lt;0.5, "Complete", "In Progress"))</f>
        <v>#REF!</v>
      </c>
      <c r="BL43" s="22">
        <v>0</v>
      </c>
      <c r="BM43" s="22" t="e">
        <f t="shared" si="41"/>
        <v>#REF!</v>
      </c>
      <c r="BN43" s="23" t="e">
        <f>IF(SUMPRODUCT($J$76:BM$76,$J43:BM43)&lt;0.5, "Pending", IF(BM43&lt;0.5, "Complete", "In Progress"))</f>
        <v>#REF!</v>
      </c>
      <c r="BO43" s="22">
        <v>0</v>
      </c>
      <c r="BP43" s="22" t="e">
        <f t="shared" si="42"/>
        <v>#REF!</v>
      </c>
      <c r="BQ43" s="23" t="e">
        <f>IF(SUMPRODUCT($J$76:BP$76,$J43:BP43)&lt;0.5, "Pending", IF(BP43&lt;0.5, "Complete", "In Progress"))</f>
        <v>#REF!</v>
      </c>
      <c r="BR43" s="22">
        <v>0</v>
      </c>
      <c r="BS43" s="22" t="e">
        <f t="shared" si="43"/>
        <v>#REF!</v>
      </c>
      <c r="BT43" s="23" t="e">
        <f>IF(SUMPRODUCT($J$76:BS$76,$J43:BS43)&lt;0.5, "Pending", IF(BS43&lt;0.5, "Complete", "In Progress"))</f>
        <v>#REF!</v>
      </c>
      <c r="BU43" s="22">
        <v>0</v>
      </c>
      <c r="BV43" s="22" t="e">
        <f t="shared" si="44"/>
        <v>#REF!</v>
      </c>
      <c r="BW43" s="23" t="e">
        <f>IF(SUMPRODUCT($J$76:BV$76,$J43:BV43)&lt;0.5, "Pending", IF(BV43&lt;0.5, "Complete", "In Progress"))</f>
        <v>#REF!</v>
      </c>
      <c r="BX43" s="22">
        <v>0</v>
      </c>
      <c r="BY43" s="22" t="e">
        <f t="shared" si="45"/>
        <v>#REF!</v>
      </c>
      <c r="BZ43" s="23" t="e">
        <f>IF(SUMPRODUCT($J$76:BY$76,$J43:BY43)&lt;0.5, "Pending", IF(BY43&lt;0.5, "Complete", "In Progress"))</f>
        <v>#REF!</v>
      </c>
      <c r="CA43" s="22">
        <v>0</v>
      </c>
      <c r="CB43" s="22" t="e">
        <f t="shared" si="46"/>
        <v>#REF!</v>
      </c>
      <c r="CC43" s="23" t="e">
        <f>IF(SUMPRODUCT($J$76:CB$76,$J43:CB43)&lt;0.5, "Pending", IF(CB43&lt;0.5, "Complete", "In Progress"))</f>
        <v>#REF!</v>
      </c>
      <c r="CD43" s="24"/>
      <c r="CE43" s="25">
        <f>SUMPRODUCT($H$76:AY$76,$H43:AY43)</f>
        <v>0</v>
      </c>
    </row>
    <row r="44" spans="1:83">
      <c r="A44" s="16"/>
      <c r="B44" s="16" t="s">
        <v>124</v>
      </c>
      <c r="C44" s="16" t="s">
        <v>634</v>
      </c>
      <c r="D44" s="17" t="s">
        <v>636</v>
      </c>
      <c r="E44" s="178" t="s">
        <v>635</v>
      </c>
      <c r="F44" s="18" t="s">
        <v>114</v>
      </c>
      <c r="G44" s="19" t="str">
        <f t="shared" ca="1" si="0"/>
        <v>Pending</v>
      </c>
      <c r="H44" s="20">
        <v>1</v>
      </c>
      <c r="I44" s="21">
        <v>0</v>
      </c>
      <c r="J44" s="22">
        <v>0</v>
      </c>
      <c r="K44" s="22">
        <f t="shared" si="24"/>
        <v>0</v>
      </c>
      <c r="L44" s="23" t="str">
        <f>IF(SUMPRODUCT($J$76:K$76,$J44:K44)&lt;0.5, "Pending", IF(K44&lt;0.5, "Complete", "In Progress"))</f>
        <v>Pending</v>
      </c>
      <c r="M44" s="22">
        <v>0</v>
      </c>
      <c r="N44" s="22">
        <f t="shared" si="25"/>
        <v>0</v>
      </c>
      <c r="O44" s="23" t="str">
        <f>IF(SUMPRODUCT($J$76:N$76,$J44:N44)&lt;0.5, "Pending", IF(N44&lt;0.5, "Complete", "In Progress"))</f>
        <v>Pending</v>
      </c>
      <c r="P44" s="22">
        <v>0</v>
      </c>
      <c r="Q44" s="22">
        <f t="shared" si="26"/>
        <v>0</v>
      </c>
      <c r="R44" s="23" t="str">
        <f>IF(SUMPRODUCT($J$76:Q$76,$J44:Q44)&lt;0.5, "Pending", IF(Q44&lt;0.5, "Complete", "In Progress"))</f>
        <v>Pending</v>
      </c>
      <c r="S44" s="22">
        <v>0</v>
      </c>
      <c r="T44" s="22">
        <f t="shared" si="27"/>
        <v>0</v>
      </c>
      <c r="U44" s="23" t="str">
        <f>IF(SUMPRODUCT($J$76:T$76,$J44:T44)&lt;0.5, "Pending", IF(T44&lt;0.5, "Complete", "In Progress"))</f>
        <v>Pending</v>
      </c>
      <c r="V44" s="22">
        <v>0</v>
      </c>
      <c r="W44" s="22">
        <f t="shared" si="28"/>
        <v>0</v>
      </c>
      <c r="X44" s="23" t="str">
        <f>IF(SUMPRODUCT($J$76:W$76,$J44:W44)&lt;0.5, "Pending", IF(W44&lt;0.5, "Complete", "In Progress"))</f>
        <v>Pending</v>
      </c>
      <c r="Y44" s="22">
        <v>0</v>
      </c>
      <c r="Z44" s="22">
        <f t="shared" si="29"/>
        <v>0</v>
      </c>
      <c r="AA44" s="23" t="str">
        <f>IF(SUMPRODUCT($J$76:Z$76,$J44:Z44)&lt;0.5, "Pending", IF(Z44&lt;0.5, "Complete", "In Progress"))</f>
        <v>Pending</v>
      </c>
      <c r="AB44" s="22">
        <v>0</v>
      </c>
      <c r="AC44" s="22">
        <f t="shared" si="30"/>
        <v>0</v>
      </c>
      <c r="AD44" s="23" t="str">
        <f>IF(SUMPRODUCT($J$76:AC$76,$J44:AC44)&lt;0.5, "Pending", IF(AC44&lt;0.5, "Complete", "In Progress"))</f>
        <v>Pending</v>
      </c>
      <c r="AE44" s="22">
        <v>0</v>
      </c>
      <c r="AF44" s="22">
        <f t="shared" si="31"/>
        <v>0</v>
      </c>
      <c r="AG44" s="23" t="str">
        <f>IF(SUMPRODUCT($J$76:AF$76,$J44:AF44)&lt;0.5, "Pending", IF(AF44&lt;0.5, "Complete", "In Progress"))</f>
        <v>Pending</v>
      </c>
      <c r="AH44" s="22">
        <v>0</v>
      </c>
      <c r="AI44" s="22">
        <f t="shared" si="32"/>
        <v>0</v>
      </c>
      <c r="AJ44" s="23" t="str">
        <f>IF(SUMPRODUCT($J$76:AI$76,$J44:AI44)&lt;0.5, "Pending", IF(AI44&lt;0.5, "Complete", "In Progress"))</f>
        <v>Pending</v>
      </c>
      <c r="AK44" s="22">
        <v>0</v>
      </c>
      <c r="AL44" s="22">
        <f t="shared" si="33"/>
        <v>0</v>
      </c>
      <c r="AM44" s="23" t="str">
        <f>IF(SUMPRODUCT($J$76:AL$76,$J44:AL44)&lt;0.5, "Pending", IF(AL44&lt;0.5, "Complete", "In Progress"))</f>
        <v>Pending</v>
      </c>
      <c r="AN44" s="22">
        <v>0</v>
      </c>
      <c r="AO44" s="22">
        <f t="shared" si="34"/>
        <v>0</v>
      </c>
      <c r="AP44" s="23" t="str">
        <f>IF(SUMPRODUCT($J$76:AO$76,$J44:AO44)&lt;0.5, "Pending", IF(AO44&lt;0.5, "Complete", "In Progress"))</f>
        <v>Pending</v>
      </c>
      <c r="AQ44" s="22">
        <v>0</v>
      </c>
      <c r="AR44" s="22">
        <f t="shared" si="35"/>
        <v>0</v>
      </c>
      <c r="AS44" s="23" t="str">
        <f>IF(SUMPRODUCT($J$76:AR$76,$J44:AR44)&lt;0.5, "Pending", IF(AR44&lt;0.5, "Complete", "In Progress"))</f>
        <v>Pending</v>
      </c>
      <c r="AT44" s="22">
        <v>0</v>
      </c>
      <c r="AU44" s="22">
        <f t="shared" si="36"/>
        <v>0</v>
      </c>
      <c r="AV44" s="23" t="str">
        <f>IF(SUMPRODUCT($J$76:AU$76,$J44:AU44)&lt;0.5, "Pending", IF(AU44&lt;0.5, "Complete", "In Progress"))</f>
        <v>Pending</v>
      </c>
      <c r="AW44" s="22">
        <v>0</v>
      </c>
      <c r="AX44" s="22">
        <f t="shared" si="37"/>
        <v>0</v>
      </c>
      <c r="AY44" s="23" t="str">
        <f>IF(SUMPRODUCT($J$76:AX$76,$J44:AX44)&lt;0.5, "Pending", IF(AX44&lt;0.5, "Complete", "In Progress"))</f>
        <v>Pending</v>
      </c>
      <c r="AZ44" s="22">
        <v>0</v>
      </c>
      <c r="BA44" s="22" t="e">
        <f>MAX(#REF!-AZ44,0)</f>
        <v>#REF!</v>
      </c>
      <c r="BB44" s="23" t="e">
        <f>IF(SUMPRODUCT($J$76:BA$76,$J44:BA44)&lt;0.5, "Pending", IF(BA44&lt;0.5, "Complete", "In Progress"))</f>
        <v>#REF!</v>
      </c>
      <c r="BC44" s="22">
        <v>0</v>
      </c>
      <c r="BD44" s="22" t="e">
        <f t="shared" si="38"/>
        <v>#REF!</v>
      </c>
      <c r="BE44" s="23" t="e">
        <f>IF(SUMPRODUCT($J$76:BD$76,$J44:BD44)&lt;0.5, "Pending", IF(BD44&lt;0.5, "Complete", "In Progress"))</f>
        <v>#REF!</v>
      </c>
      <c r="BF44" s="22">
        <v>0</v>
      </c>
      <c r="BG44" s="22" t="e">
        <f t="shared" si="39"/>
        <v>#REF!</v>
      </c>
      <c r="BH44" s="23" t="e">
        <f>IF(SUMPRODUCT($J$76:BG$76,$J44:BG44)&lt;0.5, "Pending", IF(BG44&lt;0.5, "Complete", "In Progress"))</f>
        <v>#REF!</v>
      </c>
      <c r="BI44" s="22">
        <v>0</v>
      </c>
      <c r="BJ44" s="22" t="e">
        <f t="shared" si="40"/>
        <v>#REF!</v>
      </c>
      <c r="BK44" s="23" t="e">
        <f>IF(SUMPRODUCT($J$76:BJ$76,$J44:BJ44)&lt;0.5, "Pending", IF(BJ44&lt;0.5, "Complete", "In Progress"))</f>
        <v>#REF!</v>
      </c>
      <c r="BL44" s="22">
        <v>0</v>
      </c>
      <c r="BM44" s="22" t="e">
        <f t="shared" si="41"/>
        <v>#REF!</v>
      </c>
      <c r="BN44" s="23" t="e">
        <f>IF(SUMPRODUCT($J$76:BM$76,$J44:BM44)&lt;0.5, "Pending", IF(BM44&lt;0.5, "Complete", "In Progress"))</f>
        <v>#REF!</v>
      </c>
      <c r="BO44" s="22">
        <v>0</v>
      </c>
      <c r="BP44" s="22" t="e">
        <f t="shared" si="42"/>
        <v>#REF!</v>
      </c>
      <c r="BQ44" s="23" t="e">
        <f>IF(SUMPRODUCT($J$76:BP$76,$J44:BP44)&lt;0.5, "Pending", IF(BP44&lt;0.5, "Complete", "In Progress"))</f>
        <v>#REF!</v>
      </c>
      <c r="BR44" s="22">
        <v>0</v>
      </c>
      <c r="BS44" s="22" t="e">
        <f t="shared" si="43"/>
        <v>#REF!</v>
      </c>
      <c r="BT44" s="23" t="e">
        <f>IF(SUMPRODUCT($J$76:BS$76,$J44:BS44)&lt;0.5, "Pending", IF(BS44&lt;0.5, "Complete", "In Progress"))</f>
        <v>#REF!</v>
      </c>
      <c r="BU44" s="22">
        <v>0</v>
      </c>
      <c r="BV44" s="22" t="e">
        <f t="shared" si="44"/>
        <v>#REF!</v>
      </c>
      <c r="BW44" s="23" t="e">
        <f>IF(SUMPRODUCT($J$76:BV$76,$J44:BV44)&lt;0.5, "Pending", IF(BV44&lt;0.5, "Complete", "In Progress"))</f>
        <v>#REF!</v>
      </c>
      <c r="BX44" s="22">
        <v>0</v>
      </c>
      <c r="BY44" s="22" t="e">
        <f t="shared" si="45"/>
        <v>#REF!</v>
      </c>
      <c r="BZ44" s="23" t="e">
        <f>IF(SUMPRODUCT($J$76:BY$76,$J44:BY44)&lt;0.5, "Pending", IF(BY44&lt;0.5, "Complete", "In Progress"))</f>
        <v>#REF!</v>
      </c>
      <c r="CA44" s="22">
        <v>0</v>
      </c>
      <c r="CB44" s="22" t="e">
        <f t="shared" si="46"/>
        <v>#REF!</v>
      </c>
      <c r="CC44" s="23" t="e">
        <f>IF(SUMPRODUCT($J$76:CB$76,$J44:CB44)&lt;0.5, "Pending", IF(CB44&lt;0.5, "Complete", "In Progress"))</f>
        <v>#REF!</v>
      </c>
      <c r="CD44" s="24"/>
      <c r="CE44" s="25">
        <f>SUMPRODUCT($H$76:AY$76,$H44:AY44)</f>
        <v>0</v>
      </c>
    </row>
    <row r="45" spans="1:83">
      <c r="A45" s="16"/>
      <c r="B45" s="16" t="s">
        <v>124</v>
      </c>
      <c r="C45" s="16" t="s">
        <v>634</v>
      </c>
      <c r="D45" s="17" t="s">
        <v>637</v>
      </c>
      <c r="E45" s="178" t="s">
        <v>638</v>
      </c>
      <c r="F45" s="18" t="s">
        <v>114</v>
      </c>
      <c r="G45" s="19" t="str">
        <f t="shared" ca="1" si="0"/>
        <v>Pending</v>
      </c>
      <c r="H45" s="20">
        <v>1</v>
      </c>
      <c r="I45" s="21">
        <v>0</v>
      </c>
      <c r="J45" s="22">
        <v>0</v>
      </c>
      <c r="K45" s="22">
        <f t="shared" si="24"/>
        <v>0</v>
      </c>
      <c r="L45" s="23" t="str">
        <f>IF(SUMPRODUCT($J$76:K$76,$J45:K45)&lt;0.5, "Pending", IF(K45&lt;0.5, "Complete", "In Progress"))</f>
        <v>Pending</v>
      </c>
      <c r="M45" s="22">
        <v>0</v>
      </c>
      <c r="N45" s="22">
        <f t="shared" si="25"/>
        <v>0</v>
      </c>
      <c r="O45" s="23" t="str">
        <f>IF(SUMPRODUCT($J$76:N$76,$J45:N45)&lt;0.5, "Pending", IF(N45&lt;0.5, "Complete", "In Progress"))</f>
        <v>Pending</v>
      </c>
      <c r="P45" s="22">
        <v>0</v>
      </c>
      <c r="Q45" s="22">
        <f t="shared" si="26"/>
        <v>0</v>
      </c>
      <c r="R45" s="23" t="str">
        <f>IF(SUMPRODUCT($J$76:Q$76,$J45:Q45)&lt;0.5, "Pending", IF(Q45&lt;0.5, "Complete", "In Progress"))</f>
        <v>Pending</v>
      </c>
      <c r="S45" s="22">
        <v>0</v>
      </c>
      <c r="T45" s="22">
        <f t="shared" si="27"/>
        <v>0</v>
      </c>
      <c r="U45" s="23" t="str">
        <f>IF(SUMPRODUCT($J$76:T$76,$J45:T45)&lt;0.5, "Pending", IF(T45&lt;0.5, "Complete", "In Progress"))</f>
        <v>Pending</v>
      </c>
      <c r="V45" s="22">
        <v>0</v>
      </c>
      <c r="W45" s="22">
        <f t="shared" si="28"/>
        <v>0</v>
      </c>
      <c r="X45" s="23" t="str">
        <f>IF(SUMPRODUCT($J$76:W$76,$J45:W45)&lt;0.5, "Pending", IF(W45&lt;0.5, "Complete", "In Progress"))</f>
        <v>Pending</v>
      </c>
      <c r="Y45" s="22">
        <v>0</v>
      </c>
      <c r="Z45" s="22">
        <f t="shared" si="29"/>
        <v>0</v>
      </c>
      <c r="AA45" s="23" t="str">
        <f>IF(SUMPRODUCT($J$76:Z$76,$J45:Z45)&lt;0.5, "Pending", IF(Z45&lt;0.5, "Complete", "In Progress"))</f>
        <v>Pending</v>
      </c>
      <c r="AB45" s="22">
        <v>0</v>
      </c>
      <c r="AC45" s="22">
        <f t="shared" si="30"/>
        <v>0</v>
      </c>
      <c r="AD45" s="23" t="str">
        <f>IF(SUMPRODUCT($J$76:AC$76,$J45:AC45)&lt;0.5, "Pending", IF(AC45&lt;0.5, "Complete", "In Progress"))</f>
        <v>Pending</v>
      </c>
      <c r="AE45" s="22">
        <v>0</v>
      </c>
      <c r="AF45" s="22">
        <f t="shared" si="31"/>
        <v>0</v>
      </c>
      <c r="AG45" s="23" t="str">
        <f>IF(SUMPRODUCT($J$76:AF$76,$J45:AF45)&lt;0.5, "Pending", IF(AF45&lt;0.5, "Complete", "In Progress"))</f>
        <v>Pending</v>
      </c>
      <c r="AH45" s="22">
        <v>0</v>
      </c>
      <c r="AI45" s="22">
        <f t="shared" si="32"/>
        <v>0</v>
      </c>
      <c r="AJ45" s="23" t="str">
        <f>IF(SUMPRODUCT($J$76:AI$76,$J45:AI45)&lt;0.5, "Pending", IF(AI45&lt;0.5, "Complete", "In Progress"))</f>
        <v>Pending</v>
      </c>
      <c r="AK45" s="22">
        <v>0</v>
      </c>
      <c r="AL45" s="22">
        <f t="shared" si="33"/>
        <v>0</v>
      </c>
      <c r="AM45" s="23" t="str">
        <f>IF(SUMPRODUCT($J$76:AL$76,$J45:AL45)&lt;0.5, "Pending", IF(AL45&lt;0.5, "Complete", "In Progress"))</f>
        <v>Pending</v>
      </c>
      <c r="AN45" s="22">
        <v>0</v>
      </c>
      <c r="AO45" s="22">
        <f t="shared" si="34"/>
        <v>0</v>
      </c>
      <c r="AP45" s="23" t="str">
        <f>IF(SUMPRODUCT($J$76:AO$76,$J45:AO45)&lt;0.5, "Pending", IF(AO45&lt;0.5, "Complete", "In Progress"))</f>
        <v>Pending</v>
      </c>
      <c r="AQ45" s="22">
        <v>0</v>
      </c>
      <c r="AR45" s="22">
        <f t="shared" si="35"/>
        <v>0</v>
      </c>
      <c r="AS45" s="23" t="str">
        <f>IF(SUMPRODUCT($J$76:AR$76,$J45:AR45)&lt;0.5, "Pending", IF(AR45&lt;0.5, "Complete", "In Progress"))</f>
        <v>Pending</v>
      </c>
      <c r="AT45" s="22">
        <v>0</v>
      </c>
      <c r="AU45" s="22">
        <f t="shared" si="36"/>
        <v>0</v>
      </c>
      <c r="AV45" s="23" t="str">
        <f>IF(SUMPRODUCT($J$76:AU$76,$J45:AU45)&lt;0.5, "Pending", IF(AU45&lt;0.5, "Complete", "In Progress"))</f>
        <v>Pending</v>
      </c>
      <c r="AW45" s="22">
        <v>0</v>
      </c>
      <c r="AX45" s="22">
        <f t="shared" si="37"/>
        <v>0</v>
      </c>
      <c r="AY45" s="23" t="str">
        <f>IF(SUMPRODUCT($J$76:AX$76,$J45:AX45)&lt;0.5, "Pending", IF(AX45&lt;0.5, "Complete", "In Progress"))</f>
        <v>Pending</v>
      </c>
      <c r="AZ45" s="22">
        <v>0</v>
      </c>
      <c r="BA45" s="22" t="e">
        <f>MAX(#REF!-AZ45,0)</f>
        <v>#REF!</v>
      </c>
      <c r="BB45" s="23" t="e">
        <f>IF(SUMPRODUCT($J$76:BA$76,$J45:BA45)&lt;0.5, "Pending", IF(BA45&lt;0.5, "Complete", "In Progress"))</f>
        <v>#REF!</v>
      </c>
      <c r="BC45" s="22">
        <v>0</v>
      </c>
      <c r="BD45" s="22" t="e">
        <f t="shared" si="38"/>
        <v>#REF!</v>
      </c>
      <c r="BE45" s="23" t="e">
        <f>IF(SUMPRODUCT($J$76:BD$76,$J45:BD45)&lt;0.5, "Pending", IF(BD45&lt;0.5, "Complete", "In Progress"))</f>
        <v>#REF!</v>
      </c>
      <c r="BF45" s="22">
        <v>0</v>
      </c>
      <c r="BG45" s="22" t="e">
        <f t="shared" si="39"/>
        <v>#REF!</v>
      </c>
      <c r="BH45" s="23" t="e">
        <f>IF(SUMPRODUCT($J$76:BG$76,$J45:BG45)&lt;0.5, "Pending", IF(BG45&lt;0.5, "Complete", "In Progress"))</f>
        <v>#REF!</v>
      </c>
      <c r="BI45" s="22">
        <v>0</v>
      </c>
      <c r="BJ45" s="22" t="e">
        <f t="shared" si="40"/>
        <v>#REF!</v>
      </c>
      <c r="BK45" s="23" t="e">
        <f>IF(SUMPRODUCT($J$76:BJ$76,$J45:BJ45)&lt;0.5, "Pending", IF(BJ45&lt;0.5, "Complete", "In Progress"))</f>
        <v>#REF!</v>
      </c>
      <c r="BL45" s="22">
        <v>0</v>
      </c>
      <c r="BM45" s="22" t="e">
        <f t="shared" si="41"/>
        <v>#REF!</v>
      </c>
      <c r="BN45" s="23" t="e">
        <f>IF(SUMPRODUCT($J$76:BM$76,$J45:BM45)&lt;0.5, "Pending", IF(BM45&lt;0.5, "Complete", "In Progress"))</f>
        <v>#REF!</v>
      </c>
      <c r="BO45" s="22">
        <v>0</v>
      </c>
      <c r="BP45" s="22" t="e">
        <f t="shared" si="42"/>
        <v>#REF!</v>
      </c>
      <c r="BQ45" s="23" t="e">
        <f>IF(SUMPRODUCT($J$76:BP$76,$J45:BP45)&lt;0.5, "Pending", IF(BP45&lt;0.5, "Complete", "In Progress"))</f>
        <v>#REF!</v>
      </c>
      <c r="BR45" s="22">
        <v>0</v>
      </c>
      <c r="BS45" s="22" t="e">
        <f t="shared" si="43"/>
        <v>#REF!</v>
      </c>
      <c r="BT45" s="23" t="e">
        <f>IF(SUMPRODUCT($J$76:BS$76,$J45:BS45)&lt;0.5, "Pending", IF(BS45&lt;0.5, "Complete", "In Progress"))</f>
        <v>#REF!</v>
      </c>
      <c r="BU45" s="22">
        <v>0</v>
      </c>
      <c r="BV45" s="22" t="e">
        <f t="shared" si="44"/>
        <v>#REF!</v>
      </c>
      <c r="BW45" s="23" t="e">
        <f>IF(SUMPRODUCT($J$76:BV$76,$J45:BV45)&lt;0.5, "Pending", IF(BV45&lt;0.5, "Complete", "In Progress"))</f>
        <v>#REF!</v>
      </c>
      <c r="BX45" s="22">
        <v>0</v>
      </c>
      <c r="BY45" s="22" t="e">
        <f t="shared" si="45"/>
        <v>#REF!</v>
      </c>
      <c r="BZ45" s="23" t="e">
        <f>IF(SUMPRODUCT($J$76:BY$76,$J45:BY45)&lt;0.5, "Pending", IF(BY45&lt;0.5, "Complete", "In Progress"))</f>
        <v>#REF!</v>
      </c>
      <c r="CA45" s="22">
        <v>0</v>
      </c>
      <c r="CB45" s="22" t="e">
        <f t="shared" si="46"/>
        <v>#REF!</v>
      </c>
      <c r="CC45" s="23" t="e">
        <f>IF(SUMPRODUCT($J$76:CB$76,$J45:CB45)&lt;0.5, "Pending", IF(CB45&lt;0.5, "Complete", "In Progress"))</f>
        <v>#REF!</v>
      </c>
      <c r="CD45" s="24"/>
      <c r="CE45" s="25">
        <f>SUMPRODUCT($H$76:AY$76,$H45:AY45)</f>
        <v>0</v>
      </c>
    </row>
    <row r="46" spans="1:83">
      <c r="A46" s="16"/>
      <c r="B46" s="16" t="s">
        <v>126</v>
      </c>
      <c r="C46" s="16" t="s">
        <v>634</v>
      </c>
      <c r="D46" s="17" t="s">
        <v>639</v>
      </c>
      <c r="E46" s="178" t="s">
        <v>143</v>
      </c>
      <c r="F46" s="18" t="s">
        <v>114</v>
      </c>
      <c r="G46" s="19" t="str">
        <f t="shared" ca="1" si="0"/>
        <v>Pending</v>
      </c>
      <c r="H46" s="20">
        <v>1</v>
      </c>
      <c r="I46" s="21">
        <v>0</v>
      </c>
      <c r="J46" s="22">
        <v>0</v>
      </c>
      <c r="K46" s="22">
        <f t="shared" si="24"/>
        <v>0</v>
      </c>
      <c r="L46" s="23" t="str">
        <f>IF(SUMPRODUCT($J$76:K$76,$J46:K46)&lt;0.5, "Pending", IF(K46&lt;0.5, "Complete", "In Progress"))</f>
        <v>Pending</v>
      </c>
      <c r="M46" s="22">
        <v>0</v>
      </c>
      <c r="N46" s="22">
        <f t="shared" si="25"/>
        <v>0</v>
      </c>
      <c r="O46" s="23" t="str">
        <f>IF(SUMPRODUCT($J$76:N$76,$J46:N46)&lt;0.5, "Pending", IF(N46&lt;0.5, "Complete", "In Progress"))</f>
        <v>Pending</v>
      </c>
      <c r="P46" s="22">
        <v>0</v>
      </c>
      <c r="Q46" s="22">
        <f t="shared" si="26"/>
        <v>0</v>
      </c>
      <c r="R46" s="23" t="str">
        <f>IF(SUMPRODUCT($J$76:Q$76,$J46:Q46)&lt;0.5, "Pending", IF(Q46&lt;0.5, "Complete", "In Progress"))</f>
        <v>Pending</v>
      </c>
      <c r="S46" s="22">
        <v>0</v>
      </c>
      <c r="T46" s="22">
        <f t="shared" si="27"/>
        <v>0</v>
      </c>
      <c r="U46" s="23" t="str">
        <f>IF(SUMPRODUCT($J$76:T$76,$J46:T46)&lt;0.5, "Pending", IF(T46&lt;0.5, "Complete", "In Progress"))</f>
        <v>Pending</v>
      </c>
      <c r="V46" s="22">
        <v>0</v>
      </c>
      <c r="W46" s="22">
        <f t="shared" si="28"/>
        <v>0</v>
      </c>
      <c r="X46" s="23" t="str">
        <f>IF(SUMPRODUCT($J$76:W$76,$J46:W46)&lt;0.5, "Pending", IF(W46&lt;0.5, "Complete", "In Progress"))</f>
        <v>Pending</v>
      </c>
      <c r="Y46" s="22">
        <v>0</v>
      </c>
      <c r="Z46" s="22">
        <f t="shared" si="29"/>
        <v>0</v>
      </c>
      <c r="AA46" s="23" t="str">
        <f>IF(SUMPRODUCT($J$76:Z$76,$J46:Z46)&lt;0.5, "Pending", IF(Z46&lt;0.5, "Complete", "In Progress"))</f>
        <v>Pending</v>
      </c>
      <c r="AB46" s="22">
        <v>0</v>
      </c>
      <c r="AC46" s="22">
        <f t="shared" si="30"/>
        <v>0</v>
      </c>
      <c r="AD46" s="23" t="str">
        <f>IF(SUMPRODUCT($J$76:AC$76,$J46:AC46)&lt;0.5, "Pending", IF(AC46&lt;0.5, "Complete", "In Progress"))</f>
        <v>Pending</v>
      </c>
      <c r="AE46" s="22">
        <v>0</v>
      </c>
      <c r="AF46" s="22">
        <f t="shared" si="31"/>
        <v>0</v>
      </c>
      <c r="AG46" s="23" t="str">
        <f>IF(SUMPRODUCT($J$76:AF$76,$J46:AF46)&lt;0.5, "Pending", IF(AF46&lt;0.5, "Complete", "In Progress"))</f>
        <v>Pending</v>
      </c>
      <c r="AH46" s="22">
        <v>0</v>
      </c>
      <c r="AI46" s="22">
        <f t="shared" si="32"/>
        <v>0</v>
      </c>
      <c r="AJ46" s="23" t="str">
        <f>IF(SUMPRODUCT($J$76:AI$76,$J46:AI46)&lt;0.5, "Pending", IF(AI46&lt;0.5, "Complete", "In Progress"))</f>
        <v>Pending</v>
      </c>
      <c r="AK46" s="22">
        <v>0</v>
      </c>
      <c r="AL46" s="22">
        <f t="shared" si="33"/>
        <v>0</v>
      </c>
      <c r="AM46" s="23" t="str">
        <f>IF(SUMPRODUCT($J$76:AL$76,$J46:AL46)&lt;0.5, "Pending", IF(AL46&lt;0.5, "Complete", "In Progress"))</f>
        <v>Pending</v>
      </c>
      <c r="AN46" s="22">
        <v>0</v>
      </c>
      <c r="AO46" s="22">
        <f t="shared" si="34"/>
        <v>0</v>
      </c>
      <c r="AP46" s="23" t="str">
        <f>IF(SUMPRODUCT($J$76:AO$76,$J46:AO46)&lt;0.5, "Pending", IF(AO46&lt;0.5, "Complete", "In Progress"))</f>
        <v>Pending</v>
      </c>
      <c r="AQ46" s="22">
        <v>0</v>
      </c>
      <c r="AR46" s="22">
        <f t="shared" si="35"/>
        <v>0</v>
      </c>
      <c r="AS46" s="23" t="str">
        <f>IF(SUMPRODUCT($J$76:AR$76,$J46:AR46)&lt;0.5, "Pending", IF(AR46&lt;0.5, "Complete", "In Progress"))</f>
        <v>Pending</v>
      </c>
      <c r="AT46" s="22">
        <v>0</v>
      </c>
      <c r="AU46" s="22">
        <f t="shared" si="36"/>
        <v>0</v>
      </c>
      <c r="AV46" s="23" t="str">
        <f>IF(SUMPRODUCT($J$76:AU$76,$J46:AU46)&lt;0.5, "Pending", IF(AU46&lt;0.5, "Complete", "In Progress"))</f>
        <v>Pending</v>
      </c>
      <c r="AW46" s="22">
        <v>0</v>
      </c>
      <c r="AX46" s="22">
        <f t="shared" si="37"/>
        <v>0</v>
      </c>
      <c r="AY46" s="23" t="str">
        <f>IF(SUMPRODUCT($J$76:AX$76,$J46:AX46)&lt;0.5, "Pending", IF(AX46&lt;0.5, "Complete", "In Progress"))</f>
        <v>Pending</v>
      </c>
      <c r="AZ46" s="22">
        <v>0</v>
      </c>
      <c r="BA46" s="22" t="e">
        <f>MAX(#REF!-AZ46,0)</f>
        <v>#REF!</v>
      </c>
      <c r="BB46" s="23" t="e">
        <f>IF(SUMPRODUCT($J$76:BA$76,$J46:BA46)&lt;0.5, "Pending", IF(BA46&lt;0.5, "Complete", "In Progress"))</f>
        <v>#REF!</v>
      </c>
      <c r="BC46" s="22">
        <v>0</v>
      </c>
      <c r="BD46" s="22" t="e">
        <f t="shared" si="38"/>
        <v>#REF!</v>
      </c>
      <c r="BE46" s="23" t="e">
        <f>IF(SUMPRODUCT($J$76:BD$76,$J46:BD46)&lt;0.5, "Pending", IF(BD46&lt;0.5, "Complete", "In Progress"))</f>
        <v>#REF!</v>
      </c>
      <c r="BF46" s="22">
        <v>0</v>
      </c>
      <c r="BG46" s="22" t="e">
        <f t="shared" si="39"/>
        <v>#REF!</v>
      </c>
      <c r="BH46" s="23" t="e">
        <f>IF(SUMPRODUCT($J$76:BG$76,$J46:BG46)&lt;0.5, "Pending", IF(BG46&lt;0.5, "Complete", "In Progress"))</f>
        <v>#REF!</v>
      </c>
      <c r="BI46" s="22">
        <v>0</v>
      </c>
      <c r="BJ46" s="22" t="e">
        <f t="shared" si="40"/>
        <v>#REF!</v>
      </c>
      <c r="BK46" s="23" t="e">
        <f>IF(SUMPRODUCT($J$76:BJ$76,$J46:BJ46)&lt;0.5, "Pending", IF(BJ46&lt;0.5, "Complete", "In Progress"))</f>
        <v>#REF!</v>
      </c>
      <c r="BL46" s="22">
        <v>0</v>
      </c>
      <c r="BM46" s="22" t="e">
        <f t="shared" si="41"/>
        <v>#REF!</v>
      </c>
      <c r="BN46" s="23" t="e">
        <f>IF(SUMPRODUCT($J$76:BM$76,$J46:BM46)&lt;0.5, "Pending", IF(BM46&lt;0.5, "Complete", "In Progress"))</f>
        <v>#REF!</v>
      </c>
      <c r="BO46" s="22">
        <v>0</v>
      </c>
      <c r="BP46" s="22" t="e">
        <f t="shared" si="42"/>
        <v>#REF!</v>
      </c>
      <c r="BQ46" s="23" t="e">
        <f>IF(SUMPRODUCT($J$76:BP$76,$J46:BP46)&lt;0.5, "Pending", IF(BP46&lt;0.5, "Complete", "In Progress"))</f>
        <v>#REF!</v>
      </c>
      <c r="BR46" s="22">
        <v>0</v>
      </c>
      <c r="BS46" s="22" t="e">
        <f t="shared" si="43"/>
        <v>#REF!</v>
      </c>
      <c r="BT46" s="23" t="e">
        <f>IF(SUMPRODUCT($J$76:BS$76,$J46:BS46)&lt;0.5, "Pending", IF(BS46&lt;0.5, "Complete", "In Progress"))</f>
        <v>#REF!</v>
      </c>
      <c r="BU46" s="22">
        <v>0</v>
      </c>
      <c r="BV46" s="22" t="e">
        <f t="shared" si="44"/>
        <v>#REF!</v>
      </c>
      <c r="BW46" s="23" t="e">
        <f>IF(SUMPRODUCT($J$76:BV$76,$J46:BV46)&lt;0.5, "Pending", IF(BV46&lt;0.5, "Complete", "In Progress"))</f>
        <v>#REF!</v>
      </c>
      <c r="BX46" s="22">
        <v>0</v>
      </c>
      <c r="BY46" s="22" t="e">
        <f t="shared" si="45"/>
        <v>#REF!</v>
      </c>
      <c r="BZ46" s="23" t="e">
        <f>IF(SUMPRODUCT($J$76:BY$76,$J46:BY46)&lt;0.5, "Pending", IF(BY46&lt;0.5, "Complete", "In Progress"))</f>
        <v>#REF!</v>
      </c>
      <c r="CA46" s="22">
        <v>0</v>
      </c>
      <c r="CB46" s="22" t="e">
        <f t="shared" si="46"/>
        <v>#REF!</v>
      </c>
      <c r="CC46" s="23" t="e">
        <f>IF(SUMPRODUCT($J$76:CB$76,$J46:CB46)&lt;0.5, "Pending", IF(CB46&lt;0.5, "Complete", "In Progress"))</f>
        <v>#REF!</v>
      </c>
      <c r="CD46" s="24"/>
      <c r="CE46" s="25">
        <f>SUMPRODUCT($H$76:AY$76,$H46:AY46)</f>
        <v>0</v>
      </c>
    </row>
    <row r="47" spans="1:83">
      <c r="A47" s="16"/>
      <c r="B47" s="16" t="s">
        <v>123</v>
      </c>
      <c r="C47" s="16" t="s">
        <v>634</v>
      </c>
      <c r="D47" s="17" t="s">
        <v>644</v>
      </c>
      <c r="E47" s="178" t="s">
        <v>140</v>
      </c>
      <c r="F47" s="18" t="s">
        <v>116</v>
      </c>
      <c r="G47" s="19" t="str">
        <f t="shared" ca="1" si="0"/>
        <v>Pending</v>
      </c>
      <c r="H47" s="20">
        <v>1</v>
      </c>
      <c r="I47" s="21">
        <v>0</v>
      </c>
      <c r="J47" s="22">
        <v>0</v>
      </c>
      <c r="K47" s="22">
        <f t="shared" si="24"/>
        <v>0</v>
      </c>
      <c r="L47" s="23" t="str">
        <f>IF(SUMPRODUCT($J$76:K$76,$J47:K47)&lt;0.5, "Pending", IF(K47&lt;0.5, "Complete", "In Progress"))</f>
        <v>Pending</v>
      </c>
      <c r="M47" s="22">
        <v>0</v>
      </c>
      <c r="N47" s="22">
        <f t="shared" si="25"/>
        <v>0</v>
      </c>
      <c r="O47" s="23" t="str">
        <f>IF(SUMPRODUCT($J$76:N$76,$J47:N47)&lt;0.5, "Pending", IF(N47&lt;0.5, "Complete", "In Progress"))</f>
        <v>Pending</v>
      </c>
      <c r="P47" s="22">
        <v>0</v>
      </c>
      <c r="Q47" s="22">
        <f t="shared" si="26"/>
        <v>0</v>
      </c>
      <c r="R47" s="23" t="str">
        <f>IF(SUMPRODUCT($J$76:Q$76,$J47:Q47)&lt;0.5, "Pending", IF(Q47&lt;0.5, "Complete", "In Progress"))</f>
        <v>Pending</v>
      </c>
      <c r="S47" s="22">
        <v>0</v>
      </c>
      <c r="T47" s="22">
        <f t="shared" si="27"/>
        <v>0</v>
      </c>
      <c r="U47" s="23" t="str">
        <f>IF(SUMPRODUCT($J$76:T$76,$J47:T47)&lt;0.5, "Pending", IF(T47&lt;0.5, "Complete", "In Progress"))</f>
        <v>Pending</v>
      </c>
      <c r="V47" s="22">
        <v>0</v>
      </c>
      <c r="W47" s="22">
        <f t="shared" si="28"/>
        <v>0</v>
      </c>
      <c r="X47" s="23" t="str">
        <f>IF(SUMPRODUCT($J$76:W$76,$J47:W47)&lt;0.5, "Pending", IF(W47&lt;0.5, "Complete", "In Progress"))</f>
        <v>Pending</v>
      </c>
      <c r="Y47" s="22">
        <v>0</v>
      </c>
      <c r="Z47" s="22">
        <f t="shared" si="29"/>
        <v>0</v>
      </c>
      <c r="AA47" s="23" t="str">
        <f>IF(SUMPRODUCT($J$76:Z$76,$J47:Z47)&lt;0.5, "Pending", IF(Z47&lt;0.5, "Complete", "In Progress"))</f>
        <v>Pending</v>
      </c>
      <c r="AB47" s="22">
        <v>0</v>
      </c>
      <c r="AC47" s="22">
        <f t="shared" si="30"/>
        <v>0</v>
      </c>
      <c r="AD47" s="23" t="str">
        <f>IF(SUMPRODUCT($J$76:AC$76,$J47:AC47)&lt;0.5, "Pending", IF(AC47&lt;0.5, "Complete", "In Progress"))</f>
        <v>Pending</v>
      </c>
      <c r="AE47" s="22">
        <v>0</v>
      </c>
      <c r="AF47" s="22">
        <f t="shared" si="31"/>
        <v>0</v>
      </c>
      <c r="AG47" s="23" t="str">
        <f>IF(SUMPRODUCT($J$76:AF$76,$J47:AF47)&lt;0.5, "Pending", IF(AF47&lt;0.5, "Complete", "In Progress"))</f>
        <v>Pending</v>
      </c>
      <c r="AH47" s="22">
        <v>0</v>
      </c>
      <c r="AI47" s="22">
        <f t="shared" si="32"/>
        <v>0</v>
      </c>
      <c r="AJ47" s="23" t="str">
        <f>IF(SUMPRODUCT($J$76:AI$76,$J47:AI47)&lt;0.5, "Pending", IF(AI47&lt;0.5, "Complete", "In Progress"))</f>
        <v>Pending</v>
      </c>
      <c r="AK47" s="22">
        <v>0</v>
      </c>
      <c r="AL47" s="22">
        <f t="shared" si="33"/>
        <v>0</v>
      </c>
      <c r="AM47" s="23" t="str">
        <f>IF(SUMPRODUCT($J$76:AL$76,$J47:AL47)&lt;0.5, "Pending", IF(AL47&lt;0.5, "Complete", "In Progress"))</f>
        <v>Pending</v>
      </c>
      <c r="AN47" s="22">
        <v>0</v>
      </c>
      <c r="AO47" s="22">
        <f t="shared" si="34"/>
        <v>0</v>
      </c>
      <c r="AP47" s="23" t="str">
        <f>IF(SUMPRODUCT($J$76:AO$76,$J47:AO47)&lt;0.5, "Pending", IF(AO47&lt;0.5, "Complete", "In Progress"))</f>
        <v>Pending</v>
      </c>
      <c r="AQ47" s="22">
        <v>0</v>
      </c>
      <c r="AR47" s="22">
        <f t="shared" si="35"/>
        <v>0</v>
      </c>
      <c r="AS47" s="23" t="str">
        <f>IF(SUMPRODUCT($J$76:AR$76,$J47:AR47)&lt;0.5, "Pending", IF(AR47&lt;0.5, "Complete", "In Progress"))</f>
        <v>Pending</v>
      </c>
      <c r="AT47" s="22">
        <v>0</v>
      </c>
      <c r="AU47" s="22">
        <f t="shared" si="36"/>
        <v>0</v>
      </c>
      <c r="AV47" s="23" t="str">
        <f>IF(SUMPRODUCT($J$76:AU$76,$J47:AU47)&lt;0.5, "Pending", IF(AU47&lt;0.5, "Complete", "In Progress"))</f>
        <v>Pending</v>
      </c>
      <c r="AW47" s="22">
        <v>0</v>
      </c>
      <c r="AX47" s="22">
        <f t="shared" si="37"/>
        <v>0</v>
      </c>
      <c r="AY47" s="23" t="str">
        <f>IF(SUMPRODUCT($J$76:AX$76,$J47:AX47)&lt;0.5, "Pending", IF(AX47&lt;0.5, "Complete", "In Progress"))</f>
        <v>Pending</v>
      </c>
      <c r="AZ47" s="22">
        <v>0</v>
      </c>
      <c r="BA47" s="22" t="e">
        <f>MAX(#REF!-AZ47,0)</f>
        <v>#REF!</v>
      </c>
      <c r="BB47" s="23" t="e">
        <f>IF(SUMPRODUCT($J$76:BA$76,$J47:BA47)&lt;0.5, "Pending", IF(BA47&lt;0.5, "Complete", "In Progress"))</f>
        <v>#REF!</v>
      </c>
      <c r="BC47" s="22">
        <v>0</v>
      </c>
      <c r="BD47" s="22" t="e">
        <f t="shared" si="38"/>
        <v>#REF!</v>
      </c>
      <c r="BE47" s="23" t="e">
        <f>IF(SUMPRODUCT($J$76:BD$76,$J47:BD47)&lt;0.5, "Pending", IF(BD47&lt;0.5, "Complete", "In Progress"))</f>
        <v>#REF!</v>
      </c>
      <c r="BF47" s="22">
        <v>0</v>
      </c>
      <c r="BG47" s="22" t="e">
        <f t="shared" si="39"/>
        <v>#REF!</v>
      </c>
      <c r="BH47" s="23" t="e">
        <f>IF(SUMPRODUCT($J$76:BG$76,$J47:BG47)&lt;0.5, "Pending", IF(BG47&lt;0.5, "Complete", "In Progress"))</f>
        <v>#REF!</v>
      </c>
      <c r="BI47" s="22">
        <v>0</v>
      </c>
      <c r="BJ47" s="22" t="e">
        <f t="shared" si="40"/>
        <v>#REF!</v>
      </c>
      <c r="BK47" s="23" t="e">
        <f>IF(SUMPRODUCT($J$76:BJ$76,$J47:BJ47)&lt;0.5, "Pending", IF(BJ47&lt;0.5, "Complete", "In Progress"))</f>
        <v>#REF!</v>
      </c>
      <c r="BL47" s="22">
        <v>0</v>
      </c>
      <c r="BM47" s="22" t="e">
        <f t="shared" si="41"/>
        <v>#REF!</v>
      </c>
      <c r="BN47" s="23" t="e">
        <f>IF(SUMPRODUCT($J$76:BM$76,$J47:BM47)&lt;0.5, "Pending", IF(BM47&lt;0.5, "Complete", "In Progress"))</f>
        <v>#REF!</v>
      </c>
      <c r="BO47" s="22">
        <v>0</v>
      </c>
      <c r="BP47" s="22" t="e">
        <f t="shared" si="42"/>
        <v>#REF!</v>
      </c>
      <c r="BQ47" s="23" t="e">
        <f>IF(SUMPRODUCT($J$76:BP$76,$J47:BP47)&lt;0.5, "Pending", IF(BP47&lt;0.5, "Complete", "In Progress"))</f>
        <v>#REF!</v>
      </c>
      <c r="BR47" s="22">
        <v>0</v>
      </c>
      <c r="BS47" s="22" t="e">
        <f t="shared" si="43"/>
        <v>#REF!</v>
      </c>
      <c r="BT47" s="23" t="e">
        <f>IF(SUMPRODUCT($J$76:BS$76,$J47:BS47)&lt;0.5, "Pending", IF(BS47&lt;0.5, "Complete", "In Progress"))</f>
        <v>#REF!</v>
      </c>
      <c r="BU47" s="22">
        <v>0</v>
      </c>
      <c r="BV47" s="22" t="e">
        <f t="shared" si="44"/>
        <v>#REF!</v>
      </c>
      <c r="BW47" s="23" t="e">
        <f>IF(SUMPRODUCT($J$76:BV$76,$J47:BV47)&lt;0.5, "Pending", IF(BV47&lt;0.5, "Complete", "In Progress"))</f>
        <v>#REF!</v>
      </c>
      <c r="BX47" s="22">
        <v>0</v>
      </c>
      <c r="BY47" s="22" t="e">
        <f t="shared" si="45"/>
        <v>#REF!</v>
      </c>
      <c r="BZ47" s="23" t="e">
        <f>IF(SUMPRODUCT($J$76:BY$76,$J47:BY47)&lt;0.5, "Pending", IF(BY47&lt;0.5, "Complete", "In Progress"))</f>
        <v>#REF!</v>
      </c>
      <c r="CA47" s="22">
        <v>0</v>
      </c>
      <c r="CB47" s="22" t="e">
        <f t="shared" si="46"/>
        <v>#REF!</v>
      </c>
      <c r="CC47" s="23" t="e">
        <f>IF(SUMPRODUCT($J$76:CB$76,$J47:CB47)&lt;0.5, "Pending", IF(CB47&lt;0.5, "Complete", "In Progress"))</f>
        <v>#REF!</v>
      </c>
      <c r="CD47" s="24"/>
      <c r="CE47" s="25">
        <f>SUMPRODUCT($H$76:AY$76,$H47:AY47)</f>
        <v>0</v>
      </c>
    </row>
    <row r="48" spans="1:83">
      <c r="A48" s="16"/>
      <c r="B48" s="16" t="s">
        <v>123</v>
      </c>
      <c r="C48" s="16" t="s">
        <v>634</v>
      </c>
      <c r="D48" s="17" t="s">
        <v>645</v>
      </c>
      <c r="E48" s="178" t="s">
        <v>141</v>
      </c>
      <c r="F48" s="18" t="s">
        <v>115</v>
      </c>
      <c r="G48" s="19" t="str">
        <f t="shared" ca="1" si="0"/>
        <v>Pending</v>
      </c>
      <c r="H48" s="20">
        <v>1</v>
      </c>
      <c r="I48" s="21">
        <v>0</v>
      </c>
      <c r="J48" s="22">
        <v>0</v>
      </c>
      <c r="K48" s="22">
        <f t="shared" si="24"/>
        <v>0</v>
      </c>
      <c r="L48" s="23" t="str">
        <f>IF(SUMPRODUCT($J$76:K$76,$J48:K48)&lt;0.5, "Pending", IF(K48&lt;0.5, "Complete", "In Progress"))</f>
        <v>Pending</v>
      </c>
      <c r="M48" s="22">
        <v>0</v>
      </c>
      <c r="N48" s="22">
        <f t="shared" si="25"/>
        <v>0</v>
      </c>
      <c r="O48" s="23" t="str">
        <f>IF(SUMPRODUCT($J$76:N$76,$J48:N48)&lt;0.5, "Pending", IF(N48&lt;0.5, "Complete", "In Progress"))</f>
        <v>Pending</v>
      </c>
      <c r="P48" s="22">
        <v>0</v>
      </c>
      <c r="Q48" s="22">
        <f t="shared" si="26"/>
        <v>0</v>
      </c>
      <c r="R48" s="23" t="str">
        <f>IF(SUMPRODUCT($J$76:Q$76,$J48:Q48)&lt;0.5, "Pending", IF(Q48&lt;0.5, "Complete", "In Progress"))</f>
        <v>Pending</v>
      </c>
      <c r="S48" s="22">
        <v>0</v>
      </c>
      <c r="T48" s="22">
        <f t="shared" si="27"/>
        <v>0</v>
      </c>
      <c r="U48" s="23" t="str">
        <f>IF(SUMPRODUCT($J$76:T$76,$J48:T48)&lt;0.5, "Pending", IF(T48&lt;0.5, "Complete", "In Progress"))</f>
        <v>Pending</v>
      </c>
      <c r="V48" s="22">
        <v>0</v>
      </c>
      <c r="W48" s="22">
        <f t="shared" si="28"/>
        <v>0</v>
      </c>
      <c r="X48" s="23" t="str">
        <f>IF(SUMPRODUCT($J$76:W$76,$J48:W48)&lt;0.5, "Pending", IF(W48&lt;0.5, "Complete", "In Progress"))</f>
        <v>Pending</v>
      </c>
      <c r="Y48" s="22">
        <v>0</v>
      </c>
      <c r="Z48" s="22">
        <f t="shared" si="29"/>
        <v>0</v>
      </c>
      <c r="AA48" s="23" t="str">
        <f>IF(SUMPRODUCT($J$76:Z$76,$J48:Z48)&lt;0.5, "Pending", IF(Z48&lt;0.5, "Complete", "In Progress"))</f>
        <v>Pending</v>
      </c>
      <c r="AB48" s="22">
        <v>0</v>
      </c>
      <c r="AC48" s="22">
        <f t="shared" si="30"/>
        <v>0</v>
      </c>
      <c r="AD48" s="23" t="str">
        <f>IF(SUMPRODUCT($J$76:AC$76,$J48:AC48)&lt;0.5, "Pending", IF(AC48&lt;0.5, "Complete", "In Progress"))</f>
        <v>Pending</v>
      </c>
      <c r="AE48" s="22">
        <v>0</v>
      </c>
      <c r="AF48" s="22">
        <f t="shared" si="31"/>
        <v>0</v>
      </c>
      <c r="AG48" s="23" t="str">
        <f>IF(SUMPRODUCT($J$76:AF$76,$J48:AF48)&lt;0.5, "Pending", IF(AF48&lt;0.5, "Complete", "In Progress"))</f>
        <v>Pending</v>
      </c>
      <c r="AH48" s="22">
        <v>0</v>
      </c>
      <c r="AI48" s="22">
        <f t="shared" si="32"/>
        <v>0</v>
      </c>
      <c r="AJ48" s="23" t="str">
        <f>IF(SUMPRODUCT($J$76:AI$76,$J48:AI48)&lt;0.5, "Pending", IF(AI48&lt;0.5, "Complete", "In Progress"))</f>
        <v>Pending</v>
      </c>
      <c r="AK48" s="22">
        <v>0</v>
      </c>
      <c r="AL48" s="22">
        <f t="shared" si="33"/>
        <v>0</v>
      </c>
      <c r="AM48" s="23" t="str">
        <f>IF(SUMPRODUCT($J$76:AL$76,$J48:AL48)&lt;0.5, "Pending", IF(AL48&lt;0.5, "Complete", "In Progress"))</f>
        <v>Pending</v>
      </c>
      <c r="AN48" s="22">
        <v>0</v>
      </c>
      <c r="AO48" s="22">
        <f t="shared" si="34"/>
        <v>0</v>
      </c>
      <c r="AP48" s="23" t="str">
        <f>IF(SUMPRODUCT($J$76:AO$76,$J48:AO48)&lt;0.5, "Pending", IF(AO48&lt;0.5, "Complete", "In Progress"))</f>
        <v>Pending</v>
      </c>
      <c r="AQ48" s="22">
        <v>0</v>
      </c>
      <c r="AR48" s="22">
        <f t="shared" si="35"/>
        <v>0</v>
      </c>
      <c r="AS48" s="23" t="str">
        <f>IF(SUMPRODUCT($J$76:AR$76,$J48:AR48)&lt;0.5, "Pending", IF(AR48&lt;0.5, "Complete", "In Progress"))</f>
        <v>Pending</v>
      </c>
      <c r="AT48" s="22">
        <v>0</v>
      </c>
      <c r="AU48" s="22">
        <f t="shared" si="36"/>
        <v>0</v>
      </c>
      <c r="AV48" s="23" t="str">
        <f>IF(SUMPRODUCT($J$76:AU$76,$J48:AU48)&lt;0.5, "Pending", IF(AU48&lt;0.5, "Complete", "In Progress"))</f>
        <v>Pending</v>
      </c>
      <c r="AW48" s="22">
        <v>0</v>
      </c>
      <c r="AX48" s="22">
        <f t="shared" si="37"/>
        <v>0</v>
      </c>
      <c r="AY48" s="23" t="str">
        <f>IF(SUMPRODUCT($J$76:AX$76,$J48:AX48)&lt;0.5, "Pending", IF(AX48&lt;0.5, "Complete", "In Progress"))</f>
        <v>Pending</v>
      </c>
      <c r="AZ48" s="22">
        <v>0</v>
      </c>
      <c r="BA48" s="22" t="e">
        <f>MAX(#REF!-AZ48,0)</f>
        <v>#REF!</v>
      </c>
      <c r="BB48" s="23" t="e">
        <f>IF(SUMPRODUCT($J$76:BA$76,$J48:BA48)&lt;0.5, "Pending", IF(BA48&lt;0.5, "Complete", "In Progress"))</f>
        <v>#REF!</v>
      </c>
      <c r="BC48" s="22">
        <v>0</v>
      </c>
      <c r="BD48" s="22" t="e">
        <f t="shared" si="38"/>
        <v>#REF!</v>
      </c>
      <c r="BE48" s="23" t="e">
        <f>IF(SUMPRODUCT($J$76:BD$76,$J48:BD48)&lt;0.5, "Pending", IF(BD48&lt;0.5, "Complete", "In Progress"))</f>
        <v>#REF!</v>
      </c>
      <c r="BF48" s="22">
        <v>0</v>
      </c>
      <c r="BG48" s="22" t="e">
        <f t="shared" si="39"/>
        <v>#REF!</v>
      </c>
      <c r="BH48" s="23" t="e">
        <f>IF(SUMPRODUCT($J$76:BG$76,$J48:BG48)&lt;0.5, "Pending", IF(BG48&lt;0.5, "Complete", "In Progress"))</f>
        <v>#REF!</v>
      </c>
      <c r="BI48" s="22">
        <v>0</v>
      </c>
      <c r="BJ48" s="22" t="e">
        <f t="shared" si="40"/>
        <v>#REF!</v>
      </c>
      <c r="BK48" s="23" t="e">
        <f>IF(SUMPRODUCT($J$76:BJ$76,$J48:BJ48)&lt;0.5, "Pending", IF(BJ48&lt;0.5, "Complete", "In Progress"))</f>
        <v>#REF!</v>
      </c>
      <c r="BL48" s="22">
        <v>0</v>
      </c>
      <c r="BM48" s="22" t="e">
        <f t="shared" si="41"/>
        <v>#REF!</v>
      </c>
      <c r="BN48" s="23" t="e">
        <f>IF(SUMPRODUCT($J$76:BM$76,$J48:BM48)&lt;0.5, "Pending", IF(BM48&lt;0.5, "Complete", "In Progress"))</f>
        <v>#REF!</v>
      </c>
      <c r="BO48" s="22">
        <v>0</v>
      </c>
      <c r="BP48" s="22" t="e">
        <f t="shared" si="42"/>
        <v>#REF!</v>
      </c>
      <c r="BQ48" s="23" t="e">
        <f>IF(SUMPRODUCT($J$76:BP$76,$J48:BP48)&lt;0.5, "Pending", IF(BP48&lt;0.5, "Complete", "In Progress"))</f>
        <v>#REF!</v>
      </c>
      <c r="BR48" s="22">
        <v>0</v>
      </c>
      <c r="BS48" s="22" t="e">
        <f t="shared" si="43"/>
        <v>#REF!</v>
      </c>
      <c r="BT48" s="23" t="e">
        <f>IF(SUMPRODUCT($J$76:BS$76,$J48:BS48)&lt;0.5, "Pending", IF(BS48&lt;0.5, "Complete", "In Progress"))</f>
        <v>#REF!</v>
      </c>
      <c r="BU48" s="22">
        <v>0</v>
      </c>
      <c r="BV48" s="22" t="e">
        <f t="shared" si="44"/>
        <v>#REF!</v>
      </c>
      <c r="BW48" s="23" t="e">
        <f>IF(SUMPRODUCT($J$76:BV$76,$J48:BV48)&lt;0.5, "Pending", IF(BV48&lt;0.5, "Complete", "In Progress"))</f>
        <v>#REF!</v>
      </c>
      <c r="BX48" s="22">
        <v>0</v>
      </c>
      <c r="BY48" s="22" t="e">
        <f t="shared" si="45"/>
        <v>#REF!</v>
      </c>
      <c r="BZ48" s="23" t="e">
        <f>IF(SUMPRODUCT($J$76:BY$76,$J48:BY48)&lt;0.5, "Pending", IF(BY48&lt;0.5, "Complete", "In Progress"))</f>
        <v>#REF!</v>
      </c>
      <c r="CA48" s="22">
        <v>0</v>
      </c>
      <c r="CB48" s="22" t="e">
        <f t="shared" si="46"/>
        <v>#REF!</v>
      </c>
      <c r="CC48" s="23" t="e">
        <f>IF(SUMPRODUCT($J$76:CB$76,$J48:CB48)&lt;0.5, "Pending", IF(CB48&lt;0.5, "Complete", "In Progress"))</f>
        <v>#REF!</v>
      </c>
      <c r="CD48" s="24"/>
      <c r="CE48" s="25">
        <f>SUMPRODUCT($H$76:AY$76,$H48:AY48)</f>
        <v>0</v>
      </c>
    </row>
    <row r="49" spans="1:83">
      <c r="A49" s="16"/>
      <c r="B49" s="16" t="s">
        <v>123</v>
      </c>
      <c r="C49" s="16" t="s">
        <v>634</v>
      </c>
      <c r="D49" s="17" t="s">
        <v>646</v>
      </c>
      <c r="E49" s="178" t="s">
        <v>142</v>
      </c>
      <c r="F49" s="18" t="s">
        <v>116</v>
      </c>
      <c r="G49" s="19" t="str">
        <f t="shared" ca="1" si="0"/>
        <v>Pending</v>
      </c>
      <c r="H49" s="20">
        <v>1</v>
      </c>
      <c r="I49" s="21">
        <v>0</v>
      </c>
      <c r="J49" s="22">
        <v>0</v>
      </c>
      <c r="K49" s="22">
        <f t="shared" si="24"/>
        <v>0</v>
      </c>
      <c r="L49" s="23" t="str">
        <f>IF(SUMPRODUCT($J$76:K$76,$J49:K49)&lt;0.5, "Pending", IF(K49&lt;0.5, "Complete", "In Progress"))</f>
        <v>Pending</v>
      </c>
      <c r="M49" s="22">
        <v>0</v>
      </c>
      <c r="N49" s="22">
        <f t="shared" si="25"/>
        <v>0</v>
      </c>
      <c r="O49" s="23" t="str">
        <f>IF(SUMPRODUCT($J$76:N$76,$J49:N49)&lt;0.5, "Pending", IF(N49&lt;0.5, "Complete", "In Progress"))</f>
        <v>Pending</v>
      </c>
      <c r="P49" s="22">
        <v>0</v>
      </c>
      <c r="Q49" s="22">
        <f t="shared" si="26"/>
        <v>0</v>
      </c>
      <c r="R49" s="23" t="str">
        <f>IF(SUMPRODUCT($J$76:Q$76,$J49:Q49)&lt;0.5, "Pending", IF(Q49&lt;0.5, "Complete", "In Progress"))</f>
        <v>Pending</v>
      </c>
      <c r="S49" s="22">
        <v>0</v>
      </c>
      <c r="T49" s="22">
        <f t="shared" si="27"/>
        <v>0</v>
      </c>
      <c r="U49" s="23" t="str">
        <f>IF(SUMPRODUCT($J$76:T$76,$J49:T49)&lt;0.5, "Pending", IF(T49&lt;0.5, "Complete", "In Progress"))</f>
        <v>Pending</v>
      </c>
      <c r="V49" s="22">
        <v>0</v>
      </c>
      <c r="W49" s="22">
        <f t="shared" si="28"/>
        <v>0</v>
      </c>
      <c r="X49" s="23" t="str">
        <f>IF(SUMPRODUCT($J$76:W$76,$J49:W49)&lt;0.5, "Pending", IF(W49&lt;0.5, "Complete", "In Progress"))</f>
        <v>Pending</v>
      </c>
      <c r="Y49" s="22">
        <v>0</v>
      </c>
      <c r="Z49" s="22">
        <f t="shared" si="29"/>
        <v>0</v>
      </c>
      <c r="AA49" s="23" t="str">
        <f>IF(SUMPRODUCT($J$76:Z$76,$J49:Z49)&lt;0.5, "Pending", IF(Z49&lt;0.5, "Complete", "In Progress"))</f>
        <v>Pending</v>
      </c>
      <c r="AB49" s="22">
        <v>0</v>
      </c>
      <c r="AC49" s="22">
        <f t="shared" si="30"/>
        <v>0</v>
      </c>
      <c r="AD49" s="23" t="str">
        <f>IF(SUMPRODUCT($J$76:AC$76,$J49:AC49)&lt;0.5, "Pending", IF(AC49&lt;0.5, "Complete", "In Progress"))</f>
        <v>Pending</v>
      </c>
      <c r="AE49" s="22">
        <v>0</v>
      </c>
      <c r="AF49" s="22">
        <f t="shared" si="31"/>
        <v>0</v>
      </c>
      <c r="AG49" s="23" t="str">
        <f>IF(SUMPRODUCT($J$76:AF$76,$J49:AF49)&lt;0.5, "Pending", IF(AF49&lt;0.5, "Complete", "In Progress"))</f>
        <v>Pending</v>
      </c>
      <c r="AH49" s="22">
        <v>0</v>
      </c>
      <c r="AI49" s="22">
        <f t="shared" si="32"/>
        <v>0</v>
      </c>
      <c r="AJ49" s="23" t="str">
        <f>IF(SUMPRODUCT($J$76:AI$76,$J49:AI49)&lt;0.5, "Pending", IF(AI49&lt;0.5, "Complete", "In Progress"))</f>
        <v>Pending</v>
      </c>
      <c r="AK49" s="22">
        <v>0</v>
      </c>
      <c r="AL49" s="22">
        <f t="shared" si="33"/>
        <v>0</v>
      </c>
      <c r="AM49" s="23" t="str">
        <f>IF(SUMPRODUCT($J$76:AL$76,$J49:AL49)&lt;0.5, "Pending", IF(AL49&lt;0.5, "Complete", "In Progress"))</f>
        <v>Pending</v>
      </c>
      <c r="AN49" s="22">
        <v>0</v>
      </c>
      <c r="AO49" s="22">
        <f t="shared" si="34"/>
        <v>0</v>
      </c>
      <c r="AP49" s="23" t="str">
        <f>IF(SUMPRODUCT($J$76:AO$76,$J49:AO49)&lt;0.5, "Pending", IF(AO49&lt;0.5, "Complete", "In Progress"))</f>
        <v>Pending</v>
      </c>
      <c r="AQ49" s="22">
        <v>0</v>
      </c>
      <c r="AR49" s="22">
        <f t="shared" si="35"/>
        <v>0</v>
      </c>
      <c r="AS49" s="23" t="str">
        <f>IF(SUMPRODUCT($J$76:AR$76,$J49:AR49)&lt;0.5, "Pending", IF(AR49&lt;0.5, "Complete", "In Progress"))</f>
        <v>Pending</v>
      </c>
      <c r="AT49" s="22">
        <v>0</v>
      </c>
      <c r="AU49" s="22">
        <f t="shared" si="36"/>
        <v>0</v>
      </c>
      <c r="AV49" s="23" t="str">
        <f>IF(SUMPRODUCT($J$76:AU$76,$J49:AU49)&lt;0.5, "Pending", IF(AU49&lt;0.5, "Complete", "In Progress"))</f>
        <v>Pending</v>
      </c>
      <c r="AW49" s="22">
        <v>0</v>
      </c>
      <c r="AX49" s="22">
        <f t="shared" si="37"/>
        <v>0</v>
      </c>
      <c r="AY49" s="23" t="str">
        <f>IF(SUMPRODUCT($J$76:AX$76,$J49:AX49)&lt;0.5, "Pending", IF(AX49&lt;0.5, "Complete", "In Progress"))</f>
        <v>Pending</v>
      </c>
      <c r="AZ49" s="22">
        <v>0</v>
      </c>
      <c r="BA49" s="22" t="e">
        <f>MAX(#REF!-AZ49,0)</f>
        <v>#REF!</v>
      </c>
      <c r="BB49" s="23" t="e">
        <f>IF(SUMPRODUCT($J$76:BA$76,$J49:BA49)&lt;0.5, "Pending", IF(BA49&lt;0.5, "Complete", "In Progress"))</f>
        <v>#REF!</v>
      </c>
      <c r="BC49" s="22">
        <v>0</v>
      </c>
      <c r="BD49" s="22" t="e">
        <f t="shared" si="38"/>
        <v>#REF!</v>
      </c>
      <c r="BE49" s="23" t="e">
        <f>IF(SUMPRODUCT($J$76:BD$76,$J49:BD49)&lt;0.5, "Pending", IF(BD49&lt;0.5, "Complete", "In Progress"))</f>
        <v>#REF!</v>
      </c>
      <c r="BF49" s="22">
        <v>0</v>
      </c>
      <c r="BG49" s="22" t="e">
        <f t="shared" si="39"/>
        <v>#REF!</v>
      </c>
      <c r="BH49" s="23" t="e">
        <f>IF(SUMPRODUCT($J$76:BG$76,$J49:BG49)&lt;0.5, "Pending", IF(BG49&lt;0.5, "Complete", "In Progress"))</f>
        <v>#REF!</v>
      </c>
      <c r="BI49" s="22">
        <v>0</v>
      </c>
      <c r="BJ49" s="22" t="e">
        <f t="shared" si="40"/>
        <v>#REF!</v>
      </c>
      <c r="BK49" s="23" t="e">
        <f>IF(SUMPRODUCT($J$76:BJ$76,$J49:BJ49)&lt;0.5, "Pending", IF(BJ49&lt;0.5, "Complete", "In Progress"))</f>
        <v>#REF!</v>
      </c>
      <c r="BL49" s="22">
        <v>0</v>
      </c>
      <c r="BM49" s="22" t="e">
        <f t="shared" si="41"/>
        <v>#REF!</v>
      </c>
      <c r="BN49" s="23" t="e">
        <f>IF(SUMPRODUCT($J$76:BM$76,$J49:BM49)&lt;0.5, "Pending", IF(BM49&lt;0.5, "Complete", "In Progress"))</f>
        <v>#REF!</v>
      </c>
      <c r="BO49" s="22">
        <v>0</v>
      </c>
      <c r="BP49" s="22" t="e">
        <f t="shared" si="42"/>
        <v>#REF!</v>
      </c>
      <c r="BQ49" s="23" t="e">
        <f>IF(SUMPRODUCT($J$76:BP$76,$J49:BP49)&lt;0.5, "Pending", IF(BP49&lt;0.5, "Complete", "In Progress"))</f>
        <v>#REF!</v>
      </c>
      <c r="BR49" s="22">
        <v>0</v>
      </c>
      <c r="BS49" s="22" t="e">
        <f t="shared" si="43"/>
        <v>#REF!</v>
      </c>
      <c r="BT49" s="23" t="e">
        <f>IF(SUMPRODUCT($J$76:BS$76,$J49:BS49)&lt;0.5, "Pending", IF(BS49&lt;0.5, "Complete", "In Progress"))</f>
        <v>#REF!</v>
      </c>
      <c r="BU49" s="22">
        <v>0</v>
      </c>
      <c r="BV49" s="22" t="e">
        <f t="shared" si="44"/>
        <v>#REF!</v>
      </c>
      <c r="BW49" s="23" t="e">
        <f>IF(SUMPRODUCT($J$76:BV$76,$J49:BV49)&lt;0.5, "Pending", IF(BV49&lt;0.5, "Complete", "In Progress"))</f>
        <v>#REF!</v>
      </c>
      <c r="BX49" s="22">
        <v>0</v>
      </c>
      <c r="BY49" s="22" t="e">
        <f t="shared" si="45"/>
        <v>#REF!</v>
      </c>
      <c r="BZ49" s="23" t="e">
        <f>IF(SUMPRODUCT($J$76:BY$76,$J49:BY49)&lt;0.5, "Pending", IF(BY49&lt;0.5, "Complete", "In Progress"))</f>
        <v>#REF!</v>
      </c>
      <c r="CA49" s="22">
        <v>0</v>
      </c>
      <c r="CB49" s="22" t="e">
        <f t="shared" si="46"/>
        <v>#REF!</v>
      </c>
      <c r="CC49" s="23" t="e">
        <f>IF(SUMPRODUCT($J$76:CB$76,$J49:CB49)&lt;0.5, "Pending", IF(CB49&lt;0.5, "Complete", "In Progress"))</f>
        <v>#REF!</v>
      </c>
      <c r="CD49" s="24"/>
      <c r="CE49" s="25">
        <f>SUMPRODUCT($H$76:AY$76,$H49:AY49)</f>
        <v>0</v>
      </c>
    </row>
    <row r="50" spans="1:83">
      <c r="A50" s="16"/>
      <c r="B50" s="16"/>
      <c r="C50" s="16"/>
      <c r="D50" s="17"/>
      <c r="E50" s="178"/>
      <c r="F50" s="18" t="s">
        <v>114</v>
      </c>
      <c r="G50" s="19" t="str">
        <f t="shared" ca="1" si="0"/>
        <v>Pending</v>
      </c>
      <c r="H50" s="20">
        <v>1</v>
      </c>
      <c r="I50" s="21">
        <v>0</v>
      </c>
      <c r="J50" s="22">
        <v>0</v>
      </c>
      <c r="K50" s="22">
        <f t="shared" si="24"/>
        <v>0</v>
      </c>
      <c r="L50" s="23" t="str">
        <f>IF(SUMPRODUCT($J$76:K$76,$J50:K50)&lt;0.5, "Pending", IF(K50&lt;0.5, "Complete", "In Progress"))</f>
        <v>Pending</v>
      </c>
      <c r="M50" s="22">
        <v>0</v>
      </c>
      <c r="N50" s="22">
        <f t="shared" si="25"/>
        <v>0</v>
      </c>
      <c r="O50" s="23" t="str">
        <f>IF(SUMPRODUCT($J$76:N$76,$J50:N50)&lt;0.5, "Pending", IF(N50&lt;0.5, "Complete", "In Progress"))</f>
        <v>Pending</v>
      </c>
      <c r="P50" s="22">
        <v>0</v>
      </c>
      <c r="Q50" s="22">
        <f t="shared" si="26"/>
        <v>0</v>
      </c>
      <c r="R50" s="23" t="str">
        <f>IF(SUMPRODUCT($J$76:Q$76,$J50:Q50)&lt;0.5, "Pending", IF(Q50&lt;0.5, "Complete", "In Progress"))</f>
        <v>Pending</v>
      </c>
      <c r="S50" s="22">
        <v>0</v>
      </c>
      <c r="T50" s="22">
        <f t="shared" si="27"/>
        <v>0</v>
      </c>
      <c r="U50" s="23" t="str">
        <f>IF(SUMPRODUCT($J$76:T$76,$J50:T50)&lt;0.5, "Pending", IF(T50&lt;0.5, "Complete", "In Progress"))</f>
        <v>Pending</v>
      </c>
      <c r="V50" s="22">
        <v>0</v>
      </c>
      <c r="W50" s="22">
        <f t="shared" si="28"/>
        <v>0</v>
      </c>
      <c r="X50" s="23" t="str">
        <f>IF(SUMPRODUCT($J$76:W$76,$J50:W50)&lt;0.5, "Pending", IF(W50&lt;0.5, "Complete", "In Progress"))</f>
        <v>Pending</v>
      </c>
      <c r="Y50" s="22">
        <v>0</v>
      </c>
      <c r="Z50" s="22">
        <f t="shared" si="29"/>
        <v>0</v>
      </c>
      <c r="AA50" s="23" t="str">
        <f>IF(SUMPRODUCT($J$76:Z$76,$J50:Z50)&lt;0.5, "Pending", IF(Z50&lt;0.5, "Complete", "In Progress"))</f>
        <v>Pending</v>
      </c>
      <c r="AB50" s="22">
        <v>0</v>
      </c>
      <c r="AC50" s="22">
        <f t="shared" si="30"/>
        <v>0</v>
      </c>
      <c r="AD50" s="23" t="str">
        <f>IF(SUMPRODUCT($J$76:AC$76,$J50:AC50)&lt;0.5, "Pending", IF(AC50&lt;0.5, "Complete", "In Progress"))</f>
        <v>Pending</v>
      </c>
      <c r="AE50" s="22">
        <v>0</v>
      </c>
      <c r="AF50" s="22">
        <f t="shared" si="31"/>
        <v>0</v>
      </c>
      <c r="AG50" s="23" t="str">
        <f>IF(SUMPRODUCT($J$76:AF$76,$J50:AF50)&lt;0.5, "Pending", IF(AF50&lt;0.5, "Complete", "In Progress"))</f>
        <v>Pending</v>
      </c>
      <c r="AH50" s="22">
        <v>0</v>
      </c>
      <c r="AI50" s="22">
        <f t="shared" si="32"/>
        <v>0</v>
      </c>
      <c r="AJ50" s="23" t="str">
        <f>IF(SUMPRODUCT($J$76:AI$76,$J50:AI50)&lt;0.5, "Pending", IF(AI50&lt;0.5, "Complete", "In Progress"))</f>
        <v>Pending</v>
      </c>
      <c r="AK50" s="22">
        <v>0</v>
      </c>
      <c r="AL50" s="22">
        <f t="shared" si="33"/>
        <v>0</v>
      </c>
      <c r="AM50" s="23" t="str">
        <f>IF(SUMPRODUCT($J$76:AL$76,$J50:AL50)&lt;0.5, "Pending", IF(AL50&lt;0.5, "Complete", "In Progress"))</f>
        <v>Pending</v>
      </c>
      <c r="AN50" s="22">
        <v>0</v>
      </c>
      <c r="AO50" s="22">
        <f t="shared" si="34"/>
        <v>0</v>
      </c>
      <c r="AP50" s="23" t="str">
        <f>IF(SUMPRODUCT($J$76:AO$76,$J50:AO50)&lt;0.5, "Pending", IF(AO50&lt;0.5, "Complete", "In Progress"))</f>
        <v>Pending</v>
      </c>
      <c r="AQ50" s="22">
        <v>0</v>
      </c>
      <c r="AR50" s="22">
        <f t="shared" si="35"/>
        <v>0</v>
      </c>
      <c r="AS50" s="23" t="str">
        <f>IF(SUMPRODUCT($J$76:AR$76,$J50:AR50)&lt;0.5, "Pending", IF(AR50&lt;0.5, "Complete", "In Progress"))</f>
        <v>Pending</v>
      </c>
      <c r="AT50" s="22">
        <v>0</v>
      </c>
      <c r="AU50" s="22">
        <f t="shared" si="36"/>
        <v>0</v>
      </c>
      <c r="AV50" s="23" t="str">
        <f>IF(SUMPRODUCT($J$76:AU$76,$J50:AU50)&lt;0.5, "Pending", IF(AU50&lt;0.5, "Complete", "In Progress"))</f>
        <v>Pending</v>
      </c>
      <c r="AW50" s="22">
        <v>0</v>
      </c>
      <c r="AX50" s="22">
        <f t="shared" si="37"/>
        <v>0</v>
      </c>
      <c r="AY50" s="23" t="str">
        <f>IF(SUMPRODUCT($J$76:AX$76,$J50:AX50)&lt;0.5, "Pending", IF(AX50&lt;0.5, "Complete", "In Progress"))</f>
        <v>Pending</v>
      </c>
      <c r="AZ50" s="22">
        <v>0</v>
      </c>
      <c r="BA50" s="22" t="e">
        <f>MAX(#REF!-AZ50,0)</f>
        <v>#REF!</v>
      </c>
      <c r="BB50" s="23" t="e">
        <f>IF(SUMPRODUCT($J$76:BA$76,$J50:BA50)&lt;0.5, "Pending", IF(BA50&lt;0.5, "Complete", "In Progress"))</f>
        <v>#REF!</v>
      </c>
      <c r="BC50" s="22">
        <v>0</v>
      </c>
      <c r="BD50" s="22" t="e">
        <f t="shared" si="38"/>
        <v>#REF!</v>
      </c>
      <c r="BE50" s="23" t="e">
        <f>IF(SUMPRODUCT($J$76:BD$76,$J50:BD50)&lt;0.5, "Pending", IF(BD50&lt;0.5, "Complete", "In Progress"))</f>
        <v>#REF!</v>
      </c>
      <c r="BF50" s="22">
        <v>0</v>
      </c>
      <c r="BG50" s="22" t="e">
        <f t="shared" si="39"/>
        <v>#REF!</v>
      </c>
      <c r="BH50" s="23" t="e">
        <f>IF(SUMPRODUCT($J$76:BG$76,$J50:BG50)&lt;0.5, "Pending", IF(BG50&lt;0.5, "Complete", "In Progress"))</f>
        <v>#REF!</v>
      </c>
      <c r="BI50" s="22">
        <v>0</v>
      </c>
      <c r="BJ50" s="22" t="e">
        <f t="shared" si="40"/>
        <v>#REF!</v>
      </c>
      <c r="BK50" s="23" t="e">
        <f>IF(SUMPRODUCT($J$76:BJ$76,$J50:BJ50)&lt;0.5, "Pending", IF(BJ50&lt;0.5, "Complete", "In Progress"))</f>
        <v>#REF!</v>
      </c>
      <c r="BL50" s="22">
        <v>0</v>
      </c>
      <c r="BM50" s="22" t="e">
        <f t="shared" si="41"/>
        <v>#REF!</v>
      </c>
      <c r="BN50" s="23" t="e">
        <f>IF(SUMPRODUCT($J$76:BM$76,$J50:BM50)&lt;0.5, "Pending", IF(BM50&lt;0.5, "Complete", "In Progress"))</f>
        <v>#REF!</v>
      </c>
      <c r="BO50" s="22">
        <v>0</v>
      </c>
      <c r="BP50" s="22" t="e">
        <f t="shared" si="42"/>
        <v>#REF!</v>
      </c>
      <c r="BQ50" s="23" t="e">
        <f>IF(SUMPRODUCT($J$76:BP$76,$J50:BP50)&lt;0.5, "Pending", IF(BP50&lt;0.5, "Complete", "In Progress"))</f>
        <v>#REF!</v>
      </c>
      <c r="BR50" s="22">
        <v>0</v>
      </c>
      <c r="BS50" s="22" t="e">
        <f t="shared" si="43"/>
        <v>#REF!</v>
      </c>
      <c r="BT50" s="23" t="e">
        <f>IF(SUMPRODUCT($J$76:BS$76,$J50:BS50)&lt;0.5, "Pending", IF(BS50&lt;0.5, "Complete", "In Progress"))</f>
        <v>#REF!</v>
      </c>
      <c r="BU50" s="22">
        <v>0</v>
      </c>
      <c r="BV50" s="22" t="e">
        <f t="shared" si="44"/>
        <v>#REF!</v>
      </c>
      <c r="BW50" s="23" t="e">
        <f>IF(SUMPRODUCT($J$76:BV$76,$J50:BV50)&lt;0.5, "Pending", IF(BV50&lt;0.5, "Complete", "In Progress"))</f>
        <v>#REF!</v>
      </c>
      <c r="BX50" s="22">
        <v>0</v>
      </c>
      <c r="BY50" s="22" t="e">
        <f t="shared" si="45"/>
        <v>#REF!</v>
      </c>
      <c r="BZ50" s="23" t="e">
        <f>IF(SUMPRODUCT($J$76:BY$76,$J50:BY50)&lt;0.5, "Pending", IF(BY50&lt;0.5, "Complete", "In Progress"))</f>
        <v>#REF!</v>
      </c>
      <c r="CA50" s="22">
        <v>0</v>
      </c>
      <c r="CB50" s="22" t="e">
        <f t="shared" si="46"/>
        <v>#REF!</v>
      </c>
      <c r="CC50" s="23" t="e">
        <f>IF(SUMPRODUCT($J$76:CB$76,$J50:CB50)&lt;0.5, "Pending", IF(CB50&lt;0.5, "Complete", "In Progress"))</f>
        <v>#REF!</v>
      </c>
      <c r="CD50" s="24"/>
      <c r="CE50" s="25">
        <f>SUMPRODUCT($H$76:AY$76,$H50:AY50)</f>
        <v>0</v>
      </c>
    </row>
    <row r="51" spans="1:83">
      <c r="A51" s="16"/>
      <c r="B51" s="16"/>
      <c r="C51" s="16"/>
      <c r="D51" s="17"/>
      <c r="E51" s="178"/>
      <c r="F51" s="18" t="s">
        <v>114</v>
      </c>
      <c r="G51" s="19" t="str">
        <f t="shared" ca="1" si="0"/>
        <v>Pending</v>
      </c>
      <c r="H51" s="20">
        <v>1</v>
      </c>
      <c r="I51" s="21">
        <v>0</v>
      </c>
      <c r="J51" s="22">
        <v>0</v>
      </c>
      <c r="K51" s="22">
        <f t="shared" si="24"/>
        <v>0</v>
      </c>
      <c r="L51" s="23" t="str">
        <f>IF(SUMPRODUCT($J$76:K$76,$J51:K51)&lt;0.5, "Pending", IF(K51&lt;0.5, "Complete", "In Progress"))</f>
        <v>Pending</v>
      </c>
      <c r="M51" s="22">
        <v>0</v>
      </c>
      <c r="N51" s="22">
        <f t="shared" si="25"/>
        <v>0</v>
      </c>
      <c r="O51" s="23" t="str">
        <f>IF(SUMPRODUCT($J$76:N$76,$J51:N51)&lt;0.5, "Pending", IF(N51&lt;0.5, "Complete", "In Progress"))</f>
        <v>Pending</v>
      </c>
      <c r="P51" s="22">
        <v>0</v>
      </c>
      <c r="Q51" s="22">
        <f t="shared" si="26"/>
        <v>0</v>
      </c>
      <c r="R51" s="23" t="str">
        <f>IF(SUMPRODUCT($J$76:Q$76,$J51:Q51)&lt;0.5, "Pending", IF(Q51&lt;0.5, "Complete", "In Progress"))</f>
        <v>Pending</v>
      </c>
      <c r="S51" s="22">
        <v>0</v>
      </c>
      <c r="T51" s="22">
        <f t="shared" si="27"/>
        <v>0</v>
      </c>
      <c r="U51" s="23" t="str">
        <f>IF(SUMPRODUCT($J$76:T$76,$J51:T51)&lt;0.5, "Pending", IF(T51&lt;0.5, "Complete", "In Progress"))</f>
        <v>Pending</v>
      </c>
      <c r="V51" s="22">
        <v>0</v>
      </c>
      <c r="W51" s="22">
        <f t="shared" si="28"/>
        <v>0</v>
      </c>
      <c r="X51" s="23" t="str">
        <f>IF(SUMPRODUCT($J$76:W$76,$J51:W51)&lt;0.5, "Pending", IF(W51&lt;0.5, "Complete", "In Progress"))</f>
        <v>Pending</v>
      </c>
      <c r="Y51" s="22">
        <v>0</v>
      </c>
      <c r="Z51" s="22">
        <f t="shared" si="29"/>
        <v>0</v>
      </c>
      <c r="AA51" s="23" t="str">
        <f>IF(SUMPRODUCT($J$76:Z$76,$J51:Z51)&lt;0.5, "Pending", IF(Z51&lt;0.5, "Complete", "In Progress"))</f>
        <v>Pending</v>
      </c>
      <c r="AB51" s="22">
        <v>0</v>
      </c>
      <c r="AC51" s="22">
        <f t="shared" si="30"/>
        <v>0</v>
      </c>
      <c r="AD51" s="23" t="str">
        <f>IF(SUMPRODUCT($J$76:AC$76,$J51:AC51)&lt;0.5, "Pending", IF(AC51&lt;0.5, "Complete", "In Progress"))</f>
        <v>Pending</v>
      </c>
      <c r="AE51" s="22">
        <v>0</v>
      </c>
      <c r="AF51" s="22">
        <f t="shared" si="31"/>
        <v>0</v>
      </c>
      <c r="AG51" s="23" t="str">
        <f>IF(SUMPRODUCT($J$76:AF$76,$J51:AF51)&lt;0.5, "Pending", IF(AF51&lt;0.5, "Complete", "In Progress"))</f>
        <v>Pending</v>
      </c>
      <c r="AH51" s="22">
        <v>0</v>
      </c>
      <c r="AI51" s="22">
        <f t="shared" si="32"/>
        <v>0</v>
      </c>
      <c r="AJ51" s="23" t="str">
        <f>IF(SUMPRODUCT($J$76:AI$76,$J51:AI51)&lt;0.5, "Pending", IF(AI51&lt;0.5, "Complete", "In Progress"))</f>
        <v>Pending</v>
      </c>
      <c r="AK51" s="22">
        <v>0</v>
      </c>
      <c r="AL51" s="22">
        <f t="shared" si="33"/>
        <v>0</v>
      </c>
      <c r="AM51" s="23" t="str">
        <f>IF(SUMPRODUCT($J$76:AL$76,$J51:AL51)&lt;0.5, "Pending", IF(AL51&lt;0.5, "Complete", "In Progress"))</f>
        <v>Pending</v>
      </c>
      <c r="AN51" s="22">
        <v>0</v>
      </c>
      <c r="AO51" s="22">
        <f t="shared" si="34"/>
        <v>0</v>
      </c>
      <c r="AP51" s="23" t="str">
        <f>IF(SUMPRODUCT($J$76:AO$76,$J51:AO51)&lt;0.5, "Pending", IF(AO51&lt;0.5, "Complete", "In Progress"))</f>
        <v>Pending</v>
      </c>
      <c r="AQ51" s="22">
        <v>0</v>
      </c>
      <c r="AR51" s="22">
        <f t="shared" si="35"/>
        <v>0</v>
      </c>
      <c r="AS51" s="23" t="str">
        <f>IF(SUMPRODUCT($J$76:AR$76,$J51:AR51)&lt;0.5, "Pending", IF(AR51&lt;0.5, "Complete", "In Progress"))</f>
        <v>Pending</v>
      </c>
      <c r="AT51" s="22">
        <v>0</v>
      </c>
      <c r="AU51" s="22">
        <f t="shared" si="36"/>
        <v>0</v>
      </c>
      <c r="AV51" s="23" t="str">
        <f>IF(SUMPRODUCT($J$76:AU$76,$J51:AU51)&lt;0.5, "Pending", IF(AU51&lt;0.5, "Complete", "In Progress"))</f>
        <v>Pending</v>
      </c>
      <c r="AW51" s="22">
        <v>0</v>
      </c>
      <c r="AX51" s="22">
        <f t="shared" si="37"/>
        <v>0</v>
      </c>
      <c r="AY51" s="23" t="str">
        <f>IF(SUMPRODUCT($J$76:AX$76,$J51:AX51)&lt;0.5, "Pending", IF(AX51&lt;0.5, "Complete", "In Progress"))</f>
        <v>Pending</v>
      </c>
      <c r="AZ51" s="22">
        <v>0</v>
      </c>
      <c r="BA51" s="22" t="e">
        <f>MAX(#REF!-AZ51,0)</f>
        <v>#REF!</v>
      </c>
      <c r="BB51" s="23" t="e">
        <f>IF(SUMPRODUCT($J$76:BA$76,$J51:BA51)&lt;0.5, "Pending", IF(BA51&lt;0.5, "Complete", "In Progress"))</f>
        <v>#REF!</v>
      </c>
      <c r="BC51" s="22">
        <v>0</v>
      </c>
      <c r="BD51" s="22" t="e">
        <f t="shared" si="38"/>
        <v>#REF!</v>
      </c>
      <c r="BE51" s="23" t="e">
        <f>IF(SUMPRODUCT($J$76:BD$76,$J51:BD51)&lt;0.5, "Pending", IF(BD51&lt;0.5, "Complete", "In Progress"))</f>
        <v>#REF!</v>
      </c>
      <c r="BF51" s="22">
        <v>0</v>
      </c>
      <c r="BG51" s="22" t="e">
        <f t="shared" si="39"/>
        <v>#REF!</v>
      </c>
      <c r="BH51" s="23" t="e">
        <f>IF(SUMPRODUCT($J$76:BG$76,$J51:BG51)&lt;0.5, "Pending", IF(BG51&lt;0.5, "Complete", "In Progress"))</f>
        <v>#REF!</v>
      </c>
      <c r="BI51" s="22">
        <v>0</v>
      </c>
      <c r="BJ51" s="22" t="e">
        <f t="shared" si="40"/>
        <v>#REF!</v>
      </c>
      <c r="BK51" s="23" t="e">
        <f>IF(SUMPRODUCT($J$76:BJ$76,$J51:BJ51)&lt;0.5, "Pending", IF(BJ51&lt;0.5, "Complete", "In Progress"))</f>
        <v>#REF!</v>
      </c>
      <c r="BL51" s="22">
        <v>0</v>
      </c>
      <c r="BM51" s="22" t="e">
        <f t="shared" si="41"/>
        <v>#REF!</v>
      </c>
      <c r="BN51" s="23" t="e">
        <f>IF(SUMPRODUCT($J$76:BM$76,$J51:BM51)&lt;0.5, "Pending", IF(BM51&lt;0.5, "Complete", "In Progress"))</f>
        <v>#REF!</v>
      </c>
      <c r="BO51" s="22">
        <v>0</v>
      </c>
      <c r="BP51" s="22" t="e">
        <f t="shared" si="42"/>
        <v>#REF!</v>
      </c>
      <c r="BQ51" s="23" t="e">
        <f>IF(SUMPRODUCT($J$76:BP$76,$J51:BP51)&lt;0.5, "Pending", IF(BP51&lt;0.5, "Complete", "In Progress"))</f>
        <v>#REF!</v>
      </c>
      <c r="BR51" s="22">
        <v>0</v>
      </c>
      <c r="BS51" s="22" t="e">
        <f t="shared" si="43"/>
        <v>#REF!</v>
      </c>
      <c r="BT51" s="23" t="e">
        <f>IF(SUMPRODUCT($J$76:BS$76,$J51:BS51)&lt;0.5, "Pending", IF(BS51&lt;0.5, "Complete", "In Progress"))</f>
        <v>#REF!</v>
      </c>
      <c r="BU51" s="22">
        <v>0</v>
      </c>
      <c r="BV51" s="22" t="e">
        <f t="shared" si="44"/>
        <v>#REF!</v>
      </c>
      <c r="BW51" s="23" t="e">
        <f>IF(SUMPRODUCT($J$76:BV$76,$J51:BV51)&lt;0.5, "Pending", IF(BV51&lt;0.5, "Complete", "In Progress"))</f>
        <v>#REF!</v>
      </c>
      <c r="BX51" s="22">
        <v>0</v>
      </c>
      <c r="BY51" s="22" t="e">
        <f t="shared" si="45"/>
        <v>#REF!</v>
      </c>
      <c r="BZ51" s="23" t="e">
        <f>IF(SUMPRODUCT($J$76:BY$76,$J51:BY51)&lt;0.5, "Pending", IF(BY51&lt;0.5, "Complete", "In Progress"))</f>
        <v>#REF!</v>
      </c>
      <c r="CA51" s="22">
        <v>0</v>
      </c>
      <c r="CB51" s="22" t="e">
        <f t="shared" si="46"/>
        <v>#REF!</v>
      </c>
      <c r="CC51" s="23" t="e">
        <f>IF(SUMPRODUCT($J$76:CB$76,$J51:CB51)&lt;0.5, "Pending", IF(CB51&lt;0.5, "Complete", "In Progress"))</f>
        <v>#REF!</v>
      </c>
      <c r="CD51" s="24"/>
      <c r="CE51" s="25">
        <f>SUMPRODUCT($H$76:AY$76,$H51:AY51)</f>
        <v>0</v>
      </c>
    </row>
    <row r="52" spans="1:83">
      <c r="A52" s="16"/>
      <c r="B52" s="16"/>
      <c r="C52" s="16"/>
      <c r="D52" s="17"/>
      <c r="E52" s="178"/>
      <c r="F52" s="18" t="s">
        <v>114</v>
      </c>
      <c r="G52" s="19" t="str">
        <f t="shared" ca="1" si="0"/>
        <v>Pending</v>
      </c>
      <c r="H52" s="20">
        <v>1</v>
      </c>
      <c r="I52" s="21">
        <v>0</v>
      </c>
      <c r="J52" s="22">
        <v>0</v>
      </c>
      <c r="K52" s="22">
        <f t="shared" si="24"/>
        <v>0</v>
      </c>
      <c r="L52" s="23" t="str">
        <f>IF(SUMPRODUCT($J$76:K$76,$J52:K52)&lt;0.5, "Pending", IF(K52&lt;0.5, "Complete", "In Progress"))</f>
        <v>Pending</v>
      </c>
      <c r="M52" s="22">
        <v>0</v>
      </c>
      <c r="N52" s="22">
        <f t="shared" si="25"/>
        <v>0</v>
      </c>
      <c r="O52" s="23" t="str">
        <f>IF(SUMPRODUCT($J$76:N$76,$J52:N52)&lt;0.5, "Pending", IF(N52&lt;0.5, "Complete", "In Progress"))</f>
        <v>Pending</v>
      </c>
      <c r="P52" s="22">
        <v>0</v>
      </c>
      <c r="Q52" s="22">
        <f t="shared" si="26"/>
        <v>0</v>
      </c>
      <c r="R52" s="23" t="str">
        <f>IF(SUMPRODUCT($J$76:Q$76,$J52:Q52)&lt;0.5, "Pending", IF(Q52&lt;0.5, "Complete", "In Progress"))</f>
        <v>Pending</v>
      </c>
      <c r="S52" s="22">
        <v>0</v>
      </c>
      <c r="T52" s="22">
        <f t="shared" si="27"/>
        <v>0</v>
      </c>
      <c r="U52" s="23" t="str">
        <f>IF(SUMPRODUCT($J$76:T$76,$J52:T52)&lt;0.5, "Pending", IF(T52&lt;0.5, "Complete", "In Progress"))</f>
        <v>Pending</v>
      </c>
      <c r="V52" s="22">
        <v>0</v>
      </c>
      <c r="W52" s="22">
        <f t="shared" si="28"/>
        <v>0</v>
      </c>
      <c r="X52" s="23" t="str">
        <f>IF(SUMPRODUCT($J$76:W$76,$J52:W52)&lt;0.5, "Pending", IF(W52&lt;0.5, "Complete", "In Progress"))</f>
        <v>Pending</v>
      </c>
      <c r="Y52" s="22">
        <v>0</v>
      </c>
      <c r="Z52" s="22">
        <f t="shared" si="29"/>
        <v>0</v>
      </c>
      <c r="AA52" s="23" t="str">
        <f>IF(SUMPRODUCT($J$76:Z$76,$J52:Z52)&lt;0.5, "Pending", IF(Z52&lt;0.5, "Complete", "In Progress"))</f>
        <v>Pending</v>
      </c>
      <c r="AB52" s="22">
        <v>0</v>
      </c>
      <c r="AC52" s="22">
        <f t="shared" si="30"/>
        <v>0</v>
      </c>
      <c r="AD52" s="23" t="str">
        <f>IF(SUMPRODUCT($J$76:AC$76,$J52:AC52)&lt;0.5, "Pending", IF(AC52&lt;0.5, "Complete", "In Progress"))</f>
        <v>Pending</v>
      </c>
      <c r="AE52" s="22">
        <v>0</v>
      </c>
      <c r="AF52" s="22">
        <f t="shared" si="31"/>
        <v>0</v>
      </c>
      <c r="AG52" s="23" t="str">
        <f>IF(SUMPRODUCT($J$76:AF$76,$J52:AF52)&lt;0.5, "Pending", IF(AF52&lt;0.5, "Complete", "In Progress"))</f>
        <v>Pending</v>
      </c>
      <c r="AH52" s="22">
        <v>0</v>
      </c>
      <c r="AI52" s="22">
        <f t="shared" si="32"/>
        <v>0</v>
      </c>
      <c r="AJ52" s="23" t="str">
        <f>IF(SUMPRODUCT($J$76:AI$76,$J52:AI52)&lt;0.5, "Pending", IF(AI52&lt;0.5, "Complete", "In Progress"))</f>
        <v>Pending</v>
      </c>
      <c r="AK52" s="22">
        <v>0</v>
      </c>
      <c r="AL52" s="22">
        <f t="shared" si="33"/>
        <v>0</v>
      </c>
      <c r="AM52" s="23" t="str">
        <f>IF(SUMPRODUCT($J$76:AL$76,$J52:AL52)&lt;0.5, "Pending", IF(AL52&lt;0.5, "Complete", "In Progress"))</f>
        <v>Pending</v>
      </c>
      <c r="AN52" s="22">
        <v>0</v>
      </c>
      <c r="AO52" s="22">
        <f t="shared" si="34"/>
        <v>0</v>
      </c>
      <c r="AP52" s="23" t="str">
        <f>IF(SUMPRODUCT($J$76:AO$76,$J52:AO52)&lt;0.5, "Pending", IF(AO52&lt;0.5, "Complete", "In Progress"))</f>
        <v>Pending</v>
      </c>
      <c r="AQ52" s="22">
        <v>0</v>
      </c>
      <c r="AR52" s="22">
        <f t="shared" si="35"/>
        <v>0</v>
      </c>
      <c r="AS52" s="23" t="str">
        <f>IF(SUMPRODUCT($J$76:AR$76,$J52:AR52)&lt;0.5, "Pending", IF(AR52&lt;0.5, "Complete", "In Progress"))</f>
        <v>Pending</v>
      </c>
      <c r="AT52" s="22">
        <v>0</v>
      </c>
      <c r="AU52" s="22">
        <f t="shared" si="36"/>
        <v>0</v>
      </c>
      <c r="AV52" s="23" t="str">
        <f>IF(SUMPRODUCT($J$76:AU$76,$J52:AU52)&lt;0.5, "Pending", IF(AU52&lt;0.5, "Complete", "In Progress"))</f>
        <v>Pending</v>
      </c>
      <c r="AW52" s="22">
        <v>0</v>
      </c>
      <c r="AX52" s="22">
        <f t="shared" si="37"/>
        <v>0</v>
      </c>
      <c r="AY52" s="23" t="str">
        <f>IF(SUMPRODUCT($J$76:AX$76,$J52:AX52)&lt;0.5, "Pending", IF(AX52&lt;0.5, "Complete", "In Progress"))</f>
        <v>Pending</v>
      </c>
      <c r="AZ52" s="22">
        <v>0</v>
      </c>
      <c r="BA52" s="22" t="e">
        <f>MAX(#REF!-AZ52,0)</f>
        <v>#REF!</v>
      </c>
      <c r="BB52" s="23" t="e">
        <f>IF(SUMPRODUCT($J$76:BA$76,$J52:BA52)&lt;0.5, "Pending", IF(BA52&lt;0.5, "Complete", "In Progress"))</f>
        <v>#REF!</v>
      </c>
      <c r="BC52" s="22">
        <v>0</v>
      </c>
      <c r="BD52" s="22" t="e">
        <f t="shared" si="38"/>
        <v>#REF!</v>
      </c>
      <c r="BE52" s="23" t="e">
        <f>IF(SUMPRODUCT($J$76:BD$76,$J52:BD52)&lt;0.5, "Pending", IF(BD52&lt;0.5, "Complete", "In Progress"))</f>
        <v>#REF!</v>
      </c>
      <c r="BF52" s="22">
        <v>0</v>
      </c>
      <c r="BG52" s="22" t="e">
        <f t="shared" si="39"/>
        <v>#REF!</v>
      </c>
      <c r="BH52" s="23" t="e">
        <f>IF(SUMPRODUCT($J$76:BG$76,$J52:BG52)&lt;0.5, "Pending", IF(BG52&lt;0.5, "Complete", "In Progress"))</f>
        <v>#REF!</v>
      </c>
      <c r="BI52" s="22">
        <v>0</v>
      </c>
      <c r="BJ52" s="22" t="e">
        <f t="shared" si="40"/>
        <v>#REF!</v>
      </c>
      <c r="BK52" s="23" t="e">
        <f>IF(SUMPRODUCT($J$76:BJ$76,$J52:BJ52)&lt;0.5, "Pending", IF(BJ52&lt;0.5, "Complete", "In Progress"))</f>
        <v>#REF!</v>
      </c>
      <c r="BL52" s="22">
        <v>0</v>
      </c>
      <c r="BM52" s="22" t="e">
        <f t="shared" si="41"/>
        <v>#REF!</v>
      </c>
      <c r="BN52" s="23" t="e">
        <f>IF(SUMPRODUCT($J$76:BM$76,$J52:BM52)&lt;0.5, "Pending", IF(BM52&lt;0.5, "Complete", "In Progress"))</f>
        <v>#REF!</v>
      </c>
      <c r="BO52" s="22">
        <v>0</v>
      </c>
      <c r="BP52" s="22" t="e">
        <f t="shared" si="42"/>
        <v>#REF!</v>
      </c>
      <c r="BQ52" s="23" t="e">
        <f>IF(SUMPRODUCT($J$76:BP$76,$J52:BP52)&lt;0.5, "Pending", IF(BP52&lt;0.5, "Complete", "In Progress"))</f>
        <v>#REF!</v>
      </c>
      <c r="BR52" s="22">
        <v>0</v>
      </c>
      <c r="BS52" s="22" t="e">
        <f t="shared" si="43"/>
        <v>#REF!</v>
      </c>
      <c r="BT52" s="23" t="e">
        <f>IF(SUMPRODUCT($J$76:BS$76,$J52:BS52)&lt;0.5, "Pending", IF(BS52&lt;0.5, "Complete", "In Progress"))</f>
        <v>#REF!</v>
      </c>
      <c r="BU52" s="22">
        <v>0</v>
      </c>
      <c r="BV52" s="22" t="e">
        <f t="shared" si="44"/>
        <v>#REF!</v>
      </c>
      <c r="BW52" s="23" t="e">
        <f>IF(SUMPRODUCT($J$76:BV$76,$J52:BV52)&lt;0.5, "Pending", IF(BV52&lt;0.5, "Complete", "In Progress"))</f>
        <v>#REF!</v>
      </c>
      <c r="BX52" s="22">
        <v>0</v>
      </c>
      <c r="BY52" s="22" t="e">
        <f t="shared" si="45"/>
        <v>#REF!</v>
      </c>
      <c r="BZ52" s="23" t="e">
        <f>IF(SUMPRODUCT($J$76:BY$76,$J52:BY52)&lt;0.5, "Pending", IF(BY52&lt;0.5, "Complete", "In Progress"))</f>
        <v>#REF!</v>
      </c>
      <c r="CA52" s="22">
        <v>0</v>
      </c>
      <c r="CB52" s="22" t="e">
        <f t="shared" si="46"/>
        <v>#REF!</v>
      </c>
      <c r="CC52" s="23" t="e">
        <f>IF(SUMPRODUCT($J$76:CB$76,$J52:CB52)&lt;0.5, "Pending", IF(CB52&lt;0.5, "Complete", "In Progress"))</f>
        <v>#REF!</v>
      </c>
      <c r="CD52" s="24"/>
      <c r="CE52" s="25">
        <f>SUMPRODUCT($H$76:AY$76,$H52:AY52)</f>
        <v>0</v>
      </c>
    </row>
    <row r="53" spans="1:83">
      <c r="A53" s="16"/>
      <c r="B53" s="16"/>
      <c r="C53" s="16"/>
      <c r="D53" s="17"/>
      <c r="E53" s="178"/>
      <c r="F53" s="18" t="s">
        <v>114</v>
      </c>
      <c r="G53" s="19" t="str">
        <f t="shared" ca="1" si="0"/>
        <v>Pending</v>
      </c>
      <c r="H53" s="20">
        <v>1</v>
      </c>
      <c r="I53" s="21">
        <v>0</v>
      </c>
      <c r="J53" s="22">
        <v>0</v>
      </c>
      <c r="K53" s="22">
        <f t="shared" si="24"/>
        <v>0</v>
      </c>
      <c r="L53" s="23" t="str">
        <f>IF(SUMPRODUCT($J$76:K$76,$J53:K53)&lt;0.5, "Pending", IF(K53&lt;0.5, "Complete", "In Progress"))</f>
        <v>Pending</v>
      </c>
      <c r="M53" s="22">
        <v>0</v>
      </c>
      <c r="N53" s="22">
        <f t="shared" si="25"/>
        <v>0</v>
      </c>
      <c r="O53" s="23" t="str">
        <f>IF(SUMPRODUCT($J$76:N$76,$J53:N53)&lt;0.5, "Pending", IF(N53&lt;0.5, "Complete", "In Progress"))</f>
        <v>Pending</v>
      </c>
      <c r="P53" s="22">
        <v>0</v>
      </c>
      <c r="Q53" s="22">
        <f t="shared" si="26"/>
        <v>0</v>
      </c>
      <c r="R53" s="23" t="str">
        <f>IF(SUMPRODUCT($J$76:Q$76,$J53:Q53)&lt;0.5, "Pending", IF(Q53&lt;0.5, "Complete", "In Progress"))</f>
        <v>Pending</v>
      </c>
      <c r="S53" s="22">
        <v>0</v>
      </c>
      <c r="T53" s="22">
        <f t="shared" si="27"/>
        <v>0</v>
      </c>
      <c r="U53" s="23" t="str">
        <f>IF(SUMPRODUCT($J$76:T$76,$J53:T53)&lt;0.5, "Pending", IF(T53&lt;0.5, "Complete", "In Progress"))</f>
        <v>Pending</v>
      </c>
      <c r="V53" s="22">
        <v>0</v>
      </c>
      <c r="W53" s="22">
        <f t="shared" si="28"/>
        <v>0</v>
      </c>
      <c r="X53" s="23" t="str">
        <f>IF(SUMPRODUCT($J$76:W$76,$J53:W53)&lt;0.5, "Pending", IF(W53&lt;0.5, "Complete", "In Progress"))</f>
        <v>Pending</v>
      </c>
      <c r="Y53" s="22">
        <v>0</v>
      </c>
      <c r="Z53" s="22">
        <f t="shared" si="29"/>
        <v>0</v>
      </c>
      <c r="AA53" s="23" t="str">
        <f>IF(SUMPRODUCT($J$76:Z$76,$J53:Z53)&lt;0.5, "Pending", IF(Z53&lt;0.5, "Complete", "In Progress"))</f>
        <v>Pending</v>
      </c>
      <c r="AB53" s="22">
        <v>0</v>
      </c>
      <c r="AC53" s="22">
        <f t="shared" si="30"/>
        <v>0</v>
      </c>
      <c r="AD53" s="23" t="str">
        <f>IF(SUMPRODUCT($J$76:AC$76,$J53:AC53)&lt;0.5, "Pending", IF(AC53&lt;0.5, "Complete", "In Progress"))</f>
        <v>Pending</v>
      </c>
      <c r="AE53" s="22">
        <v>0</v>
      </c>
      <c r="AF53" s="22">
        <f t="shared" si="31"/>
        <v>0</v>
      </c>
      <c r="AG53" s="23" t="str">
        <f>IF(SUMPRODUCT($J$76:AF$76,$J53:AF53)&lt;0.5, "Pending", IF(AF53&lt;0.5, "Complete", "In Progress"))</f>
        <v>Pending</v>
      </c>
      <c r="AH53" s="22">
        <v>0</v>
      </c>
      <c r="AI53" s="22">
        <f t="shared" si="32"/>
        <v>0</v>
      </c>
      <c r="AJ53" s="23" t="str">
        <f>IF(SUMPRODUCT($J$76:AI$76,$J53:AI53)&lt;0.5, "Pending", IF(AI53&lt;0.5, "Complete", "In Progress"))</f>
        <v>Pending</v>
      </c>
      <c r="AK53" s="22">
        <v>0</v>
      </c>
      <c r="AL53" s="22">
        <f t="shared" si="33"/>
        <v>0</v>
      </c>
      <c r="AM53" s="23" t="str">
        <f>IF(SUMPRODUCT($J$76:AL$76,$J53:AL53)&lt;0.5, "Pending", IF(AL53&lt;0.5, "Complete", "In Progress"))</f>
        <v>Pending</v>
      </c>
      <c r="AN53" s="22">
        <v>0</v>
      </c>
      <c r="AO53" s="22">
        <f t="shared" si="34"/>
        <v>0</v>
      </c>
      <c r="AP53" s="23" t="str">
        <f>IF(SUMPRODUCT($J$76:AO$76,$J53:AO53)&lt;0.5, "Pending", IF(AO53&lt;0.5, "Complete", "In Progress"))</f>
        <v>Pending</v>
      </c>
      <c r="AQ53" s="22">
        <v>0</v>
      </c>
      <c r="AR53" s="22">
        <f t="shared" si="35"/>
        <v>0</v>
      </c>
      <c r="AS53" s="23" t="str">
        <f>IF(SUMPRODUCT($J$76:AR$76,$J53:AR53)&lt;0.5, "Pending", IF(AR53&lt;0.5, "Complete", "In Progress"))</f>
        <v>Pending</v>
      </c>
      <c r="AT53" s="22">
        <v>0</v>
      </c>
      <c r="AU53" s="22">
        <f t="shared" si="36"/>
        <v>0</v>
      </c>
      <c r="AV53" s="23" t="str">
        <f>IF(SUMPRODUCT($J$76:AU$76,$J53:AU53)&lt;0.5, "Pending", IF(AU53&lt;0.5, "Complete", "In Progress"))</f>
        <v>Pending</v>
      </c>
      <c r="AW53" s="22">
        <v>0</v>
      </c>
      <c r="AX53" s="22">
        <f t="shared" si="37"/>
        <v>0</v>
      </c>
      <c r="AY53" s="23" t="str">
        <f>IF(SUMPRODUCT($J$76:AX$76,$J53:AX53)&lt;0.5, "Pending", IF(AX53&lt;0.5, "Complete", "In Progress"))</f>
        <v>Pending</v>
      </c>
      <c r="AZ53" s="22">
        <v>0</v>
      </c>
      <c r="BA53" s="22" t="e">
        <f>MAX(#REF!-AZ53,0)</f>
        <v>#REF!</v>
      </c>
      <c r="BB53" s="23" t="e">
        <f>IF(SUMPRODUCT($J$76:BA$76,$J53:BA53)&lt;0.5, "Pending", IF(BA53&lt;0.5, "Complete", "In Progress"))</f>
        <v>#REF!</v>
      </c>
      <c r="BC53" s="22">
        <v>0</v>
      </c>
      <c r="BD53" s="22" t="e">
        <f t="shared" si="38"/>
        <v>#REF!</v>
      </c>
      <c r="BE53" s="23" t="e">
        <f>IF(SUMPRODUCT($J$76:BD$76,$J53:BD53)&lt;0.5, "Pending", IF(BD53&lt;0.5, "Complete", "In Progress"))</f>
        <v>#REF!</v>
      </c>
      <c r="BF53" s="22">
        <v>0</v>
      </c>
      <c r="BG53" s="22" t="e">
        <f t="shared" si="39"/>
        <v>#REF!</v>
      </c>
      <c r="BH53" s="23" t="e">
        <f>IF(SUMPRODUCT($J$76:BG$76,$J53:BG53)&lt;0.5, "Pending", IF(BG53&lt;0.5, "Complete", "In Progress"))</f>
        <v>#REF!</v>
      </c>
      <c r="BI53" s="22">
        <v>0</v>
      </c>
      <c r="BJ53" s="22" t="e">
        <f t="shared" si="40"/>
        <v>#REF!</v>
      </c>
      <c r="BK53" s="23" t="e">
        <f>IF(SUMPRODUCT($J$76:BJ$76,$J53:BJ53)&lt;0.5, "Pending", IF(BJ53&lt;0.5, "Complete", "In Progress"))</f>
        <v>#REF!</v>
      </c>
      <c r="BL53" s="22">
        <v>0</v>
      </c>
      <c r="BM53" s="22" t="e">
        <f t="shared" si="41"/>
        <v>#REF!</v>
      </c>
      <c r="BN53" s="23" t="e">
        <f>IF(SUMPRODUCT($J$76:BM$76,$J53:BM53)&lt;0.5, "Pending", IF(BM53&lt;0.5, "Complete", "In Progress"))</f>
        <v>#REF!</v>
      </c>
      <c r="BO53" s="22">
        <v>0</v>
      </c>
      <c r="BP53" s="22" t="e">
        <f t="shared" si="42"/>
        <v>#REF!</v>
      </c>
      <c r="BQ53" s="23" t="e">
        <f>IF(SUMPRODUCT($J$76:BP$76,$J53:BP53)&lt;0.5, "Pending", IF(BP53&lt;0.5, "Complete", "In Progress"))</f>
        <v>#REF!</v>
      </c>
      <c r="BR53" s="22">
        <v>0</v>
      </c>
      <c r="BS53" s="22" t="e">
        <f t="shared" si="43"/>
        <v>#REF!</v>
      </c>
      <c r="BT53" s="23" t="e">
        <f>IF(SUMPRODUCT($J$76:BS$76,$J53:BS53)&lt;0.5, "Pending", IF(BS53&lt;0.5, "Complete", "In Progress"))</f>
        <v>#REF!</v>
      </c>
      <c r="BU53" s="22">
        <v>0</v>
      </c>
      <c r="BV53" s="22" t="e">
        <f t="shared" si="44"/>
        <v>#REF!</v>
      </c>
      <c r="BW53" s="23" t="e">
        <f>IF(SUMPRODUCT($J$76:BV$76,$J53:BV53)&lt;0.5, "Pending", IF(BV53&lt;0.5, "Complete", "In Progress"))</f>
        <v>#REF!</v>
      </c>
      <c r="BX53" s="22">
        <v>0</v>
      </c>
      <c r="BY53" s="22" t="e">
        <f t="shared" si="45"/>
        <v>#REF!</v>
      </c>
      <c r="BZ53" s="23" t="e">
        <f>IF(SUMPRODUCT($J$76:BY$76,$J53:BY53)&lt;0.5, "Pending", IF(BY53&lt;0.5, "Complete", "In Progress"))</f>
        <v>#REF!</v>
      </c>
      <c r="CA53" s="22">
        <v>0</v>
      </c>
      <c r="CB53" s="22" t="e">
        <f t="shared" si="46"/>
        <v>#REF!</v>
      </c>
      <c r="CC53" s="23" t="e">
        <f>IF(SUMPRODUCT($J$76:CB$76,$J53:CB53)&lt;0.5, "Pending", IF(CB53&lt;0.5, "Complete", "In Progress"))</f>
        <v>#REF!</v>
      </c>
      <c r="CD53" s="24"/>
      <c r="CE53" s="25">
        <f>SUMPRODUCT($H$76:AY$76,$H53:AY53)</f>
        <v>0</v>
      </c>
    </row>
    <row r="54" spans="1:83">
      <c r="A54" s="16"/>
      <c r="B54" s="16"/>
      <c r="C54" s="16"/>
      <c r="D54" s="17"/>
      <c r="E54" s="178"/>
      <c r="F54" s="18" t="s">
        <v>114</v>
      </c>
      <c r="G54" s="19" t="str">
        <f t="shared" ca="1" si="0"/>
        <v>Pending</v>
      </c>
      <c r="H54" s="20">
        <v>1</v>
      </c>
      <c r="I54" s="21">
        <v>0</v>
      </c>
      <c r="J54" s="22">
        <v>0</v>
      </c>
      <c r="K54" s="22">
        <f t="shared" si="24"/>
        <v>0</v>
      </c>
      <c r="L54" s="23" t="str">
        <f>IF(SUMPRODUCT($J$76:K$76,$J54:K54)&lt;0.5, "Pending", IF(K54&lt;0.5, "Complete", "In Progress"))</f>
        <v>Pending</v>
      </c>
      <c r="M54" s="22">
        <v>0</v>
      </c>
      <c r="N54" s="22">
        <f t="shared" si="25"/>
        <v>0</v>
      </c>
      <c r="O54" s="23" t="str">
        <f>IF(SUMPRODUCT($J$76:N$76,$J54:N54)&lt;0.5, "Pending", IF(N54&lt;0.5, "Complete", "In Progress"))</f>
        <v>Pending</v>
      </c>
      <c r="P54" s="22">
        <v>0</v>
      </c>
      <c r="Q54" s="22">
        <f t="shared" si="26"/>
        <v>0</v>
      </c>
      <c r="R54" s="23" t="str">
        <f>IF(SUMPRODUCT($J$76:Q$76,$J54:Q54)&lt;0.5, "Pending", IF(Q54&lt;0.5, "Complete", "In Progress"))</f>
        <v>Pending</v>
      </c>
      <c r="S54" s="22">
        <v>0</v>
      </c>
      <c r="T54" s="22">
        <f t="shared" si="27"/>
        <v>0</v>
      </c>
      <c r="U54" s="23" t="str">
        <f>IF(SUMPRODUCT($J$76:T$76,$J54:T54)&lt;0.5, "Pending", IF(T54&lt;0.5, "Complete", "In Progress"))</f>
        <v>Pending</v>
      </c>
      <c r="V54" s="22">
        <v>0</v>
      </c>
      <c r="W54" s="22">
        <f t="shared" si="28"/>
        <v>0</v>
      </c>
      <c r="X54" s="23" t="str">
        <f>IF(SUMPRODUCT($J$76:W$76,$J54:W54)&lt;0.5, "Pending", IF(W54&lt;0.5, "Complete", "In Progress"))</f>
        <v>Pending</v>
      </c>
      <c r="Y54" s="22">
        <v>0</v>
      </c>
      <c r="Z54" s="22">
        <f t="shared" si="29"/>
        <v>0</v>
      </c>
      <c r="AA54" s="23" t="str">
        <f>IF(SUMPRODUCT($J$76:Z$76,$J54:Z54)&lt;0.5, "Pending", IF(Z54&lt;0.5, "Complete", "In Progress"))</f>
        <v>Pending</v>
      </c>
      <c r="AB54" s="22">
        <v>0</v>
      </c>
      <c r="AC54" s="22">
        <f t="shared" si="30"/>
        <v>0</v>
      </c>
      <c r="AD54" s="23" t="str">
        <f>IF(SUMPRODUCT($J$76:AC$76,$J54:AC54)&lt;0.5, "Pending", IF(AC54&lt;0.5, "Complete", "In Progress"))</f>
        <v>Pending</v>
      </c>
      <c r="AE54" s="22">
        <v>0</v>
      </c>
      <c r="AF54" s="22">
        <f t="shared" si="31"/>
        <v>0</v>
      </c>
      <c r="AG54" s="23" t="str">
        <f>IF(SUMPRODUCT($J$76:AF$76,$J54:AF54)&lt;0.5, "Pending", IF(AF54&lt;0.5, "Complete", "In Progress"))</f>
        <v>Pending</v>
      </c>
      <c r="AH54" s="22">
        <v>0</v>
      </c>
      <c r="AI54" s="22">
        <f t="shared" si="32"/>
        <v>0</v>
      </c>
      <c r="AJ54" s="23" t="str">
        <f>IF(SUMPRODUCT($J$76:AI$76,$J54:AI54)&lt;0.5, "Pending", IF(AI54&lt;0.5, "Complete", "In Progress"))</f>
        <v>Pending</v>
      </c>
      <c r="AK54" s="22">
        <v>0</v>
      </c>
      <c r="AL54" s="22">
        <f t="shared" si="33"/>
        <v>0</v>
      </c>
      <c r="AM54" s="23" t="str">
        <f>IF(SUMPRODUCT($J$76:AL$76,$J54:AL54)&lt;0.5, "Pending", IF(AL54&lt;0.5, "Complete", "In Progress"))</f>
        <v>Pending</v>
      </c>
      <c r="AN54" s="22">
        <v>0</v>
      </c>
      <c r="AO54" s="22">
        <f t="shared" si="34"/>
        <v>0</v>
      </c>
      <c r="AP54" s="23" t="str">
        <f>IF(SUMPRODUCT($J$76:AO$76,$J54:AO54)&lt;0.5, "Pending", IF(AO54&lt;0.5, "Complete", "In Progress"))</f>
        <v>Pending</v>
      </c>
      <c r="AQ54" s="22">
        <v>0</v>
      </c>
      <c r="AR54" s="22">
        <f t="shared" si="35"/>
        <v>0</v>
      </c>
      <c r="AS54" s="23" t="str">
        <f>IF(SUMPRODUCT($J$76:AR$76,$J54:AR54)&lt;0.5, "Pending", IF(AR54&lt;0.5, "Complete", "In Progress"))</f>
        <v>Pending</v>
      </c>
      <c r="AT54" s="22">
        <v>0</v>
      </c>
      <c r="AU54" s="22">
        <f t="shared" si="36"/>
        <v>0</v>
      </c>
      <c r="AV54" s="23" t="str">
        <f>IF(SUMPRODUCT($J$76:AU$76,$J54:AU54)&lt;0.5, "Pending", IF(AU54&lt;0.5, "Complete", "In Progress"))</f>
        <v>Pending</v>
      </c>
      <c r="AW54" s="22">
        <v>0</v>
      </c>
      <c r="AX54" s="22">
        <f t="shared" si="37"/>
        <v>0</v>
      </c>
      <c r="AY54" s="23" t="str">
        <f>IF(SUMPRODUCT($J$76:AX$76,$J54:AX54)&lt;0.5, "Pending", IF(AX54&lt;0.5, "Complete", "In Progress"))</f>
        <v>Pending</v>
      </c>
      <c r="AZ54" s="22">
        <v>0</v>
      </c>
      <c r="BA54" s="22" t="e">
        <f>MAX(#REF!-AZ54,0)</f>
        <v>#REF!</v>
      </c>
      <c r="BB54" s="23" t="e">
        <f>IF(SUMPRODUCT($J$76:BA$76,$J54:BA54)&lt;0.5, "Pending", IF(BA54&lt;0.5, "Complete", "In Progress"))</f>
        <v>#REF!</v>
      </c>
      <c r="BC54" s="22">
        <v>0</v>
      </c>
      <c r="BD54" s="22" t="e">
        <f t="shared" si="38"/>
        <v>#REF!</v>
      </c>
      <c r="BE54" s="23" t="e">
        <f>IF(SUMPRODUCT($J$76:BD$76,$J54:BD54)&lt;0.5, "Pending", IF(BD54&lt;0.5, "Complete", "In Progress"))</f>
        <v>#REF!</v>
      </c>
      <c r="BF54" s="22">
        <v>0</v>
      </c>
      <c r="BG54" s="22" t="e">
        <f t="shared" si="39"/>
        <v>#REF!</v>
      </c>
      <c r="BH54" s="23" t="e">
        <f>IF(SUMPRODUCT($J$76:BG$76,$J54:BG54)&lt;0.5, "Pending", IF(BG54&lt;0.5, "Complete", "In Progress"))</f>
        <v>#REF!</v>
      </c>
      <c r="BI54" s="22">
        <v>0</v>
      </c>
      <c r="BJ54" s="22" t="e">
        <f t="shared" si="40"/>
        <v>#REF!</v>
      </c>
      <c r="BK54" s="23" t="e">
        <f>IF(SUMPRODUCT($J$76:BJ$76,$J54:BJ54)&lt;0.5, "Pending", IF(BJ54&lt;0.5, "Complete", "In Progress"))</f>
        <v>#REF!</v>
      </c>
      <c r="BL54" s="22">
        <v>0</v>
      </c>
      <c r="BM54" s="22" t="e">
        <f t="shared" si="41"/>
        <v>#REF!</v>
      </c>
      <c r="BN54" s="23" t="e">
        <f>IF(SUMPRODUCT($J$76:BM$76,$J54:BM54)&lt;0.5, "Pending", IF(BM54&lt;0.5, "Complete", "In Progress"))</f>
        <v>#REF!</v>
      </c>
      <c r="BO54" s="22">
        <v>0</v>
      </c>
      <c r="BP54" s="22" t="e">
        <f t="shared" si="42"/>
        <v>#REF!</v>
      </c>
      <c r="BQ54" s="23" t="e">
        <f>IF(SUMPRODUCT($J$76:BP$76,$J54:BP54)&lt;0.5, "Pending", IF(BP54&lt;0.5, "Complete", "In Progress"))</f>
        <v>#REF!</v>
      </c>
      <c r="BR54" s="22">
        <v>0</v>
      </c>
      <c r="BS54" s="22" t="e">
        <f t="shared" si="43"/>
        <v>#REF!</v>
      </c>
      <c r="BT54" s="23" t="e">
        <f>IF(SUMPRODUCT($J$76:BS$76,$J54:BS54)&lt;0.5, "Pending", IF(BS54&lt;0.5, "Complete", "In Progress"))</f>
        <v>#REF!</v>
      </c>
      <c r="BU54" s="22">
        <v>0</v>
      </c>
      <c r="BV54" s="22" t="e">
        <f t="shared" si="44"/>
        <v>#REF!</v>
      </c>
      <c r="BW54" s="23" t="e">
        <f>IF(SUMPRODUCT($J$76:BV$76,$J54:BV54)&lt;0.5, "Pending", IF(BV54&lt;0.5, "Complete", "In Progress"))</f>
        <v>#REF!</v>
      </c>
      <c r="BX54" s="22">
        <v>0</v>
      </c>
      <c r="BY54" s="22" t="e">
        <f t="shared" si="45"/>
        <v>#REF!</v>
      </c>
      <c r="BZ54" s="23" t="e">
        <f>IF(SUMPRODUCT($J$76:BY$76,$J54:BY54)&lt;0.5, "Pending", IF(BY54&lt;0.5, "Complete", "In Progress"))</f>
        <v>#REF!</v>
      </c>
      <c r="CA54" s="22">
        <v>0</v>
      </c>
      <c r="CB54" s="22" t="e">
        <f t="shared" si="46"/>
        <v>#REF!</v>
      </c>
      <c r="CC54" s="23" t="e">
        <f>IF(SUMPRODUCT($J$76:CB$76,$J54:CB54)&lt;0.5, "Pending", IF(CB54&lt;0.5, "Complete", "In Progress"))</f>
        <v>#REF!</v>
      </c>
      <c r="CD54" s="24"/>
      <c r="CE54" s="25">
        <f>SUMPRODUCT($H$76:AY$76,$H54:AY54)</f>
        <v>0</v>
      </c>
    </row>
    <row r="55" spans="1:83">
      <c r="A55" s="16"/>
      <c r="B55" s="16"/>
      <c r="C55" s="16"/>
      <c r="D55" s="17"/>
      <c r="E55" s="178"/>
      <c r="F55" s="18" t="s">
        <v>114</v>
      </c>
      <c r="G55" s="19" t="str">
        <f t="shared" ca="1" si="0"/>
        <v>Pending</v>
      </c>
      <c r="H55" s="20">
        <v>1</v>
      </c>
      <c r="I55" s="21">
        <v>0</v>
      </c>
      <c r="J55" s="22">
        <v>0</v>
      </c>
      <c r="K55" s="22">
        <f t="shared" si="24"/>
        <v>0</v>
      </c>
      <c r="L55" s="23" t="str">
        <f>IF(SUMPRODUCT($J$76:K$76,$J55:K55)&lt;0.5, "Pending", IF(K55&lt;0.5, "Complete", "In Progress"))</f>
        <v>Pending</v>
      </c>
      <c r="M55" s="22">
        <v>0</v>
      </c>
      <c r="N55" s="22">
        <f t="shared" si="25"/>
        <v>0</v>
      </c>
      <c r="O55" s="23" t="str">
        <f>IF(SUMPRODUCT($J$76:N$76,$J55:N55)&lt;0.5, "Pending", IF(N55&lt;0.5, "Complete", "In Progress"))</f>
        <v>Pending</v>
      </c>
      <c r="P55" s="22">
        <v>0</v>
      </c>
      <c r="Q55" s="22">
        <f t="shared" si="26"/>
        <v>0</v>
      </c>
      <c r="R55" s="23" t="str">
        <f>IF(SUMPRODUCT($J$76:Q$76,$J55:Q55)&lt;0.5, "Pending", IF(Q55&lt;0.5, "Complete", "In Progress"))</f>
        <v>Pending</v>
      </c>
      <c r="S55" s="22">
        <v>0</v>
      </c>
      <c r="T55" s="22">
        <f t="shared" si="27"/>
        <v>0</v>
      </c>
      <c r="U55" s="23" t="str">
        <f>IF(SUMPRODUCT($J$76:T$76,$J55:T55)&lt;0.5, "Pending", IF(T55&lt;0.5, "Complete", "In Progress"))</f>
        <v>Pending</v>
      </c>
      <c r="V55" s="22">
        <v>0</v>
      </c>
      <c r="W55" s="22">
        <f t="shared" si="28"/>
        <v>0</v>
      </c>
      <c r="X55" s="23" t="str">
        <f>IF(SUMPRODUCT($J$76:W$76,$J55:W55)&lt;0.5, "Pending", IF(W55&lt;0.5, "Complete", "In Progress"))</f>
        <v>Pending</v>
      </c>
      <c r="Y55" s="22">
        <v>0</v>
      </c>
      <c r="Z55" s="22">
        <f t="shared" si="29"/>
        <v>0</v>
      </c>
      <c r="AA55" s="23" t="str">
        <f>IF(SUMPRODUCT($J$76:Z$76,$J55:Z55)&lt;0.5, "Pending", IF(Z55&lt;0.5, "Complete", "In Progress"))</f>
        <v>Pending</v>
      </c>
      <c r="AB55" s="22">
        <v>0</v>
      </c>
      <c r="AC55" s="22">
        <f t="shared" si="30"/>
        <v>0</v>
      </c>
      <c r="AD55" s="23" t="str">
        <f>IF(SUMPRODUCT($J$76:AC$76,$J55:AC55)&lt;0.5, "Pending", IF(AC55&lt;0.5, "Complete", "In Progress"))</f>
        <v>Pending</v>
      </c>
      <c r="AE55" s="22">
        <v>0</v>
      </c>
      <c r="AF55" s="22">
        <f t="shared" si="31"/>
        <v>0</v>
      </c>
      <c r="AG55" s="23" t="str">
        <f>IF(SUMPRODUCT($J$76:AF$76,$J55:AF55)&lt;0.5, "Pending", IF(AF55&lt;0.5, "Complete", "In Progress"))</f>
        <v>Pending</v>
      </c>
      <c r="AH55" s="22">
        <v>0</v>
      </c>
      <c r="AI55" s="22">
        <f t="shared" si="32"/>
        <v>0</v>
      </c>
      <c r="AJ55" s="23" t="str">
        <f>IF(SUMPRODUCT($J$76:AI$76,$J55:AI55)&lt;0.5, "Pending", IF(AI55&lt;0.5, "Complete", "In Progress"))</f>
        <v>Pending</v>
      </c>
      <c r="AK55" s="22">
        <v>0</v>
      </c>
      <c r="AL55" s="22">
        <f t="shared" si="33"/>
        <v>0</v>
      </c>
      <c r="AM55" s="23" t="str">
        <f>IF(SUMPRODUCT($J$76:AL$76,$J55:AL55)&lt;0.5, "Pending", IF(AL55&lt;0.5, "Complete", "In Progress"))</f>
        <v>Pending</v>
      </c>
      <c r="AN55" s="22">
        <v>0</v>
      </c>
      <c r="AO55" s="22">
        <f t="shared" si="34"/>
        <v>0</v>
      </c>
      <c r="AP55" s="23" t="str">
        <f>IF(SUMPRODUCT($J$76:AO$76,$J55:AO55)&lt;0.5, "Pending", IF(AO55&lt;0.5, "Complete", "In Progress"))</f>
        <v>Pending</v>
      </c>
      <c r="AQ55" s="22">
        <v>0</v>
      </c>
      <c r="AR55" s="22">
        <f t="shared" si="35"/>
        <v>0</v>
      </c>
      <c r="AS55" s="23" t="str">
        <f>IF(SUMPRODUCT($J$76:AR$76,$J55:AR55)&lt;0.5, "Pending", IF(AR55&lt;0.5, "Complete", "In Progress"))</f>
        <v>Pending</v>
      </c>
      <c r="AT55" s="22">
        <v>0</v>
      </c>
      <c r="AU55" s="22">
        <f t="shared" si="36"/>
        <v>0</v>
      </c>
      <c r="AV55" s="23" t="str">
        <f>IF(SUMPRODUCT($J$76:AU$76,$J55:AU55)&lt;0.5, "Pending", IF(AU55&lt;0.5, "Complete", "In Progress"))</f>
        <v>Pending</v>
      </c>
      <c r="AW55" s="22">
        <v>0</v>
      </c>
      <c r="AX55" s="22">
        <f t="shared" si="37"/>
        <v>0</v>
      </c>
      <c r="AY55" s="23" t="str">
        <f>IF(SUMPRODUCT($J$76:AX$76,$J55:AX55)&lt;0.5, "Pending", IF(AX55&lt;0.5, "Complete", "In Progress"))</f>
        <v>Pending</v>
      </c>
      <c r="AZ55" s="22">
        <v>0</v>
      </c>
      <c r="BA55" s="22" t="e">
        <f>MAX(#REF!-AZ55,0)</f>
        <v>#REF!</v>
      </c>
      <c r="BB55" s="23" t="e">
        <f>IF(SUMPRODUCT($J$76:BA$76,$J55:BA55)&lt;0.5, "Pending", IF(BA55&lt;0.5, "Complete", "In Progress"))</f>
        <v>#REF!</v>
      </c>
      <c r="BC55" s="22">
        <v>0</v>
      </c>
      <c r="BD55" s="22" t="e">
        <f t="shared" si="38"/>
        <v>#REF!</v>
      </c>
      <c r="BE55" s="23" t="e">
        <f>IF(SUMPRODUCT($J$76:BD$76,$J55:BD55)&lt;0.5, "Pending", IF(BD55&lt;0.5, "Complete", "In Progress"))</f>
        <v>#REF!</v>
      </c>
      <c r="BF55" s="22">
        <v>0</v>
      </c>
      <c r="BG55" s="22" t="e">
        <f t="shared" si="39"/>
        <v>#REF!</v>
      </c>
      <c r="BH55" s="23" t="e">
        <f>IF(SUMPRODUCT($J$76:BG$76,$J55:BG55)&lt;0.5, "Pending", IF(BG55&lt;0.5, "Complete", "In Progress"))</f>
        <v>#REF!</v>
      </c>
      <c r="BI55" s="22">
        <v>0</v>
      </c>
      <c r="BJ55" s="22" t="e">
        <f t="shared" si="40"/>
        <v>#REF!</v>
      </c>
      <c r="BK55" s="23" t="e">
        <f>IF(SUMPRODUCT($J$76:BJ$76,$J55:BJ55)&lt;0.5, "Pending", IF(BJ55&lt;0.5, "Complete", "In Progress"))</f>
        <v>#REF!</v>
      </c>
      <c r="BL55" s="22">
        <v>0</v>
      </c>
      <c r="BM55" s="22" t="e">
        <f t="shared" si="41"/>
        <v>#REF!</v>
      </c>
      <c r="BN55" s="23" t="e">
        <f>IF(SUMPRODUCT($J$76:BM$76,$J55:BM55)&lt;0.5, "Pending", IF(BM55&lt;0.5, "Complete", "In Progress"))</f>
        <v>#REF!</v>
      </c>
      <c r="BO55" s="22">
        <v>0</v>
      </c>
      <c r="BP55" s="22" t="e">
        <f t="shared" si="42"/>
        <v>#REF!</v>
      </c>
      <c r="BQ55" s="23" t="e">
        <f>IF(SUMPRODUCT($J$76:BP$76,$J55:BP55)&lt;0.5, "Pending", IF(BP55&lt;0.5, "Complete", "In Progress"))</f>
        <v>#REF!</v>
      </c>
      <c r="BR55" s="22">
        <v>0</v>
      </c>
      <c r="BS55" s="22" t="e">
        <f t="shared" si="43"/>
        <v>#REF!</v>
      </c>
      <c r="BT55" s="23" t="e">
        <f>IF(SUMPRODUCT($J$76:BS$76,$J55:BS55)&lt;0.5, "Pending", IF(BS55&lt;0.5, "Complete", "In Progress"))</f>
        <v>#REF!</v>
      </c>
      <c r="BU55" s="22">
        <v>0</v>
      </c>
      <c r="BV55" s="22" t="e">
        <f t="shared" si="44"/>
        <v>#REF!</v>
      </c>
      <c r="BW55" s="23" t="e">
        <f>IF(SUMPRODUCT($J$76:BV$76,$J55:BV55)&lt;0.5, "Pending", IF(BV55&lt;0.5, "Complete", "In Progress"))</f>
        <v>#REF!</v>
      </c>
      <c r="BX55" s="22">
        <v>0</v>
      </c>
      <c r="BY55" s="22" t="e">
        <f t="shared" si="45"/>
        <v>#REF!</v>
      </c>
      <c r="BZ55" s="23" t="e">
        <f>IF(SUMPRODUCT($J$76:BY$76,$J55:BY55)&lt;0.5, "Pending", IF(BY55&lt;0.5, "Complete", "In Progress"))</f>
        <v>#REF!</v>
      </c>
      <c r="CA55" s="22">
        <v>0</v>
      </c>
      <c r="CB55" s="22" t="e">
        <f t="shared" si="46"/>
        <v>#REF!</v>
      </c>
      <c r="CC55" s="23" t="e">
        <f>IF(SUMPRODUCT($J$76:CB$76,$J55:CB55)&lt;0.5, "Pending", IF(CB55&lt;0.5, "Complete", "In Progress"))</f>
        <v>#REF!</v>
      </c>
      <c r="CD55" s="24"/>
      <c r="CE55" s="25">
        <f>SUMPRODUCT($H$76:AY$76,$H55:AY55)</f>
        <v>0</v>
      </c>
    </row>
    <row r="56" spans="1:83">
      <c r="A56" s="16"/>
      <c r="B56" s="16"/>
      <c r="C56" s="16"/>
      <c r="D56" s="17"/>
      <c r="E56" s="178"/>
      <c r="F56" s="18" t="s">
        <v>114</v>
      </c>
      <c r="G56" s="19" t="str">
        <f t="shared" ca="1" si="0"/>
        <v>Pending</v>
      </c>
      <c r="H56" s="20">
        <v>1</v>
      </c>
      <c r="I56" s="21">
        <v>0</v>
      </c>
      <c r="J56" s="22">
        <v>0</v>
      </c>
      <c r="K56" s="22">
        <f t="shared" si="24"/>
        <v>0</v>
      </c>
      <c r="L56" s="23" t="str">
        <f>IF(SUMPRODUCT($J$76:K$76,$J56:K56)&lt;0.5, "Pending", IF(K56&lt;0.5, "Complete", "In Progress"))</f>
        <v>Pending</v>
      </c>
      <c r="M56" s="22">
        <v>0</v>
      </c>
      <c r="N56" s="22">
        <f t="shared" si="25"/>
        <v>0</v>
      </c>
      <c r="O56" s="23" t="str">
        <f>IF(SUMPRODUCT($J$76:N$76,$J56:N56)&lt;0.5, "Pending", IF(N56&lt;0.5, "Complete", "In Progress"))</f>
        <v>Pending</v>
      </c>
      <c r="P56" s="22">
        <v>0</v>
      </c>
      <c r="Q56" s="22">
        <f t="shared" si="26"/>
        <v>0</v>
      </c>
      <c r="R56" s="23" t="str">
        <f>IF(SUMPRODUCT($J$76:Q$76,$J56:Q56)&lt;0.5, "Pending", IF(Q56&lt;0.5, "Complete", "In Progress"))</f>
        <v>Pending</v>
      </c>
      <c r="S56" s="22">
        <v>0</v>
      </c>
      <c r="T56" s="22">
        <f t="shared" si="27"/>
        <v>0</v>
      </c>
      <c r="U56" s="23" t="str">
        <f>IF(SUMPRODUCT($J$76:T$76,$J56:T56)&lt;0.5, "Pending", IF(T56&lt;0.5, "Complete", "In Progress"))</f>
        <v>Pending</v>
      </c>
      <c r="V56" s="22">
        <v>0</v>
      </c>
      <c r="W56" s="22">
        <f t="shared" si="28"/>
        <v>0</v>
      </c>
      <c r="X56" s="23" t="str">
        <f>IF(SUMPRODUCT($J$76:W$76,$J56:W56)&lt;0.5, "Pending", IF(W56&lt;0.5, "Complete", "In Progress"))</f>
        <v>Pending</v>
      </c>
      <c r="Y56" s="22">
        <v>0</v>
      </c>
      <c r="Z56" s="22">
        <f t="shared" si="29"/>
        <v>0</v>
      </c>
      <c r="AA56" s="23" t="str">
        <f>IF(SUMPRODUCT($J$76:Z$76,$J56:Z56)&lt;0.5, "Pending", IF(Z56&lt;0.5, "Complete", "In Progress"))</f>
        <v>Pending</v>
      </c>
      <c r="AB56" s="22">
        <v>0</v>
      </c>
      <c r="AC56" s="22">
        <f t="shared" si="30"/>
        <v>0</v>
      </c>
      <c r="AD56" s="23" t="str">
        <f>IF(SUMPRODUCT($J$76:AC$76,$J56:AC56)&lt;0.5, "Pending", IF(AC56&lt;0.5, "Complete", "In Progress"))</f>
        <v>Pending</v>
      </c>
      <c r="AE56" s="22">
        <v>0</v>
      </c>
      <c r="AF56" s="22">
        <f t="shared" si="31"/>
        <v>0</v>
      </c>
      <c r="AG56" s="23" t="str">
        <f>IF(SUMPRODUCT($J$76:AF$76,$J56:AF56)&lt;0.5, "Pending", IF(AF56&lt;0.5, "Complete", "In Progress"))</f>
        <v>Pending</v>
      </c>
      <c r="AH56" s="22">
        <v>0</v>
      </c>
      <c r="AI56" s="22">
        <f t="shared" si="32"/>
        <v>0</v>
      </c>
      <c r="AJ56" s="23" t="str">
        <f>IF(SUMPRODUCT($J$76:AI$76,$J56:AI56)&lt;0.5, "Pending", IF(AI56&lt;0.5, "Complete", "In Progress"))</f>
        <v>Pending</v>
      </c>
      <c r="AK56" s="22">
        <v>0</v>
      </c>
      <c r="AL56" s="22">
        <f t="shared" si="33"/>
        <v>0</v>
      </c>
      <c r="AM56" s="23" t="str">
        <f>IF(SUMPRODUCT($J$76:AL$76,$J56:AL56)&lt;0.5, "Pending", IF(AL56&lt;0.5, "Complete", "In Progress"))</f>
        <v>Pending</v>
      </c>
      <c r="AN56" s="22">
        <v>0</v>
      </c>
      <c r="AO56" s="22">
        <f t="shared" si="34"/>
        <v>0</v>
      </c>
      <c r="AP56" s="23" t="str">
        <f>IF(SUMPRODUCT($J$76:AO$76,$J56:AO56)&lt;0.5, "Pending", IF(AO56&lt;0.5, "Complete", "In Progress"))</f>
        <v>Pending</v>
      </c>
      <c r="AQ56" s="22">
        <v>0</v>
      </c>
      <c r="AR56" s="22">
        <f t="shared" si="35"/>
        <v>0</v>
      </c>
      <c r="AS56" s="23" t="str">
        <f>IF(SUMPRODUCT($J$76:AR$76,$J56:AR56)&lt;0.5, "Pending", IF(AR56&lt;0.5, "Complete", "In Progress"))</f>
        <v>Pending</v>
      </c>
      <c r="AT56" s="22">
        <v>0</v>
      </c>
      <c r="AU56" s="22">
        <f t="shared" si="36"/>
        <v>0</v>
      </c>
      <c r="AV56" s="23" t="str">
        <f>IF(SUMPRODUCT($J$76:AU$76,$J56:AU56)&lt;0.5, "Pending", IF(AU56&lt;0.5, "Complete", "In Progress"))</f>
        <v>Pending</v>
      </c>
      <c r="AW56" s="22">
        <v>0</v>
      </c>
      <c r="AX56" s="22">
        <f t="shared" si="37"/>
        <v>0</v>
      </c>
      <c r="AY56" s="23" t="str">
        <f>IF(SUMPRODUCT($J$76:AX$76,$J56:AX56)&lt;0.5, "Pending", IF(AX56&lt;0.5, "Complete", "In Progress"))</f>
        <v>Pending</v>
      </c>
      <c r="AZ56" s="22">
        <v>0</v>
      </c>
      <c r="BA56" s="22" t="e">
        <f>MAX(#REF!-AZ56,0)</f>
        <v>#REF!</v>
      </c>
      <c r="BB56" s="23" t="e">
        <f>IF(SUMPRODUCT($J$76:BA$76,$J56:BA56)&lt;0.5, "Pending", IF(BA56&lt;0.5, "Complete", "In Progress"))</f>
        <v>#REF!</v>
      </c>
      <c r="BC56" s="22">
        <v>0</v>
      </c>
      <c r="BD56" s="22" t="e">
        <f t="shared" si="38"/>
        <v>#REF!</v>
      </c>
      <c r="BE56" s="23" t="e">
        <f>IF(SUMPRODUCT($J$76:BD$76,$J56:BD56)&lt;0.5, "Pending", IF(BD56&lt;0.5, "Complete", "In Progress"))</f>
        <v>#REF!</v>
      </c>
      <c r="BF56" s="22">
        <v>0</v>
      </c>
      <c r="BG56" s="22" t="e">
        <f t="shared" si="39"/>
        <v>#REF!</v>
      </c>
      <c r="BH56" s="23" t="e">
        <f>IF(SUMPRODUCT($J$76:BG$76,$J56:BG56)&lt;0.5, "Pending", IF(BG56&lt;0.5, "Complete", "In Progress"))</f>
        <v>#REF!</v>
      </c>
      <c r="BI56" s="22">
        <v>0</v>
      </c>
      <c r="BJ56" s="22" t="e">
        <f t="shared" si="40"/>
        <v>#REF!</v>
      </c>
      <c r="BK56" s="23" t="e">
        <f>IF(SUMPRODUCT($J$76:BJ$76,$J56:BJ56)&lt;0.5, "Pending", IF(BJ56&lt;0.5, "Complete", "In Progress"))</f>
        <v>#REF!</v>
      </c>
      <c r="BL56" s="22">
        <v>0</v>
      </c>
      <c r="BM56" s="22" t="e">
        <f t="shared" si="41"/>
        <v>#REF!</v>
      </c>
      <c r="BN56" s="23" t="e">
        <f>IF(SUMPRODUCT($J$76:BM$76,$J56:BM56)&lt;0.5, "Pending", IF(BM56&lt;0.5, "Complete", "In Progress"))</f>
        <v>#REF!</v>
      </c>
      <c r="BO56" s="22">
        <v>0</v>
      </c>
      <c r="BP56" s="22" t="e">
        <f t="shared" si="42"/>
        <v>#REF!</v>
      </c>
      <c r="BQ56" s="23" t="e">
        <f>IF(SUMPRODUCT($J$76:BP$76,$J56:BP56)&lt;0.5, "Pending", IF(BP56&lt;0.5, "Complete", "In Progress"))</f>
        <v>#REF!</v>
      </c>
      <c r="BR56" s="22">
        <v>0</v>
      </c>
      <c r="BS56" s="22" t="e">
        <f t="shared" si="43"/>
        <v>#REF!</v>
      </c>
      <c r="BT56" s="23" t="e">
        <f>IF(SUMPRODUCT($J$76:BS$76,$J56:BS56)&lt;0.5, "Pending", IF(BS56&lt;0.5, "Complete", "In Progress"))</f>
        <v>#REF!</v>
      </c>
      <c r="BU56" s="22">
        <v>0</v>
      </c>
      <c r="BV56" s="22" t="e">
        <f t="shared" si="44"/>
        <v>#REF!</v>
      </c>
      <c r="BW56" s="23" t="e">
        <f>IF(SUMPRODUCT($J$76:BV$76,$J56:BV56)&lt;0.5, "Pending", IF(BV56&lt;0.5, "Complete", "In Progress"))</f>
        <v>#REF!</v>
      </c>
      <c r="BX56" s="22">
        <v>0</v>
      </c>
      <c r="BY56" s="22" t="e">
        <f t="shared" si="45"/>
        <v>#REF!</v>
      </c>
      <c r="BZ56" s="23" t="e">
        <f>IF(SUMPRODUCT($J$76:BY$76,$J56:BY56)&lt;0.5, "Pending", IF(BY56&lt;0.5, "Complete", "In Progress"))</f>
        <v>#REF!</v>
      </c>
      <c r="CA56" s="22">
        <v>0</v>
      </c>
      <c r="CB56" s="22" t="e">
        <f t="shared" si="46"/>
        <v>#REF!</v>
      </c>
      <c r="CC56" s="23" t="e">
        <f>IF(SUMPRODUCT($J$76:CB$76,$J56:CB56)&lt;0.5, "Pending", IF(CB56&lt;0.5, "Complete", "In Progress"))</f>
        <v>#REF!</v>
      </c>
      <c r="CD56" s="24"/>
      <c r="CE56" s="25">
        <f>SUMPRODUCT($H$76:AY$76,$H56:AY56)</f>
        <v>0</v>
      </c>
    </row>
    <row r="57" spans="1:83">
      <c r="A57" s="16"/>
      <c r="B57" s="16"/>
      <c r="C57" s="16"/>
      <c r="D57" s="17"/>
      <c r="E57" s="178"/>
      <c r="F57" s="18" t="s">
        <v>114</v>
      </c>
      <c r="G57" s="19" t="str">
        <f t="shared" ca="1" si="0"/>
        <v>Pending</v>
      </c>
      <c r="H57" s="20">
        <v>1</v>
      </c>
      <c r="I57" s="21">
        <v>0</v>
      </c>
      <c r="J57" s="22">
        <v>0</v>
      </c>
      <c r="K57" s="22">
        <f t="shared" si="24"/>
        <v>0</v>
      </c>
      <c r="L57" s="23" t="str">
        <f>IF(SUMPRODUCT($J$76:K$76,$J57:K57)&lt;0.5, "Pending", IF(K57&lt;0.5, "Complete", "In Progress"))</f>
        <v>Pending</v>
      </c>
      <c r="M57" s="22">
        <v>0</v>
      </c>
      <c r="N57" s="22">
        <f t="shared" si="25"/>
        <v>0</v>
      </c>
      <c r="O57" s="23" t="str">
        <f>IF(SUMPRODUCT($J$76:N$76,$J57:N57)&lt;0.5, "Pending", IF(N57&lt;0.5, "Complete", "In Progress"))</f>
        <v>Pending</v>
      </c>
      <c r="P57" s="22">
        <v>0</v>
      </c>
      <c r="Q57" s="22">
        <f t="shared" si="26"/>
        <v>0</v>
      </c>
      <c r="R57" s="23" t="str">
        <f>IF(SUMPRODUCT($J$76:Q$76,$J57:Q57)&lt;0.5, "Pending", IF(Q57&lt;0.5, "Complete", "In Progress"))</f>
        <v>Pending</v>
      </c>
      <c r="S57" s="22">
        <v>0</v>
      </c>
      <c r="T57" s="22">
        <f t="shared" si="27"/>
        <v>0</v>
      </c>
      <c r="U57" s="23" t="str">
        <f>IF(SUMPRODUCT($J$76:T$76,$J57:T57)&lt;0.5, "Pending", IF(T57&lt;0.5, "Complete", "In Progress"))</f>
        <v>Pending</v>
      </c>
      <c r="V57" s="22">
        <v>0</v>
      </c>
      <c r="W57" s="22">
        <f t="shared" si="28"/>
        <v>0</v>
      </c>
      <c r="X57" s="23" t="str">
        <f>IF(SUMPRODUCT($J$76:W$76,$J57:W57)&lt;0.5, "Pending", IF(W57&lt;0.5, "Complete", "In Progress"))</f>
        <v>Pending</v>
      </c>
      <c r="Y57" s="22">
        <v>0</v>
      </c>
      <c r="Z57" s="22">
        <f t="shared" si="29"/>
        <v>0</v>
      </c>
      <c r="AA57" s="23" t="str">
        <f>IF(SUMPRODUCT($J$76:Z$76,$J57:Z57)&lt;0.5, "Pending", IF(Z57&lt;0.5, "Complete", "In Progress"))</f>
        <v>Pending</v>
      </c>
      <c r="AB57" s="22">
        <v>0</v>
      </c>
      <c r="AC57" s="22">
        <f t="shared" si="30"/>
        <v>0</v>
      </c>
      <c r="AD57" s="23" t="str">
        <f>IF(SUMPRODUCT($J$76:AC$76,$J57:AC57)&lt;0.5, "Pending", IF(AC57&lt;0.5, "Complete", "In Progress"))</f>
        <v>Pending</v>
      </c>
      <c r="AE57" s="22">
        <v>0</v>
      </c>
      <c r="AF57" s="22">
        <f t="shared" si="31"/>
        <v>0</v>
      </c>
      <c r="AG57" s="23" t="str">
        <f>IF(SUMPRODUCT($J$76:AF$76,$J57:AF57)&lt;0.5, "Pending", IF(AF57&lt;0.5, "Complete", "In Progress"))</f>
        <v>Pending</v>
      </c>
      <c r="AH57" s="22">
        <v>0</v>
      </c>
      <c r="AI57" s="22">
        <f t="shared" si="32"/>
        <v>0</v>
      </c>
      <c r="AJ57" s="23" t="str">
        <f>IF(SUMPRODUCT($J$76:AI$76,$J57:AI57)&lt;0.5, "Pending", IF(AI57&lt;0.5, "Complete", "In Progress"))</f>
        <v>Pending</v>
      </c>
      <c r="AK57" s="22">
        <v>0</v>
      </c>
      <c r="AL57" s="22">
        <f t="shared" si="33"/>
        <v>0</v>
      </c>
      <c r="AM57" s="23" t="str">
        <f>IF(SUMPRODUCT($J$76:AL$76,$J57:AL57)&lt;0.5, "Pending", IF(AL57&lt;0.5, "Complete", "In Progress"))</f>
        <v>Pending</v>
      </c>
      <c r="AN57" s="22">
        <v>0</v>
      </c>
      <c r="AO57" s="22">
        <f t="shared" si="34"/>
        <v>0</v>
      </c>
      <c r="AP57" s="23" t="str">
        <f>IF(SUMPRODUCT($J$76:AO$76,$J57:AO57)&lt;0.5, "Pending", IF(AO57&lt;0.5, "Complete", "In Progress"))</f>
        <v>Pending</v>
      </c>
      <c r="AQ57" s="22">
        <v>0</v>
      </c>
      <c r="AR57" s="22">
        <f t="shared" si="35"/>
        <v>0</v>
      </c>
      <c r="AS57" s="23" t="str">
        <f>IF(SUMPRODUCT($J$76:AR$76,$J57:AR57)&lt;0.5, "Pending", IF(AR57&lt;0.5, "Complete", "In Progress"))</f>
        <v>Pending</v>
      </c>
      <c r="AT57" s="22">
        <v>0</v>
      </c>
      <c r="AU57" s="22">
        <f t="shared" si="36"/>
        <v>0</v>
      </c>
      <c r="AV57" s="23" t="str">
        <f>IF(SUMPRODUCT($J$76:AU$76,$J57:AU57)&lt;0.5, "Pending", IF(AU57&lt;0.5, "Complete", "In Progress"))</f>
        <v>Pending</v>
      </c>
      <c r="AW57" s="22">
        <v>0</v>
      </c>
      <c r="AX57" s="22">
        <f t="shared" si="37"/>
        <v>0</v>
      </c>
      <c r="AY57" s="23" t="str">
        <f>IF(SUMPRODUCT($J$76:AX$76,$J57:AX57)&lt;0.5, "Pending", IF(AX57&lt;0.5, "Complete", "In Progress"))</f>
        <v>Pending</v>
      </c>
      <c r="AZ57" s="22">
        <v>0</v>
      </c>
      <c r="BA57" s="22" t="e">
        <f>MAX(#REF!-AZ57,0)</f>
        <v>#REF!</v>
      </c>
      <c r="BB57" s="23" t="e">
        <f>IF(SUMPRODUCT($J$76:BA$76,$J57:BA57)&lt;0.5, "Pending", IF(BA57&lt;0.5, "Complete", "In Progress"))</f>
        <v>#REF!</v>
      </c>
      <c r="BC57" s="22">
        <v>0</v>
      </c>
      <c r="BD57" s="22" t="e">
        <f t="shared" si="38"/>
        <v>#REF!</v>
      </c>
      <c r="BE57" s="23" t="e">
        <f>IF(SUMPRODUCT($J$76:BD$76,$J57:BD57)&lt;0.5, "Pending", IF(BD57&lt;0.5, "Complete", "In Progress"))</f>
        <v>#REF!</v>
      </c>
      <c r="BF57" s="22">
        <v>0</v>
      </c>
      <c r="BG57" s="22" t="e">
        <f t="shared" si="39"/>
        <v>#REF!</v>
      </c>
      <c r="BH57" s="23" t="e">
        <f>IF(SUMPRODUCT($J$76:BG$76,$J57:BG57)&lt;0.5, "Pending", IF(BG57&lt;0.5, "Complete", "In Progress"))</f>
        <v>#REF!</v>
      </c>
      <c r="BI57" s="22">
        <v>0</v>
      </c>
      <c r="BJ57" s="22" t="e">
        <f t="shared" si="40"/>
        <v>#REF!</v>
      </c>
      <c r="BK57" s="23" t="e">
        <f>IF(SUMPRODUCT($J$76:BJ$76,$J57:BJ57)&lt;0.5, "Pending", IF(BJ57&lt;0.5, "Complete", "In Progress"))</f>
        <v>#REF!</v>
      </c>
      <c r="BL57" s="22">
        <v>0</v>
      </c>
      <c r="BM57" s="22" t="e">
        <f t="shared" si="41"/>
        <v>#REF!</v>
      </c>
      <c r="BN57" s="23" t="e">
        <f>IF(SUMPRODUCT($J$76:BM$76,$J57:BM57)&lt;0.5, "Pending", IF(BM57&lt;0.5, "Complete", "In Progress"))</f>
        <v>#REF!</v>
      </c>
      <c r="BO57" s="22">
        <v>0</v>
      </c>
      <c r="BP57" s="22" t="e">
        <f t="shared" si="42"/>
        <v>#REF!</v>
      </c>
      <c r="BQ57" s="23" t="e">
        <f>IF(SUMPRODUCT($J$76:BP$76,$J57:BP57)&lt;0.5, "Pending", IF(BP57&lt;0.5, "Complete", "In Progress"))</f>
        <v>#REF!</v>
      </c>
      <c r="BR57" s="22">
        <v>0</v>
      </c>
      <c r="BS57" s="22" t="e">
        <f t="shared" si="43"/>
        <v>#REF!</v>
      </c>
      <c r="BT57" s="23" t="e">
        <f>IF(SUMPRODUCT($J$76:BS$76,$J57:BS57)&lt;0.5, "Pending", IF(BS57&lt;0.5, "Complete", "In Progress"))</f>
        <v>#REF!</v>
      </c>
      <c r="BU57" s="22">
        <v>0</v>
      </c>
      <c r="BV57" s="22" t="e">
        <f t="shared" si="44"/>
        <v>#REF!</v>
      </c>
      <c r="BW57" s="23" t="e">
        <f>IF(SUMPRODUCT($J$76:BV$76,$J57:BV57)&lt;0.5, "Pending", IF(BV57&lt;0.5, "Complete", "In Progress"))</f>
        <v>#REF!</v>
      </c>
      <c r="BX57" s="22">
        <v>0</v>
      </c>
      <c r="BY57" s="22" t="e">
        <f t="shared" si="45"/>
        <v>#REF!</v>
      </c>
      <c r="BZ57" s="23" t="e">
        <f>IF(SUMPRODUCT($J$76:BY$76,$J57:BY57)&lt;0.5, "Pending", IF(BY57&lt;0.5, "Complete", "In Progress"))</f>
        <v>#REF!</v>
      </c>
      <c r="CA57" s="22">
        <v>0</v>
      </c>
      <c r="CB57" s="22" t="e">
        <f t="shared" si="46"/>
        <v>#REF!</v>
      </c>
      <c r="CC57" s="23" t="e">
        <f>IF(SUMPRODUCT($J$76:CB$76,$J57:CB57)&lt;0.5, "Pending", IF(CB57&lt;0.5, "Complete", "In Progress"))</f>
        <v>#REF!</v>
      </c>
      <c r="CD57" s="24"/>
      <c r="CE57" s="25">
        <f>SUMPRODUCT($H$76:AY$76,$H57:AY57)</f>
        <v>0</v>
      </c>
    </row>
    <row r="58" spans="1:83">
      <c r="A58" s="16"/>
      <c r="B58" s="16"/>
      <c r="C58" s="16"/>
      <c r="D58" s="17"/>
      <c r="E58" s="178"/>
      <c r="F58" s="18" t="s">
        <v>114</v>
      </c>
      <c r="G58" s="19" t="str">
        <f t="shared" ca="1" si="0"/>
        <v>Pending</v>
      </c>
      <c r="H58" s="20">
        <v>1</v>
      </c>
      <c r="I58" s="21">
        <v>0</v>
      </c>
      <c r="J58" s="22">
        <v>0</v>
      </c>
      <c r="K58" s="22">
        <f t="shared" si="24"/>
        <v>0</v>
      </c>
      <c r="L58" s="23" t="str">
        <f>IF(SUMPRODUCT($J$76:K$76,$J58:K58)&lt;0.5, "Pending", IF(K58&lt;0.5, "Complete", "In Progress"))</f>
        <v>Pending</v>
      </c>
      <c r="M58" s="22">
        <v>0</v>
      </c>
      <c r="N58" s="22">
        <f t="shared" si="25"/>
        <v>0</v>
      </c>
      <c r="O58" s="23" t="str">
        <f>IF(SUMPRODUCT($J$76:N$76,$J58:N58)&lt;0.5, "Pending", IF(N58&lt;0.5, "Complete", "In Progress"))</f>
        <v>Pending</v>
      </c>
      <c r="P58" s="22">
        <v>0</v>
      </c>
      <c r="Q58" s="22">
        <f t="shared" si="26"/>
        <v>0</v>
      </c>
      <c r="R58" s="23" t="str">
        <f>IF(SUMPRODUCT($J$76:Q$76,$J58:Q58)&lt;0.5, "Pending", IF(Q58&lt;0.5, "Complete", "In Progress"))</f>
        <v>Pending</v>
      </c>
      <c r="S58" s="22">
        <v>0</v>
      </c>
      <c r="T58" s="22">
        <f t="shared" si="27"/>
        <v>0</v>
      </c>
      <c r="U58" s="23" t="str">
        <f>IF(SUMPRODUCT($J$76:T$76,$J58:T58)&lt;0.5, "Pending", IF(T58&lt;0.5, "Complete", "In Progress"))</f>
        <v>Pending</v>
      </c>
      <c r="V58" s="22">
        <v>0</v>
      </c>
      <c r="W58" s="22">
        <f t="shared" si="28"/>
        <v>0</v>
      </c>
      <c r="X58" s="23" t="str">
        <f>IF(SUMPRODUCT($J$76:W$76,$J58:W58)&lt;0.5, "Pending", IF(W58&lt;0.5, "Complete", "In Progress"))</f>
        <v>Pending</v>
      </c>
      <c r="Y58" s="22">
        <v>0</v>
      </c>
      <c r="Z58" s="22">
        <f t="shared" si="29"/>
        <v>0</v>
      </c>
      <c r="AA58" s="23" t="str">
        <f>IF(SUMPRODUCT($J$76:Z$76,$J58:Z58)&lt;0.5, "Pending", IF(Z58&lt;0.5, "Complete", "In Progress"))</f>
        <v>Pending</v>
      </c>
      <c r="AB58" s="22">
        <v>0</v>
      </c>
      <c r="AC58" s="22">
        <f t="shared" si="30"/>
        <v>0</v>
      </c>
      <c r="AD58" s="23" t="str">
        <f>IF(SUMPRODUCT($J$76:AC$76,$J58:AC58)&lt;0.5, "Pending", IF(AC58&lt;0.5, "Complete", "In Progress"))</f>
        <v>Pending</v>
      </c>
      <c r="AE58" s="22">
        <v>0</v>
      </c>
      <c r="AF58" s="22">
        <f t="shared" si="31"/>
        <v>0</v>
      </c>
      <c r="AG58" s="23" t="str">
        <f>IF(SUMPRODUCT($J$76:AF$76,$J58:AF58)&lt;0.5, "Pending", IF(AF58&lt;0.5, "Complete", "In Progress"))</f>
        <v>Pending</v>
      </c>
      <c r="AH58" s="22">
        <v>0</v>
      </c>
      <c r="AI58" s="22">
        <f t="shared" si="32"/>
        <v>0</v>
      </c>
      <c r="AJ58" s="23" t="str">
        <f>IF(SUMPRODUCT($J$76:AI$76,$J58:AI58)&lt;0.5, "Pending", IF(AI58&lt;0.5, "Complete", "In Progress"))</f>
        <v>Pending</v>
      </c>
      <c r="AK58" s="22">
        <v>0</v>
      </c>
      <c r="AL58" s="22">
        <f t="shared" si="33"/>
        <v>0</v>
      </c>
      <c r="AM58" s="23" t="str">
        <f>IF(SUMPRODUCT($J$76:AL$76,$J58:AL58)&lt;0.5, "Pending", IF(AL58&lt;0.5, "Complete", "In Progress"))</f>
        <v>Pending</v>
      </c>
      <c r="AN58" s="22">
        <v>0</v>
      </c>
      <c r="AO58" s="22">
        <f t="shared" si="34"/>
        <v>0</v>
      </c>
      <c r="AP58" s="23" t="str">
        <f>IF(SUMPRODUCT($J$76:AO$76,$J58:AO58)&lt;0.5, "Pending", IF(AO58&lt;0.5, "Complete", "In Progress"))</f>
        <v>Pending</v>
      </c>
      <c r="AQ58" s="22">
        <v>0</v>
      </c>
      <c r="AR58" s="22">
        <f t="shared" si="35"/>
        <v>0</v>
      </c>
      <c r="AS58" s="23" t="str">
        <f>IF(SUMPRODUCT($J$76:AR$76,$J58:AR58)&lt;0.5, "Pending", IF(AR58&lt;0.5, "Complete", "In Progress"))</f>
        <v>Pending</v>
      </c>
      <c r="AT58" s="22">
        <v>0</v>
      </c>
      <c r="AU58" s="22">
        <f t="shared" si="36"/>
        <v>0</v>
      </c>
      <c r="AV58" s="23" t="str">
        <f>IF(SUMPRODUCT($J$76:AU$76,$J58:AU58)&lt;0.5, "Pending", IF(AU58&lt;0.5, "Complete", "In Progress"))</f>
        <v>Pending</v>
      </c>
      <c r="AW58" s="22">
        <v>0</v>
      </c>
      <c r="AX58" s="22">
        <f t="shared" si="37"/>
        <v>0</v>
      </c>
      <c r="AY58" s="23" t="str">
        <f>IF(SUMPRODUCT($J$76:AX$76,$J58:AX58)&lt;0.5, "Pending", IF(AX58&lt;0.5, "Complete", "In Progress"))</f>
        <v>Pending</v>
      </c>
      <c r="AZ58" s="22">
        <v>0</v>
      </c>
      <c r="BA58" s="22" t="e">
        <f>MAX(#REF!-AZ58,0)</f>
        <v>#REF!</v>
      </c>
      <c r="BB58" s="23" t="e">
        <f>IF(SUMPRODUCT($J$76:BA$76,$J58:BA58)&lt;0.5, "Pending", IF(BA58&lt;0.5, "Complete", "In Progress"))</f>
        <v>#REF!</v>
      </c>
      <c r="BC58" s="22">
        <v>0</v>
      </c>
      <c r="BD58" s="22" t="e">
        <f t="shared" si="38"/>
        <v>#REF!</v>
      </c>
      <c r="BE58" s="23" t="e">
        <f>IF(SUMPRODUCT($J$76:BD$76,$J58:BD58)&lt;0.5, "Pending", IF(BD58&lt;0.5, "Complete", "In Progress"))</f>
        <v>#REF!</v>
      </c>
      <c r="BF58" s="22">
        <v>0</v>
      </c>
      <c r="BG58" s="22" t="e">
        <f t="shared" si="39"/>
        <v>#REF!</v>
      </c>
      <c r="BH58" s="23" t="e">
        <f>IF(SUMPRODUCT($J$76:BG$76,$J58:BG58)&lt;0.5, "Pending", IF(BG58&lt;0.5, "Complete", "In Progress"))</f>
        <v>#REF!</v>
      </c>
      <c r="BI58" s="22">
        <v>0</v>
      </c>
      <c r="BJ58" s="22" t="e">
        <f t="shared" si="40"/>
        <v>#REF!</v>
      </c>
      <c r="BK58" s="23" t="e">
        <f>IF(SUMPRODUCT($J$76:BJ$76,$J58:BJ58)&lt;0.5, "Pending", IF(BJ58&lt;0.5, "Complete", "In Progress"))</f>
        <v>#REF!</v>
      </c>
      <c r="BL58" s="22">
        <v>0</v>
      </c>
      <c r="BM58" s="22" t="e">
        <f t="shared" si="41"/>
        <v>#REF!</v>
      </c>
      <c r="BN58" s="23" t="e">
        <f>IF(SUMPRODUCT($J$76:BM$76,$J58:BM58)&lt;0.5, "Pending", IF(BM58&lt;0.5, "Complete", "In Progress"))</f>
        <v>#REF!</v>
      </c>
      <c r="BO58" s="22">
        <v>0</v>
      </c>
      <c r="BP58" s="22" t="e">
        <f t="shared" si="42"/>
        <v>#REF!</v>
      </c>
      <c r="BQ58" s="23" t="e">
        <f>IF(SUMPRODUCT($J$76:BP$76,$J58:BP58)&lt;0.5, "Pending", IF(BP58&lt;0.5, "Complete", "In Progress"))</f>
        <v>#REF!</v>
      </c>
      <c r="BR58" s="22">
        <v>0</v>
      </c>
      <c r="BS58" s="22" t="e">
        <f t="shared" si="43"/>
        <v>#REF!</v>
      </c>
      <c r="BT58" s="23" t="e">
        <f>IF(SUMPRODUCT($J$76:BS$76,$J58:BS58)&lt;0.5, "Pending", IF(BS58&lt;0.5, "Complete", "In Progress"))</f>
        <v>#REF!</v>
      </c>
      <c r="BU58" s="22">
        <v>0</v>
      </c>
      <c r="BV58" s="22" t="e">
        <f t="shared" si="44"/>
        <v>#REF!</v>
      </c>
      <c r="BW58" s="23" t="e">
        <f>IF(SUMPRODUCT($J$76:BV$76,$J58:BV58)&lt;0.5, "Pending", IF(BV58&lt;0.5, "Complete", "In Progress"))</f>
        <v>#REF!</v>
      </c>
      <c r="BX58" s="22">
        <v>0</v>
      </c>
      <c r="BY58" s="22" t="e">
        <f t="shared" si="45"/>
        <v>#REF!</v>
      </c>
      <c r="BZ58" s="23" t="e">
        <f>IF(SUMPRODUCT($J$76:BY$76,$J58:BY58)&lt;0.5, "Pending", IF(BY58&lt;0.5, "Complete", "In Progress"))</f>
        <v>#REF!</v>
      </c>
      <c r="CA58" s="22">
        <v>0</v>
      </c>
      <c r="CB58" s="22" t="e">
        <f t="shared" si="46"/>
        <v>#REF!</v>
      </c>
      <c r="CC58" s="23" t="e">
        <f>IF(SUMPRODUCT($J$76:CB$76,$J58:CB58)&lt;0.5, "Pending", IF(CB58&lt;0.5, "Complete", "In Progress"))</f>
        <v>#REF!</v>
      </c>
      <c r="CD58" s="24"/>
      <c r="CE58" s="25">
        <f>SUMPRODUCT($H$76:AY$76,$H58:AY58)</f>
        <v>0</v>
      </c>
    </row>
    <row r="59" spans="1:83">
      <c r="A59" s="16"/>
      <c r="B59" s="16"/>
      <c r="C59" s="16"/>
      <c r="D59" s="17"/>
      <c r="E59" s="178"/>
      <c r="F59" s="18" t="s">
        <v>114</v>
      </c>
      <c r="G59" s="19" t="str">
        <f t="shared" ca="1" si="0"/>
        <v>Pending</v>
      </c>
      <c r="H59" s="20">
        <v>1</v>
      </c>
      <c r="I59" s="21">
        <v>0</v>
      </c>
      <c r="J59" s="22">
        <v>0</v>
      </c>
      <c r="K59" s="22">
        <f t="shared" si="24"/>
        <v>0</v>
      </c>
      <c r="L59" s="23" t="str">
        <f>IF(SUMPRODUCT($J$76:K$76,$J59:K59)&lt;0.5, "Pending", IF(K59&lt;0.5, "Complete", "In Progress"))</f>
        <v>Pending</v>
      </c>
      <c r="M59" s="22">
        <v>0</v>
      </c>
      <c r="N59" s="22">
        <f t="shared" si="25"/>
        <v>0</v>
      </c>
      <c r="O59" s="23" t="str">
        <f>IF(SUMPRODUCT($J$76:N$76,$J59:N59)&lt;0.5, "Pending", IF(N59&lt;0.5, "Complete", "In Progress"))</f>
        <v>Pending</v>
      </c>
      <c r="P59" s="22">
        <v>0</v>
      </c>
      <c r="Q59" s="22">
        <f t="shared" si="26"/>
        <v>0</v>
      </c>
      <c r="R59" s="23" t="str">
        <f>IF(SUMPRODUCT($J$76:Q$76,$J59:Q59)&lt;0.5, "Pending", IF(Q59&lt;0.5, "Complete", "In Progress"))</f>
        <v>Pending</v>
      </c>
      <c r="S59" s="22">
        <v>0</v>
      </c>
      <c r="T59" s="22">
        <f t="shared" si="27"/>
        <v>0</v>
      </c>
      <c r="U59" s="23" t="str">
        <f>IF(SUMPRODUCT($J$76:T$76,$J59:T59)&lt;0.5, "Pending", IF(T59&lt;0.5, "Complete", "In Progress"))</f>
        <v>Pending</v>
      </c>
      <c r="V59" s="22">
        <v>0</v>
      </c>
      <c r="W59" s="22">
        <f t="shared" si="28"/>
        <v>0</v>
      </c>
      <c r="X59" s="23" t="str">
        <f>IF(SUMPRODUCT($J$76:W$76,$J59:W59)&lt;0.5, "Pending", IF(W59&lt;0.5, "Complete", "In Progress"))</f>
        <v>Pending</v>
      </c>
      <c r="Y59" s="22">
        <v>0</v>
      </c>
      <c r="Z59" s="22">
        <f t="shared" si="29"/>
        <v>0</v>
      </c>
      <c r="AA59" s="23" t="str">
        <f>IF(SUMPRODUCT($J$76:Z$76,$J59:Z59)&lt;0.5, "Pending", IF(Z59&lt;0.5, "Complete", "In Progress"))</f>
        <v>Pending</v>
      </c>
      <c r="AB59" s="22">
        <v>0</v>
      </c>
      <c r="AC59" s="22">
        <f t="shared" si="30"/>
        <v>0</v>
      </c>
      <c r="AD59" s="23" t="str">
        <f>IF(SUMPRODUCT($J$76:AC$76,$J59:AC59)&lt;0.5, "Pending", IF(AC59&lt;0.5, "Complete", "In Progress"))</f>
        <v>Pending</v>
      </c>
      <c r="AE59" s="22">
        <v>0</v>
      </c>
      <c r="AF59" s="22">
        <f t="shared" si="31"/>
        <v>0</v>
      </c>
      <c r="AG59" s="23" t="str">
        <f>IF(SUMPRODUCT($J$76:AF$76,$J59:AF59)&lt;0.5, "Pending", IF(AF59&lt;0.5, "Complete", "In Progress"))</f>
        <v>Pending</v>
      </c>
      <c r="AH59" s="22">
        <v>0</v>
      </c>
      <c r="AI59" s="22">
        <f t="shared" si="32"/>
        <v>0</v>
      </c>
      <c r="AJ59" s="23" t="str">
        <f>IF(SUMPRODUCT($J$76:AI$76,$J59:AI59)&lt;0.5, "Pending", IF(AI59&lt;0.5, "Complete", "In Progress"))</f>
        <v>Pending</v>
      </c>
      <c r="AK59" s="22">
        <v>0</v>
      </c>
      <c r="AL59" s="22">
        <f t="shared" si="33"/>
        <v>0</v>
      </c>
      <c r="AM59" s="23" t="str">
        <f>IF(SUMPRODUCT($J$76:AL$76,$J59:AL59)&lt;0.5, "Pending", IF(AL59&lt;0.5, "Complete", "In Progress"))</f>
        <v>Pending</v>
      </c>
      <c r="AN59" s="22">
        <v>0</v>
      </c>
      <c r="AO59" s="22">
        <f t="shared" si="34"/>
        <v>0</v>
      </c>
      <c r="AP59" s="23" t="str">
        <f>IF(SUMPRODUCT($J$76:AO$76,$J59:AO59)&lt;0.5, "Pending", IF(AO59&lt;0.5, "Complete", "In Progress"))</f>
        <v>Pending</v>
      </c>
      <c r="AQ59" s="22">
        <v>0</v>
      </c>
      <c r="AR59" s="22">
        <f t="shared" si="35"/>
        <v>0</v>
      </c>
      <c r="AS59" s="23" t="str">
        <f>IF(SUMPRODUCT($J$76:AR$76,$J59:AR59)&lt;0.5, "Pending", IF(AR59&lt;0.5, "Complete", "In Progress"))</f>
        <v>Pending</v>
      </c>
      <c r="AT59" s="22">
        <v>0</v>
      </c>
      <c r="AU59" s="22">
        <f t="shared" si="36"/>
        <v>0</v>
      </c>
      <c r="AV59" s="23" t="str">
        <f>IF(SUMPRODUCT($J$76:AU$76,$J59:AU59)&lt;0.5, "Pending", IF(AU59&lt;0.5, "Complete", "In Progress"))</f>
        <v>Pending</v>
      </c>
      <c r="AW59" s="22">
        <v>0</v>
      </c>
      <c r="AX59" s="22">
        <f t="shared" si="37"/>
        <v>0</v>
      </c>
      <c r="AY59" s="23" t="str">
        <f>IF(SUMPRODUCT($J$76:AX$76,$J59:AX59)&lt;0.5, "Pending", IF(AX59&lt;0.5, "Complete", "In Progress"))</f>
        <v>Pending</v>
      </c>
      <c r="AZ59" s="22">
        <v>0</v>
      </c>
      <c r="BA59" s="22" t="e">
        <f>MAX(#REF!-AZ59,0)</f>
        <v>#REF!</v>
      </c>
      <c r="BB59" s="23" t="e">
        <f>IF(SUMPRODUCT($J$76:BA$76,$J59:BA59)&lt;0.5, "Pending", IF(BA59&lt;0.5, "Complete", "In Progress"))</f>
        <v>#REF!</v>
      </c>
      <c r="BC59" s="22">
        <v>0</v>
      </c>
      <c r="BD59" s="22" t="e">
        <f t="shared" si="38"/>
        <v>#REF!</v>
      </c>
      <c r="BE59" s="23" t="e">
        <f>IF(SUMPRODUCT($J$76:BD$76,$J59:BD59)&lt;0.5, "Pending", IF(BD59&lt;0.5, "Complete", "In Progress"))</f>
        <v>#REF!</v>
      </c>
      <c r="BF59" s="22">
        <v>0</v>
      </c>
      <c r="BG59" s="22" t="e">
        <f t="shared" si="39"/>
        <v>#REF!</v>
      </c>
      <c r="BH59" s="23" t="e">
        <f>IF(SUMPRODUCT($J$76:BG$76,$J59:BG59)&lt;0.5, "Pending", IF(BG59&lt;0.5, "Complete", "In Progress"))</f>
        <v>#REF!</v>
      </c>
      <c r="BI59" s="22">
        <v>0</v>
      </c>
      <c r="BJ59" s="22" t="e">
        <f t="shared" si="40"/>
        <v>#REF!</v>
      </c>
      <c r="BK59" s="23" t="e">
        <f>IF(SUMPRODUCT($J$76:BJ$76,$J59:BJ59)&lt;0.5, "Pending", IF(BJ59&lt;0.5, "Complete", "In Progress"))</f>
        <v>#REF!</v>
      </c>
      <c r="BL59" s="22">
        <v>0</v>
      </c>
      <c r="BM59" s="22" t="e">
        <f t="shared" si="41"/>
        <v>#REF!</v>
      </c>
      <c r="BN59" s="23" t="e">
        <f>IF(SUMPRODUCT($J$76:BM$76,$J59:BM59)&lt;0.5, "Pending", IF(BM59&lt;0.5, "Complete", "In Progress"))</f>
        <v>#REF!</v>
      </c>
      <c r="BO59" s="22">
        <v>0</v>
      </c>
      <c r="BP59" s="22" t="e">
        <f t="shared" si="42"/>
        <v>#REF!</v>
      </c>
      <c r="BQ59" s="23" t="e">
        <f>IF(SUMPRODUCT($J$76:BP$76,$J59:BP59)&lt;0.5, "Pending", IF(BP59&lt;0.5, "Complete", "In Progress"))</f>
        <v>#REF!</v>
      </c>
      <c r="BR59" s="22">
        <v>0</v>
      </c>
      <c r="BS59" s="22" t="e">
        <f t="shared" si="43"/>
        <v>#REF!</v>
      </c>
      <c r="BT59" s="23" t="e">
        <f>IF(SUMPRODUCT($J$76:BS$76,$J59:BS59)&lt;0.5, "Pending", IF(BS59&lt;0.5, "Complete", "In Progress"))</f>
        <v>#REF!</v>
      </c>
      <c r="BU59" s="22">
        <v>0</v>
      </c>
      <c r="BV59" s="22" t="e">
        <f t="shared" si="44"/>
        <v>#REF!</v>
      </c>
      <c r="BW59" s="23" t="e">
        <f>IF(SUMPRODUCT($J$76:BV$76,$J59:BV59)&lt;0.5, "Pending", IF(BV59&lt;0.5, "Complete", "In Progress"))</f>
        <v>#REF!</v>
      </c>
      <c r="BX59" s="22">
        <v>0</v>
      </c>
      <c r="BY59" s="22" t="e">
        <f t="shared" si="45"/>
        <v>#REF!</v>
      </c>
      <c r="BZ59" s="23" t="e">
        <f>IF(SUMPRODUCT($J$76:BY$76,$J59:BY59)&lt;0.5, "Pending", IF(BY59&lt;0.5, "Complete", "In Progress"))</f>
        <v>#REF!</v>
      </c>
      <c r="CA59" s="22">
        <v>0</v>
      </c>
      <c r="CB59" s="22" t="e">
        <f t="shared" si="46"/>
        <v>#REF!</v>
      </c>
      <c r="CC59" s="23" t="e">
        <f>IF(SUMPRODUCT($J$76:CB$76,$J59:CB59)&lt;0.5, "Pending", IF(CB59&lt;0.5, "Complete", "In Progress"))</f>
        <v>#REF!</v>
      </c>
      <c r="CD59" s="24"/>
      <c r="CE59" s="25">
        <f>SUMPRODUCT($H$76:AY$76,$H59:AY59)</f>
        <v>0</v>
      </c>
    </row>
    <row r="60" spans="1:83">
      <c r="A60" s="16"/>
      <c r="B60" s="16"/>
      <c r="C60" s="16"/>
      <c r="D60" s="17"/>
      <c r="E60" s="178"/>
      <c r="F60" s="18" t="s">
        <v>114</v>
      </c>
      <c r="G60" s="19" t="str">
        <f t="shared" ca="1" si="0"/>
        <v>Pending</v>
      </c>
      <c r="H60" s="20">
        <v>1</v>
      </c>
      <c r="I60" s="21">
        <v>0</v>
      </c>
      <c r="J60" s="22">
        <v>0</v>
      </c>
      <c r="K60" s="22">
        <f t="shared" si="24"/>
        <v>0</v>
      </c>
      <c r="L60" s="23" t="str">
        <f>IF(SUMPRODUCT($J$76:K$76,$J60:K60)&lt;0.5, "Pending", IF(K60&lt;0.5, "Complete", "In Progress"))</f>
        <v>Pending</v>
      </c>
      <c r="M60" s="22">
        <v>0</v>
      </c>
      <c r="N60" s="22">
        <f t="shared" si="25"/>
        <v>0</v>
      </c>
      <c r="O60" s="23" t="str">
        <f>IF(SUMPRODUCT($J$76:N$76,$J60:N60)&lt;0.5, "Pending", IF(N60&lt;0.5, "Complete", "In Progress"))</f>
        <v>Pending</v>
      </c>
      <c r="P60" s="22">
        <v>0</v>
      </c>
      <c r="Q60" s="22">
        <f t="shared" si="26"/>
        <v>0</v>
      </c>
      <c r="R60" s="23" t="str">
        <f>IF(SUMPRODUCT($J$76:Q$76,$J60:Q60)&lt;0.5, "Pending", IF(Q60&lt;0.5, "Complete", "In Progress"))</f>
        <v>Pending</v>
      </c>
      <c r="S60" s="22">
        <v>0</v>
      </c>
      <c r="T60" s="22">
        <f t="shared" si="27"/>
        <v>0</v>
      </c>
      <c r="U60" s="23" t="str">
        <f>IF(SUMPRODUCT($J$76:T$76,$J60:T60)&lt;0.5, "Pending", IF(T60&lt;0.5, "Complete", "In Progress"))</f>
        <v>Pending</v>
      </c>
      <c r="V60" s="22">
        <v>0</v>
      </c>
      <c r="W60" s="22">
        <f t="shared" si="28"/>
        <v>0</v>
      </c>
      <c r="X60" s="23" t="str">
        <f>IF(SUMPRODUCT($J$76:W$76,$J60:W60)&lt;0.5, "Pending", IF(W60&lt;0.5, "Complete", "In Progress"))</f>
        <v>Pending</v>
      </c>
      <c r="Y60" s="22">
        <v>0</v>
      </c>
      <c r="Z60" s="22">
        <f t="shared" si="29"/>
        <v>0</v>
      </c>
      <c r="AA60" s="23" t="str">
        <f>IF(SUMPRODUCT($J$76:Z$76,$J60:Z60)&lt;0.5, "Pending", IF(Z60&lt;0.5, "Complete", "In Progress"))</f>
        <v>Pending</v>
      </c>
      <c r="AB60" s="22">
        <v>0</v>
      </c>
      <c r="AC60" s="22">
        <f t="shared" si="30"/>
        <v>0</v>
      </c>
      <c r="AD60" s="23" t="str">
        <f>IF(SUMPRODUCT($J$76:AC$76,$J60:AC60)&lt;0.5, "Pending", IF(AC60&lt;0.5, "Complete", "In Progress"))</f>
        <v>Pending</v>
      </c>
      <c r="AE60" s="22">
        <v>0</v>
      </c>
      <c r="AF60" s="22">
        <f t="shared" si="31"/>
        <v>0</v>
      </c>
      <c r="AG60" s="23" t="str">
        <f>IF(SUMPRODUCT($J$76:AF$76,$J60:AF60)&lt;0.5, "Pending", IF(AF60&lt;0.5, "Complete", "In Progress"))</f>
        <v>Pending</v>
      </c>
      <c r="AH60" s="22">
        <v>0</v>
      </c>
      <c r="AI60" s="22">
        <f t="shared" si="32"/>
        <v>0</v>
      </c>
      <c r="AJ60" s="23" t="str">
        <f>IF(SUMPRODUCT($J$76:AI$76,$J60:AI60)&lt;0.5, "Pending", IF(AI60&lt;0.5, "Complete", "In Progress"))</f>
        <v>Pending</v>
      </c>
      <c r="AK60" s="22">
        <v>0</v>
      </c>
      <c r="AL60" s="22">
        <f t="shared" si="33"/>
        <v>0</v>
      </c>
      <c r="AM60" s="23" t="str">
        <f>IF(SUMPRODUCT($J$76:AL$76,$J60:AL60)&lt;0.5, "Pending", IF(AL60&lt;0.5, "Complete", "In Progress"))</f>
        <v>Pending</v>
      </c>
      <c r="AN60" s="22">
        <v>0</v>
      </c>
      <c r="AO60" s="22">
        <f t="shared" si="34"/>
        <v>0</v>
      </c>
      <c r="AP60" s="23" t="str">
        <f>IF(SUMPRODUCT($J$76:AO$76,$J60:AO60)&lt;0.5, "Pending", IF(AO60&lt;0.5, "Complete", "In Progress"))</f>
        <v>Pending</v>
      </c>
      <c r="AQ60" s="22">
        <v>0</v>
      </c>
      <c r="AR60" s="22">
        <f t="shared" si="35"/>
        <v>0</v>
      </c>
      <c r="AS60" s="23" t="str">
        <f>IF(SUMPRODUCT($J$76:AR$76,$J60:AR60)&lt;0.5, "Pending", IF(AR60&lt;0.5, "Complete", "In Progress"))</f>
        <v>Pending</v>
      </c>
      <c r="AT60" s="22">
        <v>0</v>
      </c>
      <c r="AU60" s="22">
        <f t="shared" si="36"/>
        <v>0</v>
      </c>
      <c r="AV60" s="23" t="str">
        <f>IF(SUMPRODUCT($J$76:AU$76,$J60:AU60)&lt;0.5, "Pending", IF(AU60&lt;0.5, "Complete", "In Progress"))</f>
        <v>Pending</v>
      </c>
      <c r="AW60" s="22">
        <v>0</v>
      </c>
      <c r="AX60" s="22">
        <f t="shared" si="37"/>
        <v>0</v>
      </c>
      <c r="AY60" s="23" t="str">
        <f>IF(SUMPRODUCT($J$76:AX$76,$J60:AX60)&lt;0.5, "Pending", IF(AX60&lt;0.5, "Complete", "In Progress"))</f>
        <v>Pending</v>
      </c>
      <c r="AZ60" s="22">
        <v>0</v>
      </c>
      <c r="BA60" s="22" t="e">
        <f>MAX(#REF!-AZ60,0)</f>
        <v>#REF!</v>
      </c>
      <c r="BB60" s="23" t="e">
        <f>IF(SUMPRODUCT($J$76:BA$76,$J60:BA60)&lt;0.5, "Pending", IF(BA60&lt;0.5, "Complete", "In Progress"))</f>
        <v>#REF!</v>
      </c>
      <c r="BC60" s="22">
        <v>0</v>
      </c>
      <c r="BD60" s="22" t="e">
        <f t="shared" si="38"/>
        <v>#REF!</v>
      </c>
      <c r="BE60" s="23" t="e">
        <f>IF(SUMPRODUCT($J$76:BD$76,$J60:BD60)&lt;0.5, "Pending", IF(BD60&lt;0.5, "Complete", "In Progress"))</f>
        <v>#REF!</v>
      </c>
      <c r="BF60" s="22">
        <v>0</v>
      </c>
      <c r="BG60" s="22" t="e">
        <f t="shared" si="39"/>
        <v>#REF!</v>
      </c>
      <c r="BH60" s="23" t="e">
        <f>IF(SUMPRODUCT($J$76:BG$76,$J60:BG60)&lt;0.5, "Pending", IF(BG60&lt;0.5, "Complete", "In Progress"))</f>
        <v>#REF!</v>
      </c>
      <c r="BI60" s="22">
        <v>0</v>
      </c>
      <c r="BJ60" s="22" t="e">
        <f t="shared" si="40"/>
        <v>#REF!</v>
      </c>
      <c r="BK60" s="23" t="e">
        <f>IF(SUMPRODUCT($J$76:BJ$76,$J60:BJ60)&lt;0.5, "Pending", IF(BJ60&lt;0.5, "Complete", "In Progress"))</f>
        <v>#REF!</v>
      </c>
      <c r="BL60" s="22">
        <v>0</v>
      </c>
      <c r="BM60" s="22" t="e">
        <f t="shared" si="41"/>
        <v>#REF!</v>
      </c>
      <c r="BN60" s="23" t="e">
        <f>IF(SUMPRODUCT($J$76:BM$76,$J60:BM60)&lt;0.5, "Pending", IF(BM60&lt;0.5, "Complete", "In Progress"))</f>
        <v>#REF!</v>
      </c>
      <c r="BO60" s="22">
        <v>0</v>
      </c>
      <c r="BP60" s="22" t="e">
        <f t="shared" si="42"/>
        <v>#REF!</v>
      </c>
      <c r="BQ60" s="23" t="e">
        <f>IF(SUMPRODUCT($J$76:BP$76,$J60:BP60)&lt;0.5, "Pending", IF(BP60&lt;0.5, "Complete", "In Progress"))</f>
        <v>#REF!</v>
      </c>
      <c r="BR60" s="22">
        <v>0</v>
      </c>
      <c r="BS60" s="22" t="e">
        <f t="shared" si="43"/>
        <v>#REF!</v>
      </c>
      <c r="BT60" s="23" t="e">
        <f>IF(SUMPRODUCT($J$76:BS$76,$J60:BS60)&lt;0.5, "Pending", IF(BS60&lt;0.5, "Complete", "In Progress"))</f>
        <v>#REF!</v>
      </c>
      <c r="BU60" s="22">
        <v>0</v>
      </c>
      <c r="BV60" s="22" t="e">
        <f t="shared" si="44"/>
        <v>#REF!</v>
      </c>
      <c r="BW60" s="23" t="e">
        <f>IF(SUMPRODUCT($J$76:BV$76,$J60:BV60)&lt;0.5, "Pending", IF(BV60&lt;0.5, "Complete", "In Progress"))</f>
        <v>#REF!</v>
      </c>
      <c r="BX60" s="22">
        <v>0</v>
      </c>
      <c r="BY60" s="22" t="e">
        <f t="shared" si="45"/>
        <v>#REF!</v>
      </c>
      <c r="BZ60" s="23" t="e">
        <f>IF(SUMPRODUCT($J$76:BY$76,$J60:BY60)&lt;0.5, "Pending", IF(BY60&lt;0.5, "Complete", "In Progress"))</f>
        <v>#REF!</v>
      </c>
      <c r="CA60" s="22">
        <v>0</v>
      </c>
      <c r="CB60" s="22" t="e">
        <f t="shared" si="46"/>
        <v>#REF!</v>
      </c>
      <c r="CC60" s="23" t="e">
        <f>IF(SUMPRODUCT($J$76:CB$76,$J60:CB60)&lt;0.5, "Pending", IF(CB60&lt;0.5, "Complete", "In Progress"))</f>
        <v>#REF!</v>
      </c>
      <c r="CD60" s="24"/>
      <c r="CE60" s="25">
        <f>SUMPRODUCT($H$76:AY$76,$H60:AY60)</f>
        <v>0</v>
      </c>
    </row>
    <row r="61" spans="1:83">
      <c r="A61" s="16"/>
      <c r="B61" s="16"/>
      <c r="C61" s="16"/>
      <c r="D61" s="17"/>
      <c r="E61" s="178"/>
      <c r="F61" s="18" t="s">
        <v>114</v>
      </c>
      <c r="G61" s="19" t="str">
        <f t="shared" ca="1" si="0"/>
        <v>Pending</v>
      </c>
      <c r="H61" s="20">
        <v>1</v>
      </c>
      <c r="I61" s="21">
        <v>0</v>
      </c>
      <c r="J61" s="22">
        <v>0</v>
      </c>
      <c r="K61" s="22">
        <f t="shared" si="24"/>
        <v>0</v>
      </c>
      <c r="L61" s="23" t="str">
        <f>IF(SUMPRODUCT($J$76:K$76,$J61:K61)&lt;0.5, "Pending", IF(K61&lt;0.5, "Complete", "In Progress"))</f>
        <v>Pending</v>
      </c>
      <c r="M61" s="22">
        <v>0</v>
      </c>
      <c r="N61" s="22">
        <f t="shared" si="25"/>
        <v>0</v>
      </c>
      <c r="O61" s="23" t="str">
        <f>IF(SUMPRODUCT($J$76:N$76,$J61:N61)&lt;0.5, "Pending", IF(N61&lt;0.5, "Complete", "In Progress"))</f>
        <v>Pending</v>
      </c>
      <c r="P61" s="22">
        <v>0</v>
      </c>
      <c r="Q61" s="22">
        <f t="shared" si="26"/>
        <v>0</v>
      </c>
      <c r="R61" s="23" t="str">
        <f>IF(SUMPRODUCT($J$76:Q$76,$J61:Q61)&lt;0.5, "Pending", IF(Q61&lt;0.5, "Complete", "In Progress"))</f>
        <v>Pending</v>
      </c>
      <c r="S61" s="22">
        <v>0</v>
      </c>
      <c r="T61" s="22">
        <f t="shared" si="27"/>
        <v>0</v>
      </c>
      <c r="U61" s="23" t="str">
        <f>IF(SUMPRODUCT($J$76:T$76,$J61:T61)&lt;0.5, "Pending", IF(T61&lt;0.5, "Complete", "In Progress"))</f>
        <v>Pending</v>
      </c>
      <c r="V61" s="22">
        <v>0</v>
      </c>
      <c r="W61" s="22">
        <f t="shared" si="28"/>
        <v>0</v>
      </c>
      <c r="X61" s="23" t="str">
        <f>IF(SUMPRODUCT($J$76:W$76,$J61:W61)&lt;0.5, "Pending", IF(W61&lt;0.5, "Complete", "In Progress"))</f>
        <v>Pending</v>
      </c>
      <c r="Y61" s="22">
        <v>0</v>
      </c>
      <c r="Z61" s="22">
        <f t="shared" si="29"/>
        <v>0</v>
      </c>
      <c r="AA61" s="23" t="str">
        <f>IF(SUMPRODUCT($J$76:Z$76,$J61:Z61)&lt;0.5, "Pending", IF(Z61&lt;0.5, "Complete", "In Progress"))</f>
        <v>Pending</v>
      </c>
      <c r="AB61" s="22">
        <v>0</v>
      </c>
      <c r="AC61" s="22">
        <f t="shared" si="30"/>
        <v>0</v>
      </c>
      <c r="AD61" s="23" t="str">
        <f>IF(SUMPRODUCT($J$76:AC$76,$J61:AC61)&lt;0.5, "Pending", IF(AC61&lt;0.5, "Complete", "In Progress"))</f>
        <v>Pending</v>
      </c>
      <c r="AE61" s="22">
        <v>0</v>
      </c>
      <c r="AF61" s="22">
        <f t="shared" si="31"/>
        <v>0</v>
      </c>
      <c r="AG61" s="23" t="str">
        <f>IF(SUMPRODUCT($J$76:AF$76,$J61:AF61)&lt;0.5, "Pending", IF(AF61&lt;0.5, "Complete", "In Progress"))</f>
        <v>Pending</v>
      </c>
      <c r="AH61" s="22">
        <v>0</v>
      </c>
      <c r="AI61" s="22">
        <f t="shared" si="32"/>
        <v>0</v>
      </c>
      <c r="AJ61" s="23" t="str">
        <f>IF(SUMPRODUCT($J$76:AI$76,$J61:AI61)&lt;0.5, "Pending", IF(AI61&lt;0.5, "Complete", "In Progress"))</f>
        <v>Pending</v>
      </c>
      <c r="AK61" s="22">
        <v>0</v>
      </c>
      <c r="AL61" s="22">
        <f t="shared" si="33"/>
        <v>0</v>
      </c>
      <c r="AM61" s="23" t="str">
        <f>IF(SUMPRODUCT($J$76:AL$76,$J61:AL61)&lt;0.5, "Pending", IF(AL61&lt;0.5, "Complete", "In Progress"))</f>
        <v>Pending</v>
      </c>
      <c r="AN61" s="22">
        <v>0</v>
      </c>
      <c r="AO61" s="22">
        <f t="shared" si="34"/>
        <v>0</v>
      </c>
      <c r="AP61" s="23" t="str">
        <f>IF(SUMPRODUCT($J$76:AO$76,$J61:AO61)&lt;0.5, "Pending", IF(AO61&lt;0.5, "Complete", "In Progress"))</f>
        <v>Pending</v>
      </c>
      <c r="AQ61" s="22">
        <v>0</v>
      </c>
      <c r="AR61" s="22">
        <f t="shared" si="35"/>
        <v>0</v>
      </c>
      <c r="AS61" s="23" t="str">
        <f>IF(SUMPRODUCT($J$76:AR$76,$J61:AR61)&lt;0.5, "Pending", IF(AR61&lt;0.5, "Complete", "In Progress"))</f>
        <v>Pending</v>
      </c>
      <c r="AT61" s="22">
        <v>0</v>
      </c>
      <c r="AU61" s="22">
        <f t="shared" si="36"/>
        <v>0</v>
      </c>
      <c r="AV61" s="23" t="str">
        <f>IF(SUMPRODUCT($J$76:AU$76,$J61:AU61)&lt;0.5, "Pending", IF(AU61&lt;0.5, "Complete", "In Progress"))</f>
        <v>Pending</v>
      </c>
      <c r="AW61" s="22">
        <v>0</v>
      </c>
      <c r="AX61" s="22">
        <f t="shared" si="37"/>
        <v>0</v>
      </c>
      <c r="AY61" s="23" t="str">
        <f>IF(SUMPRODUCT($J$76:AX$76,$J61:AX61)&lt;0.5, "Pending", IF(AX61&lt;0.5, "Complete", "In Progress"))</f>
        <v>Pending</v>
      </c>
      <c r="AZ61" s="22">
        <v>0</v>
      </c>
      <c r="BA61" s="22" t="e">
        <f>MAX(#REF!-AZ61,0)</f>
        <v>#REF!</v>
      </c>
      <c r="BB61" s="23" t="e">
        <f>IF(SUMPRODUCT($J$76:BA$76,$J61:BA61)&lt;0.5, "Pending", IF(BA61&lt;0.5, "Complete", "In Progress"))</f>
        <v>#REF!</v>
      </c>
      <c r="BC61" s="22">
        <v>0</v>
      </c>
      <c r="BD61" s="22" t="e">
        <f t="shared" si="38"/>
        <v>#REF!</v>
      </c>
      <c r="BE61" s="23" t="e">
        <f>IF(SUMPRODUCT($J$76:BD$76,$J61:BD61)&lt;0.5, "Pending", IF(BD61&lt;0.5, "Complete", "In Progress"))</f>
        <v>#REF!</v>
      </c>
      <c r="BF61" s="22">
        <v>0</v>
      </c>
      <c r="BG61" s="22" t="e">
        <f t="shared" si="39"/>
        <v>#REF!</v>
      </c>
      <c r="BH61" s="23" t="e">
        <f>IF(SUMPRODUCT($J$76:BG$76,$J61:BG61)&lt;0.5, "Pending", IF(BG61&lt;0.5, "Complete", "In Progress"))</f>
        <v>#REF!</v>
      </c>
      <c r="BI61" s="22">
        <v>0</v>
      </c>
      <c r="BJ61" s="22" t="e">
        <f t="shared" si="40"/>
        <v>#REF!</v>
      </c>
      <c r="BK61" s="23" t="e">
        <f>IF(SUMPRODUCT($J$76:BJ$76,$J61:BJ61)&lt;0.5, "Pending", IF(BJ61&lt;0.5, "Complete", "In Progress"))</f>
        <v>#REF!</v>
      </c>
      <c r="BL61" s="22">
        <v>0</v>
      </c>
      <c r="BM61" s="22" t="e">
        <f t="shared" si="41"/>
        <v>#REF!</v>
      </c>
      <c r="BN61" s="23" t="e">
        <f>IF(SUMPRODUCT($J$76:BM$76,$J61:BM61)&lt;0.5, "Pending", IF(BM61&lt;0.5, "Complete", "In Progress"))</f>
        <v>#REF!</v>
      </c>
      <c r="BO61" s="22">
        <v>0</v>
      </c>
      <c r="BP61" s="22" t="e">
        <f t="shared" si="42"/>
        <v>#REF!</v>
      </c>
      <c r="BQ61" s="23" t="e">
        <f>IF(SUMPRODUCT($J$76:BP$76,$J61:BP61)&lt;0.5, "Pending", IF(BP61&lt;0.5, "Complete", "In Progress"))</f>
        <v>#REF!</v>
      </c>
      <c r="BR61" s="22">
        <v>0</v>
      </c>
      <c r="BS61" s="22" t="e">
        <f t="shared" si="43"/>
        <v>#REF!</v>
      </c>
      <c r="BT61" s="23" t="e">
        <f>IF(SUMPRODUCT($J$76:BS$76,$J61:BS61)&lt;0.5, "Pending", IF(BS61&lt;0.5, "Complete", "In Progress"))</f>
        <v>#REF!</v>
      </c>
      <c r="BU61" s="22">
        <v>0</v>
      </c>
      <c r="BV61" s="22" t="e">
        <f t="shared" si="44"/>
        <v>#REF!</v>
      </c>
      <c r="BW61" s="23" t="e">
        <f>IF(SUMPRODUCT($J$76:BV$76,$J61:BV61)&lt;0.5, "Pending", IF(BV61&lt;0.5, "Complete", "In Progress"))</f>
        <v>#REF!</v>
      </c>
      <c r="BX61" s="22">
        <v>0</v>
      </c>
      <c r="BY61" s="22" t="e">
        <f t="shared" si="45"/>
        <v>#REF!</v>
      </c>
      <c r="BZ61" s="23" t="e">
        <f>IF(SUMPRODUCT($J$76:BY$76,$J61:BY61)&lt;0.5, "Pending", IF(BY61&lt;0.5, "Complete", "In Progress"))</f>
        <v>#REF!</v>
      </c>
      <c r="CA61" s="22">
        <v>0</v>
      </c>
      <c r="CB61" s="22" t="e">
        <f t="shared" si="46"/>
        <v>#REF!</v>
      </c>
      <c r="CC61" s="23" t="e">
        <f>IF(SUMPRODUCT($J$76:CB$76,$J61:CB61)&lt;0.5, "Pending", IF(CB61&lt;0.5, "Complete", "In Progress"))</f>
        <v>#REF!</v>
      </c>
      <c r="CD61" s="24"/>
      <c r="CE61" s="25">
        <f>SUMPRODUCT($H$76:AY$76,$H61:AY61)</f>
        <v>0</v>
      </c>
    </row>
    <row r="62" spans="1:83">
      <c r="A62" s="16"/>
      <c r="B62" s="16"/>
      <c r="C62" s="16"/>
      <c r="D62" s="17"/>
      <c r="E62" s="178"/>
      <c r="F62" s="18" t="s">
        <v>114</v>
      </c>
      <c r="G62" s="19" t="str">
        <f t="shared" ca="1" si="0"/>
        <v>Pending</v>
      </c>
      <c r="H62" s="20">
        <v>1</v>
      </c>
      <c r="I62" s="21">
        <v>0</v>
      </c>
      <c r="J62" s="22">
        <v>0</v>
      </c>
      <c r="K62" s="22">
        <f t="shared" si="24"/>
        <v>0</v>
      </c>
      <c r="L62" s="23" t="str">
        <f>IF(SUMPRODUCT($J$76:K$76,$J62:K62)&lt;0.5, "Pending", IF(K62&lt;0.5, "Complete", "In Progress"))</f>
        <v>Pending</v>
      </c>
      <c r="M62" s="22">
        <v>0</v>
      </c>
      <c r="N62" s="22">
        <f t="shared" si="25"/>
        <v>0</v>
      </c>
      <c r="O62" s="23" t="str">
        <f>IF(SUMPRODUCT($J$76:N$76,$J62:N62)&lt;0.5, "Pending", IF(N62&lt;0.5, "Complete", "In Progress"))</f>
        <v>Pending</v>
      </c>
      <c r="P62" s="22">
        <v>0</v>
      </c>
      <c r="Q62" s="22">
        <f t="shared" si="26"/>
        <v>0</v>
      </c>
      <c r="R62" s="23" t="str">
        <f>IF(SUMPRODUCT($J$76:Q$76,$J62:Q62)&lt;0.5, "Pending", IF(Q62&lt;0.5, "Complete", "In Progress"))</f>
        <v>Pending</v>
      </c>
      <c r="S62" s="22">
        <v>0</v>
      </c>
      <c r="T62" s="22">
        <f t="shared" si="27"/>
        <v>0</v>
      </c>
      <c r="U62" s="23" t="str">
        <f>IF(SUMPRODUCT($J$76:T$76,$J62:T62)&lt;0.5, "Pending", IF(T62&lt;0.5, "Complete", "In Progress"))</f>
        <v>Pending</v>
      </c>
      <c r="V62" s="22">
        <v>0</v>
      </c>
      <c r="W62" s="22">
        <f t="shared" si="28"/>
        <v>0</v>
      </c>
      <c r="X62" s="23" t="str">
        <f>IF(SUMPRODUCT($J$76:W$76,$J62:W62)&lt;0.5, "Pending", IF(W62&lt;0.5, "Complete", "In Progress"))</f>
        <v>Pending</v>
      </c>
      <c r="Y62" s="22">
        <v>0</v>
      </c>
      <c r="Z62" s="22">
        <f t="shared" si="29"/>
        <v>0</v>
      </c>
      <c r="AA62" s="23" t="str">
        <f>IF(SUMPRODUCT($J$76:Z$76,$J62:Z62)&lt;0.5, "Pending", IF(Z62&lt;0.5, "Complete", "In Progress"))</f>
        <v>Pending</v>
      </c>
      <c r="AB62" s="22">
        <v>0</v>
      </c>
      <c r="AC62" s="22">
        <f t="shared" si="30"/>
        <v>0</v>
      </c>
      <c r="AD62" s="23" t="str">
        <f>IF(SUMPRODUCT($J$76:AC$76,$J62:AC62)&lt;0.5, "Pending", IF(AC62&lt;0.5, "Complete", "In Progress"))</f>
        <v>Pending</v>
      </c>
      <c r="AE62" s="22">
        <v>0</v>
      </c>
      <c r="AF62" s="22">
        <f t="shared" si="31"/>
        <v>0</v>
      </c>
      <c r="AG62" s="23" t="str">
        <f>IF(SUMPRODUCT($J$76:AF$76,$J62:AF62)&lt;0.5, "Pending", IF(AF62&lt;0.5, "Complete", "In Progress"))</f>
        <v>Pending</v>
      </c>
      <c r="AH62" s="22">
        <v>0</v>
      </c>
      <c r="AI62" s="22">
        <f t="shared" si="32"/>
        <v>0</v>
      </c>
      <c r="AJ62" s="23" t="str">
        <f>IF(SUMPRODUCT($J$76:AI$76,$J62:AI62)&lt;0.5, "Pending", IF(AI62&lt;0.5, "Complete", "In Progress"))</f>
        <v>Pending</v>
      </c>
      <c r="AK62" s="22">
        <v>0</v>
      </c>
      <c r="AL62" s="22">
        <f t="shared" si="33"/>
        <v>0</v>
      </c>
      <c r="AM62" s="23" t="str">
        <f>IF(SUMPRODUCT($J$76:AL$76,$J62:AL62)&lt;0.5, "Pending", IF(AL62&lt;0.5, "Complete", "In Progress"))</f>
        <v>Pending</v>
      </c>
      <c r="AN62" s="22">
        <v>0</v>
      </c>
      <c r="AO62" s="22">
        <f t="shared" si="34"/>
        <v>0</v>
      </c>
      <c r="AP62" s="23" t="str">
        <f>IF(SUMPRODUCT($J$76:AO$76,$J62:AO62)&lt;0.5, "Pending", IF(AO62&lt;0.5, "Complete", "In Progress"))</f>
        <v>Pending</v>
      </c>
      <c r="AQ62" s="22">
        <v>0</v>
      </c>
      <c r="AR62" s="22">
        <f t="shared" si="35"/>
        <v>0</v>
      </c>
      <c r="AS62" s="23" t="str">
        <f>IF(SUMPRODUCT($J$76:AR$76,$J62:AR62)&lt;0.5, "Pending", IF(AR62&lt;0.5, "Complete", "In Progress"))</f>
        <v>Pending</v>
      </c>
      <c r="AT62" s="22">
        <v>0</v>
      </c>
      <c r="AU62" s="22">
        <f t="shared" si="36"/>
        <v>0</v>
      </c>
      <c r="AV62" s="23" t="str">
        <f>IF(SUMPRODUCT($J$76:AU$76,$J62:AU62)&lt;0.5, "Pending", IF(AU62&lt;0.5, "Complete", "In Progress"))</f>
        <v>Pending</v>
      </c>
      <c r="AW62" s="22">
        <v>0</v>
      </c>
      <c r="AX62" s="22">
        <f t="shared" si="37"/>
        <v>0</v>
      </c>
      <c r="AY62" s="23" t="str">
        <f>IF(SUMPRODUCT($J$76:AX$76,$J62:AX62)&lt;0.5, "Pending", IF(AX62&lt;0.5, "Complete", "In Progress"))</f>
        <v>Pending</v>
      </c>
      <c r="AZ62" s="22">
        <v>0</v>
      </c>
      <c r="BA62" s="22" t="e">
        <f>MAX(#REF!-AZ62,0)</f>
        <v>#REF!</v>
      </c>
      <c r="BB62" s="23" t="e">
        <f>IF(SUMPRODUCT($J$76:BA$76,$J62:BA62)&lt;0.5, "Pending", IF(BA62&lt;0.5, "Complete", "In Progress"))</f>
        <v>#REF!</v>
      </c>
      <c r="BC62" s="22">
        <v>0</v>
      </c>
      <c r="BD62" s="22" t="e">
        <f t="shared" si="38"/>
        <v>#REF!</v>
      </c>
      <c r="BE62" s="23" t="e">
        <f>IF(SUMPRODUCT($J$76:BD$76,$J62:BD62)&lt;0.5, "Pending", IF(BD62&lt;0.5, "Complete", "In Progress"))</f>
        <v>#REF!</v>
      </c>
      <c r="BF62" s="22">
        <v>0</v>
      </c>
      <c r="BG62" s="22" t="e">
        <f t="shared" si="39"/>
        <v>#REF!</v>
      </c>
      <c r="BH62" s="23" t="e">
        <f>IF(SUMPRODUCT($J$76:BG$76,$J62:BG62)&lt;0.5, "Pending", IF(BG62&lt;0.5, "Complete", "In Progress"))</f>
        <v>#REF!</v>
      </c>
      <c r="BI62" s="22">
        <v>0</v>
      </c>
      <c r="BJ62" s="22" t="e">
        <f t="shared" si="40"/>
        <v>#REF!</v>
      </c>
      <c r="BK62" s="23" t="e">
        <f>IF(SUMPRODUCT($J$76:BJ$76,$J62:BJ62)&lt;0.5, "Pending", IF(BJ62&lt;0.5, "Complete", "In Progress"))</f>
        <v>#REF!</v>
      </c>
      <c r="BL62" s="22">
        <v>0</v>
      </c>
      <c r="BM62" s="22" t="e">
        <f t="shared" si="41"/>
        <v>#REF!</v>
      </c>
      <c r="BN62" s="23" t="e">
        <f>IF(SUMPRODUCT($J$76:BM$76,$J62:BM62)&lt;0.5, "Pending", IF(BM62&lt;0.5, "Complete", "In Progress"))</f>
        <v>#REF!</v>
      </c>
      <c r="BO62" s="22">
        <v>0</v>
      </c>
      <c r="BP62" s="22" t="e">
        <f t="shared" si="42"/>
        <v>#REF!</v>
      </c>
      <c r="BQ62" s="23" t="e">
        <f>IF(SUMPRODUCT($J$76:BP$76,$J62:BP62)&lt;0.5, "Pending", IF(BP62&lt;0.5, "Complete", "In Progress"))</f>
        <v>#REF!</v>
      </c>
      <c r="BR62" s="22">
        <v>0</v>
      </c>
      <c r="BS62" s="22" t="e">
        <f t="shared" si="43"/>
        <v>#REF!</v>
      </c>
      <c r="BT62" s="23" t="e">
        <f>IF(SUMPRODUCT($J$76:BS$76,$J62:BS62)&lt;0.5, "Pending", IF(BS62&lt;0.5, "Complete", "In Progress"))</f>
        <v>#REF!</v>
      </c>
      <c r="BU62" s="22">
        <v>0</v>
      </c>
      <c r="BV62" s="22" t="e">
        <f t="shared" si="44"/>
        <v>#REF!</v>
      </c>
      <c r="BW62" s="23" t="e">
        <f>IF(SUMPRODUCT($J$76:BV$76,$J62:BV62)&lt;0.5, "Pending", IF(BV62&lt;0.5, "Complete", "In Progress"))</f>
        <v>#REF!</v>
      </c>
      <c r="BX62" s="22">
        <v>0</v>
      </c>
      <c r="BY62" s="22" t="e">
        <f t="shared" si="45"/>
        <v>#REF!</v>
      </c>
      <c r="BZ62" s="23" t="e">
        <f>IF(SUMPRODUCT($J$76:BY$76,$J62:BY62)&lt;0.5, "Pending", IF(BY62&lt;0.5, "Complete", "In Progress"))</f>
        <v>#REF!</v>
      </c>
      <c r="CA62" s="22">
        <v>0</v>
      </c>
      <c r="CB62" s="22" t="e">
        <f t="shared" si="46"/>
        <v>#REF!</v>
      </c>
      <c r="CC62" s="23" t="e">
        <f>IF(SUMPRODUCT($J$76:CB$76,$J62:CB62)&lt;0.5, "Pending", IF(CB62&lt;0.5, "Complete", "In Progress"))</f>
        <v>#REF!</v>
      </c>
      <c r="CD62" s="24"/>
      <c r="CE62" s="25">
        <f>SUMPRODUCT($H$76:AY$76,$H62:AY62)</f>
        <v>0</v>
      </c>
    </row>
    <row r="63" spans="1:83">
      <c r="A63" s="16"/>
      <c r="B63" s="16"/>
      <c r="C63" s="16"/>
      <c r="D63" s="17"/>
      <c r="E63" s="178"/>
      <c r="F63" s="18" t="s">
        <v>114</v>
      </c>
      <c r="G63" s="19" t="str">
        <f t="shared" ca="1" si="0"/>
        <v>Pending</v>
      </c>
      <c r="H63" s="20">
        <v>1</v>
      </c>
      <c r="I63" s="21">
        <v>0</v>
      </c>
      <c r="J63" s="22">
        <v>0</v>
      </c>
      <c r="K63" s="22">
        <f t="shared" si="24"/>
        <v>0</v>
      </c>
      <c r="L63" s="23" t="str">
        <f>IF(SUMPRODUCT($J$76:K$76,$J63:K63)&lt;0.5, "Pending", IF(K63&lt;0.5, "Complete", "In Progress"))</f>
        <v>Pending</v>
      </c>
      <c r="M63" s="22">
        <v>0</v>
      </c>
      <c r="N63" s="22">
        <f t="shared" si="25"/>
        <v>0</v>
      </c>
      <c r="O63" s="23" t="str">
        <f>IF(SUMPRODUCT($J$76:N$76,$J63:N63)&lt;0.5, "Pending", IF(N63&lt;0.5, "Complete", "In Progress"))</f>
        <v>Pending</v>
      </c>
      <c r="P63" s="22">
        <v>0</v>
      </c>
      <c r="Q63" s="22">
        <f t="shared" si="26"/>
        <v>0</v>
      </c>
      <c r="R63" s="23" t="str">
        <f>IF(SUMPRODUCT($J$76:Q$76,$J63:Q63)&lt;0.5, "Pending", IF(Q63&lt;0.5, "Complete", "In Progress"))</f>
        <v>Pending</v>
      </c>
      <c r="S63" s="22">
        <v>0</v>
      </c>
      <c r="T63" s="22">
        <f t="shared" si="27"/>
        <v>0</v>
      </c>
      <c r="U63" s="23" t="str">
        <f>IF(SUMPRODUCT($J$76:T$76,$J63:T63)&lt;0.5, "Pending", IF(T63&lt;0.5, "Complete", "In Progress"))</f>
        <v>Pending</v>
      </c>
      <c r="V63" s="22">
        <v>0</v>
      </c>
      <c r="W63" s="22">
        <f t="shared" si="28"/>
        <v>0</v>
      </c>
      <c r="X63" s="23" t="str">
        <f>IF(SUMPRODUCT($J$76:W$76,$J63:W63)&lt;0.5, "Pending", IF(W63&lt;0.5, "Complete", "In Progress"))</f>
        <v>Pending</v>
      </c>
      <c r="Y63" s="22">
        <v>0</v>
      </c>
      <c r="Z63" s="22">
        <f t="shared" si="29"/>
        <v>0</v>
      </c>
      <c r="AA63" s="23" t="str">
        <f>IF(SUMPRODUCT($J$76:Z$76,$J63:Z63)&lt;0.5, "Pending", IF(Z63&lt;0.5, "Complete", "In Progress"))</f>
        <v>Pending</v>
      </c>
      <c r="AB63" s="22">
        <v>0</v>
      </c>
      <c r="AC63" s="22">
        <f t="shared" si="30"/>
        <v>0</v>
      </c>
      <c r="AD63" s="23" t="str">
        <f>IF(SUMPRODUCT($J$76:AC$76,$J63:AC63)&lt;0.5, "Pending", IF(AC63&lt;0.5, "Complete", "In Progress"))</f>
        <v>Pending</v>
      </c>
      <c r="AE63" s="22">
        <v>0</v>
      </c>
      <c r="AF63" s="22">
        <f t="shared" si="31"/>
        <v>0</v>
      </c>
      <c r="AG63" s="23" t="str">
        <f>IF(SUMPRODUCT($J$76:AF$76,$J63:AF63)&lt;0.5, "Pending", IF(AF63&lt;0.5, "Complete", "In Progress"))</f>
        <v>Pending</v>
      </c>
      <c r="AH63" s="22">
        <v>0</v>
      </c>
      <c r="AI63" s="22">
        <f t="shared" si="32"/>
        <v>0</v>
      </c>
      <c r="AJ63" s="23" t="str">
        <f>IF(SUMPRODUCT($J$76:AI$76,$J63:AI63)&lt;0.5, "Pending", IF(AI63&lt;0.5, "Complete", "In Progress"))</f>
        <v>Pending</v>
      </c>
      <c r="AK63" s="22">
        <v>0</v>
      </c>
      <c r="AL63" s="22">
        <f t="shared" si="33"/>
        <v>0</v>
      </c>
      <c r="AM63" s="23" t="str">
        <f>IF(SUMPRODUCT($J$76:AL$76,$J63:AL63)&lt;0.5, "Pending", IF(AL63&lt;0.5, "Complete", "In Progress"))</f>
        <v>Pending</v>
      </c>
      <c r="AN63" s="22">
        <v>0</v>
      </c>
      <c r="AO63" s="22">
        <f t="shared" si="34"/>
        <v>0</v>
      </c>
      <c r="AP63" s="23" t="str">
        <f>IF(SUMPRODUCT($J$76:AO$76,$J63:AO63)&lt;0.5, "Pending", IF(AO63&lt;0.5, "Complete", "In Progress"))</f>
        <v>Pending</v>
      </c>
      <c r="AQ63" s="22">
        <v>0</v>
      </c>
      <c r="AR63" s="22">
        <f t="shared" si="35"/>
        <v>0</v>
      </c>
      <c r="AS63" s="23" t="str">
        <f>IF(SUMPRODUCT($J$76:AR$76,$J63:AR63)&lt;0.5, "Pending", IF(AR63&lt;0.5, "Complete", "In Progress"))</f>
        <v>Pending</v>
      </c>
      <c r="AT63" s="22">
        <v>0</v>
      </c>
      <c r="AU63" s="22">
        <f t="shared" si="36"/>
        <v>0</v>
      </c>
      <c r="AV63" s="23" t="str">
        <f>IF(SUMPRODUCT($J$76:AU$76,$J63:AU63)&lt;0.5, "Pending", IF(AU63&lt;0.5, "Complete", "In Progress"))</f>
        <v>Pending</v>
      </c>
      <c r="AW63" s="22">
        <v>0</v>
      </c>
      <c r="AX63" s="22">
        <f t="shared" si="37"/>
        <v>0</v>
      </c>
      <c r="AY63" s="23" t="str">
        <f>IF(SUMPRODUCT($J$76:AX$76,$J63:AX63)&lt;0.5, "Pending", IF(AX63&lt;0.5, "Complete", "In Progress"))</f>
        <v>Pending</v>
      </c>
      <c r="AZ63" s="22">
        <v>0</v>
      </c>
      <c r="BA63" s="22" t="e">
        <f>MAX(#REF!-AZ63,0)</f>
        <v>#REF!</v>
      </c>
      <c r="BB63" s="23" t="e">
        <f>IF(SUMPRODUCT($J$76:BA$76,$J63:BA63)&lt;0.5, "Pending", IF(BA63&lt;0.5, "Complete", "In Progress"))</f>
        <v>#REF!</v>
      </c>
      <c r="BC63" s="22">
        <v>0</v>
      </c>
      <c r="BD63" s="22" t="e">
        <f t="shared" si="38"/>
        <v>#REF!</v>
      </c>
      <c r="BE63" s="23" t="e">
        <f>IF(SUMPRODUCT($J$76:BD$76,$J63:BD63)&lt;0.5, "Pending", IF(BD63&lt;0.5, "Complete", "In Progress"))</f>
        <v>#REF!</v>
      </c>
      <c r="BF63" s="22">
        <v>0</v>
      </c>
      <c r="BG63" s="22" t="e">
        <f t="shared" si="39"/>
        <v>#REF!</v>
      </c>
      <c r="BH63" s="23" t="e">
        <f>IF(SUMPRODUCT($J$76:BG$76,$J63:BG63)&lt;0.5, "Pending", IF(BG63&lt;0.5, "Complete", "In Progress"))</f>
        <v>#REF!</v>
      </c>
      <c r="BI63" s="22">
        <v>0</v>
      </c>
      <c r="BJ63" s="22" t="e">
        <f t="shared" si="40"/>
        <v>#REF!</v>
      </c>
      <c r="BK63" s="23" t="e">
        <f>IF(SUMPRODUCT($J$76:BJ$76,$J63:BJ63)&lt;0.5, "Pending", IF(BJ63&lt;0.5, "Complete", "In Progress"))</f>
        <v>#REF!</v>
      </c>
      <c r="BL63" s="22">
        <v>0</v>
      </c>
      <c r="BM63" s="22" t="e">
        <f t="shared" si="41"/>
        <v>#REF!</v>
      </c>
      <c r="BN63" s="23" t="e">
        <f>IF(SUMPRODUCT($J$76:BM$76,$J63:BM63)&lt;0.5, "Pending", IF(BM63&lt;0.5, "Complete", "In Progress"))</f>
        <v>#REF!</v>
      </c>
      <c r="BO63" s="22">
        <v>0</v>
      </c>
      <c r="BP63" s="22" t="e">
        <f t="shared" si="42"/>
        <v>#REF!</v>
      </c>
      <c r="BQ63" s="23" t="e">
        <f>IF(SUMPRODUCT($J$76:BP$76,$J63:BP63)&lt;0.5, "Pending", IF(BP63&lt;0.5, "Complete", "In Progress"))</f>
        <v>#REF!</v>
      </c>
      <c r="BR63" s="22">
        <v>0</v>
      </c>
      <c r="BS63" s="22" t="e">
        <f t="shared" si="43"/>
        <v>#REF!</v>
      </c>
      <c r="BT63" s="23" t="e">
        <f>IF(SUMPRODUCT($J$76:BS$76,$J63:BS63)&lt;0.5, "Pending", IF(BS63&lt;0.5, "Complete", "In Progress"))</f>
        <v>#REF!</v>
      </c>
      <c r="BU63" s="22">
        <v>0</v>
      </c>
      <c r="BV63" s="22" t="e">
        <f t="shared" si="44"/>
        <v>#REF!</v>
      </c>
      <c r="BW63" s="23" t="e">
        <f>IF(SUMPRODUCT($J$76:BV$76,$J63:BV63)&lt;0.5, "Pending", IF(BV63&lt;0.5, "Complete", "In Progress"))</f>
        <v>#REF!</v>
      </c>
      <c r="BX63" s="22">
        <v>0</v>
      </c>
      <c r="BY63" s="22" t="e">
        <f t="shared" si="45"/>
        <v>#REF!</v>
      </c>
      <c r="BZ63" s="23" t="e">
        <f>IF(SUMPRODUCT($J$76:BY$76,$J63:BY63)&lt;0.5, "Pending", IF(BY63&lt;0.5, "Complete", "In Progress"))</f>
        <v>#REF!</v>
      </c>
      <c r="CA63" s="22">
        <v>0</v>
      </c>
      <c r="CB63" s="22" t="e">
        <f t="shared" si="46"/>
        <v>#REF!</v>
      </c>
      <c r="CC63" s="23" t="e">
        <f>IF(SUMPRODUCT($J$76:CB$76,$J63:CB63)&lt;0.5, "Pending", IF(CB63&lt;0.5, "Complete", "In Progress"))</f>
        <v>#REF!</v>
      </c>
      <c r="CD63" s="24"/>
      <c r="CE63" s="25">
        <f>SUMPRODUCT($H$76:AY$76,$H63:AY63)</f>
        <v>0</v>
      </c>
    </row>
    <row r="64" spans="1:83">
      <c r="A64" s="16"/>
      <c r="B64" s="16"/>
      <c r="C64" s="16"/>
      <c r="D64" s="17"/>
      <c r="E64" s="178"/>
      <c r="F64" s="18" t="s">
        <v>114</v>
      </c>
      <c r="G64" s="19" t="str">
        <f t="shared" ca="1" si="0"/>
        <v>Pending</v>
      </c>
      <c r="H64" s="20">
        <v>1</v>
      </c>
      <c r="I64" s="21">
        <v>0</v>
      </c>
      <c r="J64" s="22">
        <v>0</v>
      </c>
      <c r="K64" s="22">
        <f t="shared" si="24"/>
        <v>0</v>
      </c>
      <c r="L64" s="23" t="str">
        <f>IF(SUMPRODUCT($J$76:K$76,$J64:K64)&lt;0.5, "Pending", IF(K64&lt;0.5, "Complete", "In Progress"))</f>
        <v>Pending</v>
      </c>
      <c r="M64" s="22">
        <v>0</v>
      </c>
      <c r="N64" s="22">
        <f t="shared" si="25"/>
        <v>0</v>
      </c>
      <c r="O64" s="23" t="str">
        <f>IF(SUMPRODUCT($J$76:N$76,$J64:N64)&lt;0.5, "Pending", IF(N64&lt;0.5, "Complete", "In Progress"))</f>
        <v>Pending</v>
      </c>
      <c r="P64" s="22">
        <v>0</v>
      </c>
      <c r="Q64" s="22">
        <f t="shared" si="26"/>
        <v>0</v>
      </c>
      <c r="R64" s="23" t="str">
        <f>IF(SUMPRODUCT($J$76:Q$76,$J64:Q64)&lt;0.5, "Pending", IF(Q64&lt;0.5, "Complete", "In Progress"))</f>
        <v>Pending</v>
      </c>
      <c r="S64" s="22">
        <v>0</v>
      </c>
      <c r="T64" s="22">
        <f t="shared" si="27"/>
        <v>0</v>
      </c>
      <c r="U64" s="23" t="str">
        <f>IF(SUMPRODUCT($J$76:T$76,$J64:T64)&lt;0.5, "Pending", IF(T64&lt;0.5, "Complete", "In Progress"))</f>
        <v>Pending</v>
      </c>
      <c r="V64" s="22">
        <v>0</v>
      </c>
      <c r="W64" s="22">
        <f t="shared" si="28"/>
        <v>0</v>
      </c>
      <c r="X64" s="23" t="str">
        <f>IF(SUMPRODUCT($J$76:W$76,$J64:W64)&lt;0.5, "Pending", IF(W64&lt;0.5, "Complete", "In Progress"))</f>
        <v>Pending</v>
      </c>
      <c r="Y64" s="22">
        <v>0</v>
      </c>
      <c r="Z64" s="22">
        <f t="shared" si="29"/>
        <v>0</v>
      </c>
      <c r="AA64" s="23" t="str">
        <f>IF(SUMPRODUCT($J$76:Z$76,$J64:Z64)&lt;0.5, "Pending", IF(Z64&lt;0.5, "Complete", "In Progress"))</f>
        <v>Pending</v>
      </c>
      <c r="AB64" s="22">
        <v>0</v>
      </c>
      <c r="AC64" s="22">
        <f t="shared" si="30"/>
        <v>0</v>
      </c>
      <c r="AD64" s="23" t="str">
        <f>IF(SUMPRODUCT($J$76:AC$76,$J64:AC64)&lt;0.5, "Pending", IF(AC64&lt;0.5, "Complete", "In Progress"))</f>
        <v>Pending</v>
      </c>
      <c r="AE64" s="22">
        <v>0</v>
      </c>
      <c r="AF64" s="22">
        <f t="shared" si="31"/>
        <v>0</v>
      </c>
      <c r="AG64" s="23" t="str">
        <f>IF(SUMPRODUCT($J$76:AF$76,$J64:AF64)&lt;0.5, "Pending", IF(AF64&lt;0.5, "Complete", "In Progress"))</f>
        <v>Pending</v>
      </c>
      <c r="AH64" s="22">
        <v>0</v>
      </c>
      <c r="AI64" s="22">
        <f t="shared" si="32"/>
        <v>0</v>
      </c>
      <c r="AJ64" s="23" t="str">
        <f>IF(SUMPRODUCT($J$76:AI$76,$J64:AI64)&lt;0.5, "Pending", IF(AI64&lt;0.5, "Complete", "In Progress"))</f>
        <v>Pending</v>
      </c>
      <c r="AK64" s="22">
        <v>0</v>
      </c>
      <c r="AL64" s="22">
        <f t="shared" si="33"/>
        <v>0</v>
      </c>
      <c r="AM64" s="23" t="str">
        <f>IF(SUMPRODUCT($J$76:AL$76,$J64:AL64)&lt;0.5, "Pending", IF(AL64&lt;0.5, "Complete", "In Progress"))</f>
        <v>Pending</v>
      </c>
      <c r="AN64" s="22">
        <v>0</v>
      </c>
      <c r="AO64" s="22">
        <f t="shared" si="34"/>
        <v>0</v>
      </c>
      <c r="AP64" s="23" t="str">
        <f>IF(SUMPRODUCT($J$76:AO$76,$J64:AO64)&lt;0.5, "Pending", IF(AO64&lt;0.5, "Complete", "In Progress"))</f>
        <v>Pending</v>
      </c>
      <c r="AQ64" s="22">
        <v>0</v>
      </c>
      <c r="AR64" s="22">
        <f t="shared" si="35"/>
        <v>0</v>
      </c>
      <c r="AS64" s="23" t="str">
        <f>IF(SUMPRODUCT($J$76:AR$76,$J64:AR64)&lt;0.5, "Pending", IF(AR64&lt;0.5, "Complete", "In Progress"))</f>
        <v>Pending</v>
      </c>
      <c r="AT64" s="22">
        <v>0</v>
      </c>
      <c r="AU64" s="22">
        <f t="shared" si="36"/>
        <v>0</v>
      </c>
      <c r="AV64" s="23" t="str">
        <f>IF(SUMPRODUCT($J$76:AU$76,$J64:AU64)&lt;0.5, "Pending", IF(AU64&lt;0.5, "Complete", "In Progress"))</f>
        <v>Pending</v>
      </c>
      <c r="AW64" s="22">
        <v>0</v>
      </c>
      <c r="AX64" s="22">
        <f t="shared" si="37"/>
        <v>0</v>
      </c>
      <c r="AY64" s="23" t="str">
        <f>IF(SUMPRODUCT($J$76:AX$76,$J64:AX64)&lt;0.5, "Pending", IF(AX64&lt;0.5, "Complete", "In Progress"))</f>
        <v>Pending</v>
      </c>
      <c r="AZ64" s="22">
        <v>0</v>
      </c>
      <c r="BA64" s="22" t="e">
        <f>MAX(#REF!-AZ64,0)</f>
        <v>#REF!</v>
      </c>
      <c r="BB64" s="23" t="e">
        <f>IF(SUMPRODUCT($J$76:BA$76,$J64:BA64)&lt;0.5, "Pending", IF(BA64&lt;0.5, "Complete", "In Progress"))</f>
        <v>#REF!</v>
      </c>
      <c r="BC64" s="22">
        <v>0</v>
      </c>
      <c r="BD64" s="22" t="e">
        <f t="shared" si="38"/>
        <v>#REF!</v>
      </c>
      <c r="BE64" s="23" t="e">
        <f>IF(SUMPRODUCT($J$76:BD$76,$J64:BD64)&lt;0.5, "Pending", IF(BD64&lt;0.5, "Complete", "In Progress"))</f>
        <v>#REF!</v>
      </c>
      <c r="BF64" s="22">
        <v>0</v>
      </c>
      <c r="BG64" s="22" t="e">
        <f t="shared" si="39"/>
        <v>#REF!</v>
      </c>
      <c r="BH64" s="23" t="e">
        <f>IF(SUMPRODUCT($J$76:BG$76,$J64:BG64)&lt;0.5, "Pending", IF(BG64&lt;0.5, "Complete", "In Progress"))</f>
        <v>#REF!</v>
      </c>
      <c r="BI64" s="22">
        <v>0</v>
      </c>
      <c r="BJ64" s="22" t="e">
        <f t="shared" si="40"/>
        <v>#REF!</v>
      </c>
      <c r="BK64" s="23" t="e">
        <f>IF(SUMPRODUCT($J$76:BJ$76,$J64:BJ64)&lt;0.5, "Pending", IF(BJ64&lt;0.5, "Complete", "In Progress"))</f>
        <v>#REF!</v>
      </c>
      <c r="BL64" s="22">
        <v>0</v>
      </c>
      <c r="BM64" s="22" t="e">
        <f t="shared" si="41"/>
        <v>#REF!</v>
      </c>
      <c r="BN64" s="23" t="e">
        <f>IF(SUMPRODUCT($J$76:BM$76,$J64:BM64)&lt;0.5, "Pending", IF(BM64&lt;0.5, "Complete", "In Progress"))</f>
        <v>#REF!</v>
      </c>
      <c r="BO64" s="22">
        <v>0</v>
      </c>
      <c r="BP64" s="22" t="e">
        <f t="shared" si="42"/>
        <v>#REF!</v>
      </c>
      <c r="BQ64" s="23" t="e">
        <f>IF(SUMPRODUCT($J$76:BP$76,$J64:BP64)&lt;0.5, "Pending", IF(BP64&lt;0.5, "Complete", "In Progress"))</f>
        <v>#REF!</v>
      </c>
      <c r="BR64" s="22">
        <v>0</v>
      </c>
      <c r="BS64" s="22" t="e">
        <f t="shared" si="43"/>
        <v>#REF!</v>
      </c>
      <c r="BT64" s="23" t="e">
        <f>IF(SUMPRODUCT($J$76:BS$76,$J64:BS64)&lt;0.5, "Pending", IF(BS64&lt;0.5, "Complete", "In Progress"))</f>
        <v>#REF!</v>
      </c>
      <c r="BU64" s="22">
        <v>0</v>
      </c>
      <c r="BV64" s="22" t="e">
        <f t="shared" si="44"/>
        <v>#REF!</v>
      </c>
      <c r="BW64" s="23" t="e">
        <f>IF(SUMPRODUCT($J$76:BV$76,$J64:BV64)&lt;0.5, "Pending", IF(BV64&lt;0.5, "Complete", "In Progress"))</f>
        <v>#REF!</v>
      </c>
      <c r="BX64" s="22">
        <v>0</v>
      </c>
      <c r="BY64" s="22" t="e">
        <f t="shared" si="45"/>
        <v>#REF!</v>
      </c>
      <c r="BZ64" s="23" t="e">
        <f>IF(SUMPRODUCT($J$76:BY$76,$J64:BY64)&lt;0.5, "Pending", IF(BY64&lt;0.5, "Complete", "In Progress"))</f>
        <v>#REF!</v>
      </c>
      <c r="CA64" s="22">
        <v>0</v>
      </c>
      <c r="CB64" s="22" t="e">
        <f t="shared" si="46"/>
        <v>#REF!</v>
      </c>
      <c r="CC64" s="23" t="e">
        <f>IF(SUMPRODUCT($J$76:CB$76,$J64:CB64)&lt;0.5, "Pending", IF(CB64&lt;0.5, "Complete", "In Progress"))</f>
        <v>#REF!</v>
      </c>
      <c r="CD64" s="24"/>
      <c r="CE64" s="25">
        <f>SUMPRODUCT($H$76:AY$76,$H64:AY64)</f>
        <v>0</v>
      </c>
    </row>
    <row r="65" spans="1:83">
      <c r="A65" s="16"/>
      <c r="B65" s="16"/>
      <c r="C65" s="16"/>
      <c r="D65" s="17"/>
      <c r="E65" s="178"/>
      <c r="F65" s="18" t="s">
        <v>114</v>
      </c>
      <c r="G65" s="19" t="str">
        <f t="shared" ca="1" si="0"/>
        <v>Pending</v>
      </c>
      <c r="H65" s="20">
        <v>1</v>
      </c>
      <c r="I65" s="21">
        <v>0</v>
      </c>
      <c r="J65" s="22">
        <v>0</v>
      </c>
      <c r="K65" s="22">
        <f t="shared" si="24"/>
        <v>0</v>
      </c>
      <c r="L65" s="23" t="str">
        <f>IF(SUMPRODUCT($J$76:K$76,$J65:K65)&lt;0.5, "Pending", IF(K65&lt;0.5, "Complete", "In Progress"))</f>
        <v>Pending</v>
      </c>
      <c r="M65" s="22">
        <v>0</v>
      </c>
      <c r="N65" s="22">
        <f t="shared" si="25"/>
        <v>0</v>
      </c>
      <c r="O65" s="23" t="str">
        <f>IF(SUMPRODUCT($J$76:N$76,$J65:N65)&lt;0.5, "Pending", IF(N65&lt;0.5, "Complete", "In Progress"))</f>
        <v>Pending</v>
      </c>
      <c r="P65" s="22">
        <v>0</v>
      </c>
      <c r="Q65" s="22">
        <f t="shared" si="26"/>
        <v>0</v>
      </c>
      <c r="R65" s="23" t="str">
        <f>IF(SUMPRODUCT($J$76:Q$76,$J65:Q65)&lt;0.5, "Pending", IF(Q65&lt;0.5, "Complete", "In Progress"))</f>
        <v>Pending</v>
      </c>
      <c r="S65" s="22">
        <v>0</v>
      </c>
      <c r="T65" s="22">
        <f t="shared" si="27"/>
        <v>0</v>
      </c>
      <c r="U65" s="23" t="str">
        <f>IF(SUMPRODUCT($J$76:T$76,$J65:T65)&lt;0.5, "Pending", IF(T65&lt;0.5, "Complete", "In Progress"))</f>
        <v>Pending</v>
      </c>
      <c r="V65" s="22">
        <v>0</v>
      </c>
      <c r="W65" s="22">
        <f t="shared" si="28"/>
        <v>0</v>
      </c>
      <c r="X65" s="23" t="str">
        <f>IF(SUMPRODUCT($J$76:W$76,$J65:W65)&lt;0.5, "Pending", IF(W65&lt;0.5, "Complete", "In Progress"))</f>
        <v>Pending</v>
      </c>
      <c r="Y65" s="22">
        <v>0</v>
      </c>
      <c r="Z65" s="22">
        <f t="shared" si="29"/>
        <v>0</v>
      </c>
      <c r="AA65" s="23" t="str">
        <f>IF(SUMPRODUCT($J$76:Z$76,$J65:Z65)&lt;0.5, "Pending", IF(Z65&lt;0.5, "Complete", "In Progress"))</f>
        <v>Pending</v>
      </c>
      <c r="AB65" s="22">
        <v>0</v>
      </c>
      <c r="AC65" s="22">
        <f t="shared" si="30"/>
        <v>0</v>
      </c>
      <c r="AD65" s="23" t="str">
        <f>IF(SUMPRODUCT($J$76:AC$76,$J65:AC65)&lt;0.5, "Pending", IF(AC65&lt;0.5, "Complete", "In Progress"))</f>
        <v>Pending</v>
      </c>
      <c r="AE65" s="22">
        <v>0</v>
      </c>
      <c r="AF65" s="22">
        <f t="shared" si="31"/>
        <v>0</v>
      </c>
      <c r="AG65" s="23" t="str">
        <f>IF(SUMPRODUCT($J$76:AF$76,$J65:AF65)&lt;0.5, "Pending", IF(AF65&lt;0.5, "Complete", "In Progress"))</f>
        <v>Pending</v>
      </c>
      <c r="AH65" s="22">
        <v>0</v>
      </c>
      <c r="AI65" s="22">
        <f t="shared" si="32"/>
        <v>0</v>
      </c>
      <c r="AJ65" s="23" t="str">
        <f>IF(SUMPRODUCT($J$76:AI$76,$J65:AI65)&lt;0.5, "Pending", IF(AI65&lt;0.5, "Complete", "In Progress"))</f>
        <v>Pending</v>
      </c>
      <c r="AK65" s="22">
        <v>0</v>
      </c>
      <c r="AL65" s="22">
        <f t="shared" si="33"/>
        <v>0</v>
      </c>
      <c r="AM65" s="23" t="str">
        <f>IF(SUMPRODUCT($J$76:AL$76,$J65:AL65)&lt;0.5, "Pending", IF(AL65&lt;0.5, "Complete", "In Progress"))</f>
        <v>Pending</v>
      </c>
      <c r="AN65" s="22">
        <v>0</v>
      </c>
      <c r="AO65" s="22">
        <f t="shared" si="34"/>
        <v>0</v>
      </c>
      <c r="AP65" s="23" t="str">
        <f>IF(SUMPRODUCT($J$76:AO$76,$J65:AO65)&lt;0.5, "Pending", IF(AO65&lt;0.5, "Complete", "In Progress"))</f>
        <v>Pending</v>
      </c>
      <c r="AQ65" s="22">
        <v>0</v>
      </c>
      <c r="AR65" s="22">
        <f t="shared" si="35"/>
        <v>0</v>
      </c>
      <c r="AS65" s="23" t="str">
        <f>IF(SUMPRODUCT($J$76:AR$76,$J65:AR65)&lt;0.5, "Pending", IF(AR65&lt;0.5, "Complete", "In Progress"))</f>
        <v>Pending</v>
      </c>
      <c r="AT65" s="22">
        <v>0</v>
      </c>
      <c r="AU65" s="22">
        <f t="shared" si="36"/>
        <v>0</v>
      </c>
      <c r="AV65" s="23" t="str">
        <f>IF(SUMPRODUCT($J$76:AU$76,$J65:AU65)&lt;0.5, "Pending", IF(AU65&lt;0.5, "Complete", "In Progress"))</f>
        <v>Pending</v>
      </c>
      <c r="AW65" s="22">
        <v>0</v>
      </c>
      <c r="AX65" s="22">
        <f t="shared" si="37"/>
        <v>0</v>
      </c>
      <c r="AY65" s="23" t="str">
        <f>IF(SUMPRODUCT($J$76:AX$76,$J65:AX65)&lt;0.5, "Pending", IF(AX65&lt;0.5, "Complete", "In Progress"))</f>
        <v>Pending</v>
      </c>
      <c r="AZ65" s="22">
        <v>0</v>
      </c>
      <c r="BA65" s="22" t="e">
        <f>MAX(#REF!-AZ65,0)</f>
        <v>#REF!</v>
      </c>
      <c r="BB65" s="23" t="e">
        <f>IF(SUMPRODUCT($J$76:BA$76,$J65:BA65)&lt;0.5, "Pending", IF(BA65&lt;0.5, "Complete", "In Progress"))</f>
        <v>#REF!</v>
      </c>
      <c r="BC65" s="22">
        <v>0</v>
      </c>
      <c r="BD65" s="22" t="e">
        <f t="shared" si="38"/>
        <v>#REF!</v>
      </c>
      <c r="BE65" s="23" t="e">
        <f>IF(SUMPRODUCT($J$76:BD$76,$J65:BD65)&lt;0.5, "Pending", IF(BD65&lt;0.5, "Complete", "In Progress"))</f>
        <v>#REF!</v>
      </c>
      <c r="BF65" s="22">
        <v>0</v>
      </c>
      <c r="BG65" s="22" t="e">
        <f t="shared" si="39"/>
        <v>#REF!</v>
      </c>
      <c r="BH65" s="23" t="e">
        <f>IF(SUMPRODUCT($J$76:BG$76,$J65:BG65)&lt;0.5, "Pending", IF(BG65&lt;0.5, "Complete", "In Progress"))</f>
        <v>#REF!</v>
      </c>
      <c r="BI65" s="22">
        <v>0</v>
      </c>
      <c r="BJ65" s="22" t="e">
        <f t="shared" si="40"/>
        <v>#REF!</v>
      </c>
      <c r="BK65" s="23" t="e">
        <f>IF(SUMPRODUCT($J$76:BJ$76,$J65:BJ65)&lt;0.5, "Pending", IF(BJ65&lt;0.5, "Complete", "In Progress"))</f>
        <v>#REF!</v>
      </c>
      <c r="BL65" s="22">
        <v>0</v>
      </c>
      <c r="BM65" s="22" t="e">
        <f t="shared" si="41"/>
        <v>#REF!</v>
      </c>
      <c r="BN65" s="23" t="e">
        <f>IF(SUMPRODUCT($J$76:BM$76,$J65:BM65)&lt;0.5, "Pending", IF(BM65&lt;0.5, "Complete", "In Progress"))</f>
        <v>#REF!</v>
      </c>
      <c r="BO65" s="22">
        <v>0</v>
      </c>
      <c r="BP65" s="22" t="e">
        <f t="shared" si="42"/>
        <v>#REF!</v>
      </c>
      <c r="BQ65" s="23" t="e">
        <f>IF(SUMPRODUCT($J$76:BP$76,$J65:BP65)&lt;0.5, "Pending", IF(BP65&lt;0.5, "Complete", "In Progress"))</f>
        <v>#REF!</v>
      </c>
      <c r="BR65" s="22">
        <v>0</v>
      </c>
      <c r="BS65" s="22" t="e">
        <f t="shared" si="43"/>
        <v>#REF!</v>
      </c>
      <c r="BT65" s="23" t="e">
        <f>IF(SUMPRODUCT($J$76:BS$76,$J65:BS65)&lt;0.5, "Pending", IF(BS65&lt;0.5, "Complete", "In Progress"))</f>
        <v>#REF!</v>
      </c>
      <c r="BU65" s="22">
        <v>0</v>
      </c>
      <c r="BV65" s="22" t="e">
        <f t="shared" si="44"/>
        <v>#REF!</v>
      </c>
      <c r="BW65" s="23" t="e">
        <f>IF(SUMPRODUCT($J$76:BV$76,$J65:BV65)&lt;0.5, "Pending", IF(BV65&lt;0.5, "Complete", "In Progress"))</f>
        <v>#REF!</v>
      </c>
      <c r="BX65" s="22">
        <v>0</v>
      </c>
      <c r="BY65" s="22" t="e">
        <f t="shared" si="45"/>
        <v>#REF!</v>
      </c>
      <c r="BZ65" s="23" t="e">
        <f>IF(SUMPRODUCT($J$76:BY$76,$J65:BY65)&lt;0.5, "Pending", IF(BY65&lt;0.5, "Complete", "In Progress"))</f>
        <v>#REF!</v>
      </c>
      <c r="CA65" s="22">
        <v>0</v>
      </c>
      <c r="CB65" s="22" t="e">
        <f t="shared" si="46"/>
        <v>#REF!</v>
      </c>
      <c r="CC65" s="23" t="e">
        <f>IF(SUMPRODUCT($J$76:CB$76,$J65:CB65)&lt;0.5, "Pending", IF(CB65&lt;0.5, "Complete", "In Progress"))</f>
        <v>#REF!</v>
      </c>
      <c r="CD65" s="24"/>
      <c r="CE65" s="25">
        <f>SUMPRODUCT($H$76:AY$76,$H65:AY65)</f>
        <v>0</v>
      </c>
    </row>
    <row r="66" spans="1:83">
      <c r="A66" s="16"/>
      <c r="B66" s="16"/>
      <c r="C66" s="16"/>
      <c r="D66" s="17"/>
      <c r="E66" s="178"/>
      <c r="F66" s="18" t="s">
        <v>114</v>
      </c>
      <c r="G66" s="19" t="str">
        <f t="shared" ca="1" si="0"/>
        <v>Pending</v>
      </c>
      <c r="H66" s="20">
        <v>1</v>
      </c>
      <c r="I66" s="21">
        <v>0</v>
      </c>
      <c r="J66" s="22">
        <v>0</v>
      </c>
      <c r="K66" s="22">
        <f t="shared" si="24"/>
        <v>0</v>
      </c>
      <c r="L66" s="23" t="str">
        <f>IF(SUMPRODUCT($J$76:K$76,$J66:K66)&lt;0.5, "Pending", IF(K66&lt;0.5, "Complete", "In Progress"))</f>
        <v>Pending</v>
      </c>
      <c r="M66" s="22">
        <v>0</v>
      </c>
      <c r="N66" s="22">
        <f t="shared" si="25"/>
        <v>0</v>
      </c>
      <c r="O66" s="23" t="str">
        <f>IF(SUMPRODUCT($J$76:N$76,$J66:N66)&lt;0.5, "Pending", IF(N66&lt;0.5, "Complete", "In Progress"))</f>
        <v>Pending</v>
      </c>
      <c r="P66" s="22">
        <v>0</v>
      </c>
      <c r="Q66" s="22">
        <f t="shared" si="26"/>
        <v>0</v>
      </c>
      <c r="R66" s="23" t="str">
        <f>IF(SUMPRODUCT($J$76:Q$76,$J66:Q66)&lt;0.5, "Pending", IF(Q66&lt;0.5, "Complete", "In Progress"))</f>
        <v>Pending</v>
      </c>
      <c r="S66" s="22">
        <v>0</v>
      </c>
      <c r="T66" s="22">
        <f t="shared" si="27"/>
        <v>0</v>
      </c>
      <c r="U66" s="23" t="str">
        <f>IF(SUMPRODUCT($J$76:T$76,$J66:T66)&lt;0.5, "Pending", IF(T66&lt;0.5, "Complete", "In Progress"))</f>
        <v>Pending</v>
      </c>
      <c r="V66" s="22">
        <v>0</v>
      </c>
      <c r="W66" s="22">
        <f t="shared" si="28"/>
        <v>0</v>
      </c>
      <c r="X66" s="23" t="str">
        <f>IF(SUMPRODUCT($J$76:W$76,$J66:W66)&lt;0.5, "Pending", IF(W66&lt;0.5, "Complete", "In Progress"))</f>
        <v>Pending</v>
      </c>
      <c r="Y66" s="22">
        <v>0</v>
      </c>
      <c r="Z66" s="22">
        <f t="shared" si="29"/>
        <v>0</v>
      </c>
      <c r="AA66" s="23" t="str">
        <f>IF(SUMPRODUCT($J$76:Z$76,$J66:Z66)&lt;0.5, "Pending", IF(Z66&lt;0.5, "Complete", "In Progress"))</f>
        <v>Pending</v>
      </c>
      <c r="AB66" s="22">
        <v>0</v>
      </c>
      <c r="AC66" s="22">
        <f t="shared" si="30"/>
        <v>0</v>
      </c>
      <c r="AD66" s="23" t="str">
        <f>IF(SUMPRODUCT($J$76:AC$76,$J66:AC66)&lt;0.5, "Pending", IF(AC66&lt;0.5, "Complete", "In Progress"))</f>
        <v>Pending</v>
      </c>
      <c r="AE66" s="22">
        <v>0</v>
      </c>
      <c r="AF66" s="22">
        <f t="shared" si="31"/>
        <v>0</v>
      </c>
      <c r="AG66" s="23" t="str">
        <f>IF(SUMPRODUCT($J$76:AF$76,$J66:AF66)&lt;0.5, "Pending", IF(AF66&lt;0.5, "Complete", "In Progress"))</f>
        <v>Pending</v>
      </c>
      <c r="AH66" s="22">
        <v>0</v>
      </c>
      <c r="AI66" s="22">
        <f t="shared" si="32"/>
        <v>0</v>
      </c>
      <c r="AJ66" s="23" t="str">
        <f>IF(SUMPRODUCT($J$76:AI$76,$J66:AI66)&lt;0.5, "Pending", IF(AI66&lt;0.5, "Complete", "In Progress"))</f>
        <v>Pending</v>
      </c>
      <c r="AK66" s="22">
        <v>0</v>
      </c>
      <c r="AL66" s="22">
        <f t="shared" si="33"/>
        <v>0</v>
      </c>
      <c r="AM66" s="23" t="str">
        <f>IF(SUMPRODUCT($J$76:AL$76,$J66:AL66)&lt;0.5, "Pending", IF(AL66&lt;0.5, "Complete", "In Progress"))</f>
        <v>Pending</v>
      </c>
      <c r="AN66" s="22">
        <v>0</v>
      </c>
      <c r="AO66" s="22">
        <f t="shared" si="34"/>
        <v>0</v>
      </c>
      <c r="AP66" s="23" t="str">
        <f>IF(SUMPRODUCT($J$76:AO$76,$J66:AO66)&lt;0.5, "Pending", IF(AO66&lt;0.5, "Complete", "In Progress"))</f>
        <v>Pending</v>
      </c>
      <c r="AQ66" s="22">
        <v>0</v>
      </c>
      <c r="AR66" s="22">
        <f t="shared" si="35"/>
        <v>0</v>
      </c>
      <c r="AS66" s="23" t="str">
        <f>IF(SUMPRODUCT($J$76:AR$76,$J66:AR66)&lt;0.5, "Pending", IF(AR66&lt;0.5, "Complete", "In Progress"))</f>
        <v>Pending</v>
      </c>
      <c r="AT66" s="22">
        <v>0</v>
      </c>
      <c r="AU66" s="22">
        <f t="shared" si="36"/>
        <v>0</v>
      </c>
      <c r="AV66" s="23" t="str">
        <f>IF(SUMPRODUCT($J$76:AU$76,$J66:AU66)&lt;0.5, "Pending", IF(AU66&lt;0.5, "Complete", "In Progress"))</f>
        <v>Pending</v>
      </c>
      <c r="AW66" s="22">
        <v>0</v>
      </c>
      <c r="AX66" s="22">
        <f t="shared" si="37"/>
        <v>0</v>
      </c>
      <c r="AY66" s="23" t="str">
        <f>IF(SUMPRODUCT($J$76:AX$76,$J66:AX66)&lt;0.5, "Pending", IF(AX66&lt;0.5, "Complete", "In Progress"))</f>
        <v>Pending</v>
      </c>
      <c r="AZ66" s="22">
        <v>0</v>
      </c>
      <c r="BA66" s="22" t="e">
        <f>MAX(#REF!-AZ66,0)</f>
        <v>#REF!</v>
      </c>
      <c r="BB66" s="23" t="e">
        <f>IF(SUMPRODUCT($J$76:BA$76,$J66:BA66)&lt;0.5, "Pending", IF(BA66&lt;0.5, "Complete", "In Progress"))</f>
        <v>#REF!</v>
      </c>
      <c r="BC66" s="22">
        <v>0</v>
      </c>
      <c r="BD66" s="22" t="e">
        <f t="shared" si="38"/>
        <v>#REF!</v>
      </c>
      <c r="BE66" s="23" t="e">
        <f>IF(SUMPRODUCT($J$76:BD$76,$J66:BD66)&lt;0.5, "Pending", IF(BD66&lt;0.5, "Complete", "In Progress"))</f>
        <v>#REF!</v>
      </c>
      <c r="BF66" s="22">
        <v>0</v>
      </c>
      <c r="BG66" s="22" t="e">
        <f t="shared" si="39"/>
        <v>#REF!</v>
      </c>
      <c r="BH66" s="23" t="e">
        <f>IF(SUMPRODUCT($J$76:BG$76,$J66:BG66)&lt;0.5, "Pending", IF(BG66&lt;0.5, "Complete", "In Progress"))</f>
        <v>#REF!</v>
      </c>
      <c r="BI66" s="22">
        <v>0</v>
      </c>
      <c r="BJ66" s="22" t="e">
        <f t="shared" si="40"/>
        <v>#REF!</v>
      </c>
      <c r="BK66" s="23" t="e">
        <f>IF(SUMPRODUCT($J$76:BJ$76,$J66:BJ66)&lt;0.5, "Pending", IF(BJ66&lt;0.5, "Complete", "In Progress"))</f>
        <v>#REF!</v>
      </c>
      <c r="BL66" s="22">
        <v>0</v>
      </c>
      <c r="BM66" s="22" t="e">
        <f t="shared" si="41"/>
        <v>#REF!</v>
      </c>
      <c r="BN66" s="23" t="e">
        <f>IF(SUMPRODUCT($J$76:BM$76,$J66:BM66)&lt;0.5, "Pending", IF(BM66&lt;0.5, "Complete", "In Progress"))</f>
        <v>#REF!</v>
      </c>
      <c r="BO66" s="22">
        <v>0</v>
      </c>
      <c r="BP66" s="22" t="e">
        <f t="shared" si="42"/>
        <v>#REF!</v>
      </c>
      <c r="BQ66" s="23" t="e">
        <f>IF(SUMPRODUCT($J$76:BP$76,$J66:BP66)&lt;0.5, "Pending", IF(BP66&lt;0.5, "Complete", "In Progress"))</f>
        <v>#REF!</v>
      </c>
      <c r="BR66" s="22">
        <v>0</v>
      </c>
      <c r="BS66" s="22" t="e">
        <f t="shared" si="43"/>
        <v>#REF!</v>
      </c>
      <c r="BT66" s="23" t="e">
        <f>IF(SUMPRODUCT($J$76:BS$76,$J66:BS66)&lt;0.5, "Pending", IF(BS66&lt;0.5, "Complete", "In Progress"))</f>
        <v>#REF!</v>
      </c>
      <c r="BU66" s="22">
        <v>0</v>
      </c>
      <c r="BV66" s="22" t="e">
        <f t="shared" si="44"/>
        <v>#REF!</v>
      </c>
      <c r="BW66" s="23" t="e">
        <f>IF(SUMPRODUCT($J$76:BV$76,$J66:BV66)&lt;0.5, "Pending", IF(BV66&lt;0.5, "Complete", "In Progress"))</f>
        <v>#REF!</v>
      </c>
      <c r="BX66" s="22">
        <v>0</v>
      </c>
      <c r="BY66" s="22" t="e">
        <f t="shared" si="45"/>
        <v>#REF!</v>
      </c>
      <c r="BZ66" s="23" t="e">
        <f>IF(SUMPRODUCT($J$76:BY$76,$J66:BY66)&lt;0.5, "Pending", IF(BY66&lt;0.5, "Complete", "In Progress"))</f>
        <v>#REF!</v>
      </c>
      <c r="CA66" s="22">
        <v>0</v>
      </c>
      <c r="CB66" s="22" t="e">
        <f t="shared" si="46"/>
        <v>#REF!</v>
      </c>
      <c r="CC66" s="23" t="e">
        <f>IF(SUMPRODUCT($J$76:CB$76,$J66:CB66)&lt;0.5, "Pending", IF(CB66&lt;0.5, "Complete", "In Progress"))</f>
        <v>#REF!</v>
      </c>
      <c r="CD66" s="24"/>
      <c r="CE66" s="25">
        <f>SUMPRODUCT($H$76:AY$76,$H66:AY66)</f>
        <v>0</v>
      </c>
    </row>
    <row r="67" spans="1:83">
      <c r="A67" s="16"/>
      <c r="B67" s="16"/>
      <c r="C67" s="16"/>
      <c r="D67" s="17"/>
      <c r="E67" s="178"/>
      <c r="F67" s="18" t="s">
        <v>114</v>
      </c>
      <c r="G67" s="19" t="str">
        <f t="shared" ca="1" si="0"/>
        <v>Pending</v>
      </c>
      <c r="H67" s="20">
        <v>1</v>
      </c>
      <c r="I67" s="21">
        <v>0</v>
      </c>
      <c r="J67" s="22">
        <v>0</v>
      </c>
      <c r="K67" s="22">
        <f t="shared" si="24"/>
        <v>0</v>
      </c>
      <c r="L67" s="23" t="str">
        <f>IF(SUMPRODUCT($J$76:K$76,$J67:K67)&lt;0.5, "Pending", IF(K67&lt;0.5, "Complete", "In Progress"))</f>
        <v>Pending</v>
      </c>
      <c r="M67" s="22">
        <v>0</v>
      </c>
      <c r="N67" s="22">
        <f t="shared" si="25"/>
        <v>0</v>
      </c>
      <c r="O67" s="23" t="str">
        <f>IF(SUMPRODUCT($J$76:N$76,$J67:N67)&lt;0.5, "Pending", IF(N67&lt;0.5, "Complete", "In Progress"))</f>
        <v>Pending</v>
      </c>
      <c r="P67" s="22">
        <v>0</v>
      </c>
      <c r="Q67" s="22">
        <f t="shared" si="26"/>
        <v>0</v>
      </c>
      <c r="R67" s="23" t="str">
        <f>IF(SUMPRODUCT($J$76:Q$76,$J67:Q67)&lt;0.5, "Pending", IF(Q67&lt;0.5, "Complete", "In Progress"))</f>
        <v>Pending</v>
      </c>
      <c r="S67" s="22">
        <v>0</v>
      </c>
      <c r="T67" s="22">
        <f t="shared" si="27"/>
        <v>0</v>
      </c>
      <c r="U67" s="23" t="str">
        <f>IF(SUMPRODUCT($J$76:T$76,$J67:T67)&lt;0.5, "Pending", IF(T67&lt;0.5, "Complete", "In Progress"))</f>
        <v>Pending</v>
      </c>
      <c r="V67" s="22">
        <v>0</v>
      </c>
      <c r="W67" s="22">
        <f t="shared" si="28"/>
        <v>0</v>
      </c>
      <c r="X67" s="23" t="str">
        <f>IF(SUMPRODUCT($J$76:W$76,$J67:W67)&lt;0.5, "Pending", IF(W67&lt;0.5, "Complete", "In Progress"))</f>
        <v>Pending</v>
      </c>
      <c r="Y67" s="22">
        <v>0</v>
      </c>
      <c r="Z67" s="22">
        <f t="shared" si="29"/>
        <v>0</v>
      </c>
      <c r="AA67" s="23" t="str">
        <f>IF(SUMPRODUCT($J$76:Z$76,$J67:Z67)&lt;0.5, "Pending", IF(Z67&lt;0.5, "Complete", "In Progress"))</f>
        <v>Pending</v>
      </c>
      <c r="AB67" s="22">
        <v>0</v>
      </c>
      <c r="AC67" s="22">
        <f t="shared" si="30"/>
        <v>0</v>
      </c>
      <c r="AD67" s="23" t="str">
        <f>IF(SUMPRODUCT($J$76:AC$76,$J67:AC67)&lt;0.5, "Pending", IF(AC67&lt;0.5, "Complete", "In Progress"))</f>
        <v>Pending</v>
      </c>
      <c r="AE67" s="22">
        <v>0</v>
      </c>
      <c r="AF67" s="22">
        <f t="shared" si="31"/>
        <v>0</v>
      </c>
      <c r="AG67" s="23" t="str">
        <f>IF(SUMPRODUCT($J$76:AF$76,$J67:AF67)&lt;0.5, "Pending", IF(AF67&lt;0.5, "Complete", "In Progress"))</f>
        <v>Pending</v>
      </c>
      <c r="AH67" s="22">
        <v>0</v>
      </c>
      <c r="AI67" s="22">
        <f t="shared" si="32"/>
        <v>0</v>
      </c>
      <c r="AJ67" s="23" t="str">
        <f>IF(SUMPRODUCT($J$76:AI$76,$J67:AI67)&lt;0.5, "Pending", IF(AI67&lt;0.5, "Complete", "In Progress"))</f>
        <v>Pending</v>
      </c>
      <c r="AK67" s="22">
        <v>0</v>
      </c>
      <c r="AL67" s="22">
        <f t="shared" si="33"/>
        <v>0</v>
      </c>
      <c r="AM67" s="23" t="str">
        <f>IF(SUMPRODUCT($J$76:AL$76,$J67:AL67)&lt;0.5, "Pending", IF(AL67&lt;0.5, "Complete", "In Progress"))</f>
        <v>Pending</v>
      </c>
      <c r="AN67" s="22">
        <v>0</v>
      </c>
      <c r="AO67" s="22">
        <f t="shared" si="34"/>
        <v>0</v>
      </c>
      <c r="AP67" s="23" t="str">
        <f>IF(SUMPRODUCT($J$76:AO$76,$J67:AO67)&lt;0.5, "Pending", IF(AO67&lt;0.5, "Complete", "In Progress"))</f>
        <v>Pending</v>
      </c>
      <c r="AQ67" s="22">
        <v>0</v>
      </c>
      <c r="AR67" s="22">
        <f t="shared" si="35"/>
        <v>0</v>
      </c>
      <c r="AS67" s="23" t="str">
        <f>IF(SUMPRODUCT($J$76:AR$76,$J67:AR67)&lt;0.5, "Pending", IF(AR67&lt;0.5, "Complete", "In Progress"))</f>
        <v>Pending</v>
      </c>
      <c r="AT67" s="22">
        <v>0</v>
      </c>
      <c r="AU67" s="22">
        <f t="shared" si="36"/>
        <v>0</v>
      </c>
      <c r="AV67" s="23" t="str">
        <f>IF(SUMPRODUCT($J$76:AU$76,$J67:AU67)&lt;0.5, "Pending", IF(AU67&lt;0.5, "Complete", "In Progress"))</f>
        <v>Pending</v>
      </c>
      <c r="AW67" s="22">
        <v>0</v>
      </c>
      <c r="AX67" s="22">
        <f t="shared" si="37"/>
        <v>0</v>
      </c>
      <c r="AY67" s="23" t="str">
        <f>IF(SUMPRODUCT($J$76:AX$76,$J67:AX67)&lt;0.5, "Pending", IF(AX67&lt;0.5, "Complete", "In Progress"))</f>
        <v>Pending</v>
      </c>
      <c r="AZ67" s="22">
        <v>0</v>
      </c>
      <c r="BA67" s="22" t="e">
        <f>MAX(#REF!-AZ67,0)</f>
        <v>#REF!</v>
      </c>
      <c r="BB67" s="23" t="e">
        <f>IF(SUMPRODUCT($J$76:BA$76,$J67:BA67)&lt;0.5, "Pending", IF(BA67&lt;0.5, "Complete", "In Progress"))</f>
        <v>#REF!</v>
      </c>
      <c r="BC67" s="22">
        <v>0</v>
      </c>
      <c r="BD67" s="22" t="e">
        <f t="shared" si="38"/>
        <v>#REF!</v>
      </c>
      <c r="BE67" s="23" t="e">
        <f>IF(SUMPRODUCT($J$76:BD$76,$J67:BD67)&lt;0.5, "Pending", IF(BD67&lt;0.5, "Complete", "In Progress"))</f>
        <v>#REF!</v>
      </c>
      <c r="BF67" s="22">
        <v>0</v>
      </c>
      <c r="BG67" s="22" t="e">
        <f t="shared" si="39"/>
        <v>#REF!</v>
      </c>
      <c r="BH67" s="23" t="e">
        <f>IF(SUMPRODUCT($J$76:BG$76,$J67:BG67)&lt;0.5, "Pending", IF(BG67&lt;0.5, "Complete", "In Progress"))</f>
        <v>#REF!</v>
      </c>
      <c r="BI67" s="22">
        <v>0</v>
      </c>
      <c r="BJ67" s="22" t="e">
        <f t="shared" si="40"/>
        <v>#REF!</v>
      </c>
      <c r="BK67" s="23" t="e">
        <f>IF(SUMPRODUCT($J$76:BJ$76,$J67:BJ67)&lt;0.5, "Pending", IF(BJ67&lt;0.5, "Complete", "In Progress"))</f>
        <v>#REF!</v>
      </c>
      <c r="BL67" s="22">
        <v>0</v>
      </c>
      <c r="BM67" s="22" t="e">
        <f t="shared" si="41"/>
        <v>#REF!</v>
      </c>
      <c r="BN67" s="23" t="e">
        <f>IF(SUMPRODUCT($J$76:BM$76,$J67:BM67)&lt;0.5, "Pending", IF(BM67&lt;0.5, "Complete", "In Progress"))</f>
        <v>#REF!</v>
      </c>
      <c r="BO67" s="22">
        <v>0</v>
      </c>
      <c r="BP67" s="22" t="e">
        <f t="shared" si="42"/>
        <v>#REF!</v>
      </c>
      <c r="BQ67" s="23" t="e">
        <f>IF(SUMPRODUCT($J$76:BP$76,$J67:BP67)&lt;0.5, "Pending", IF(BP67&lt;0.5, "Complete", "In Progress"))</f>
        <v>#REF!</v>
      </c>
      <c r="BR67" s="22">
        <v>0</v>
      </c>
      <c r="BS67" s="22" t="e">
        <f t="shared" si="43"/>
        <v>#REF!</v>
      </c>
      <c r="BT67" s="23" t="e">
        <f>IF(SUMPRODUCT($J$76:BS$76,$J67:BS67)&lt;0.5, "Pending", IF(BS67&lt;0.5, "Complete", "In Progress"))</f>
        <v>#REF!</v>
      </c>
      <c r="BU67" s="22">
        <v>0</v>
      </c>
      <c r="BV67" s="22" t="e">
        <f t="shared" si="44"/>
        <v>#REF!</v>
      </c>
      <c r="BW67" s="23" t="e">
        <f>IF(SUMPRODUCT($J$76:BV$76,$J67:BV67)&lt;0.5, "Pending", IF(BV67&lt;0.5, "Complete", "In Progress"))</f>
        <v>#REF!</v>
      </c>
      <c r="BX67" s="22">
        <v>0</v>
      </c>
      <c r="BY67" s="22" t="e">
        <f t="shared" si="45"/>
        <v>#REF!</v>
      </c>
      <c r="BZ67" s="23" t="e">
        <f>IF(SUMPRODUCT($J$76:BY$76,$J67:BY67)&lt;0.5, "Pending", IF(BY67&lt;0.5, "Complete", "In Progress"))</f>
        <v>#REF!</v>
      </c>
      <c r="CA67" s="22">
        <v>0</v>
      </c>
      <c r="CB67" s="22" t="e">
        <f t="shared" si="46"/>
        <v>#REF!</v>
      </c>
      <c r="CC67" s="23" t="e">
        <f>IF(SUMPRODUCT($J$76:CB$76,$J67:CB67)&lt;0.5, "Pending", IF(CB67&lt;0.5, "Complete", "In Progress"))</f>
        <v>#REF!</v>
      </c>
      <c r="CD67" s="24"/>
      <c r="CE67" s="25">
        <f>SUMPRODUCT($H$76:AY$76,$H67:AY67)</f>
        <v>0</v>
      </c>
    </row>
    <row r="68" spans="1:83">
      <c r="A68" s="16"/>
      <c r="B68" s="16"/>
      <c r="C68" s="16"/>
      <c r="D68" s="17"/>
      <c r="E68" s="178"/>
      <c r="F68" s="18" t="s">
        <v>114</v>
      </c>
      <c r="G68" s="19" t="str">
        <f t="shared" ca="1" si="0"/>
        <v>Pending</v>
      </c>
      <c r="H68" s="20">
        <v>1</v>
      </c>
      <c r="I68" s="21">
        <v>0</v>
      </c>
      <c r="J68" s="22">
        <v>0</v>
      </c>
      <c r="K68" s="22">
        <f t="shared" si="24"/>
        <v>0</v>
      </c>
      <c r="L68" s="23" t="str">
        <f>IF(SUMPRODUCT($J$76:K$76,$J68:K68)&lt;0.5, "Pending", IF(K68&lt;0.5, "Complete", "In Progress"))</f>
        <v>Pending</v>
      </c>
      <c r="M68" s="22">
        <v>0</v>
      </c>
      <c r="N68" s="22">
        <f t="shared" si="25"/>
        <v>0</v>
      </c>
      <c r="O68" s="23" t="str">
        <f>IF(SUMPRODUCT($J$76:N$76,$J68:N68)&lt;0.5, "Pending", IF(N68&lt;0.5, "Complete", "In Progress"))</f>
        <v>Pending</v>
      </c>
      <c r="P68" s="22">
        <v>0</v>
      </c>
      <c r="Q68" s="22">
        <f t="shared" si="26"/>
        <v>0</v>
      </c>
      <c r="R68" s="23" t="str">
        <f>IF(SUMPRODUCT($J$76:Q$76,$J68:Q68)&lt;0.5, "Pending", IF(Q68&lt;0.5, "Complete", "In Progress"))</f>
        <v>Pending</v>
      </c>
      <c r="S68" s="22">
        <v>0</v>
      </c>
      <c r="T68" s="22">
        <f t="shared" si="27"/>
        <v>0</v>
      </c>
      <c r="U68" s="23" t="str">
        <f>IF(SUMPRODUCT($J$76:T$76,$J68:T68)&lt;0.5, "Pending", IF(T68&lt;0.5, "Complete", "In Progress"))</f>
        <v>Pending</v>
      </c>
      <c r="V68" s="22">
        <v>0</v>
      </c>
      <c r="W68" s="22">
        <f t="shared" si="28"/>
        <v>0</v>
      </c>
      <c r="X68" s="23" t="str">
        <f>IF(SUMPRODUCT($J$76:W$76,$J68:W68)&lt;0.5, "Pending", IF(W68&lt;0.5, "Complete", "In Progress"))</f>
        <v>Pending</v>
      </c>
      <c r="Y68" s="22">
        <v>0</v>
      </c>
      <c r="Z68" s="22">
        <f t="shared" si="29"/>
        <v>0</v>
      </c>
      <c r="AA68" s="23" t="str">
        <f>IF(SUMPRODUCT($J$76:Z$76,$J68:Z68)&lt;0.5, "Pending", IF(Z68&lt;0.5, "Complete", "In Progress"))</f>
        <v>Pending</v>
      </c>
      <c r="AB68" s="22">
        <v>0</v>
      </c>
      <c r="AC68" s="22">
        <f t="shared" si="30"/>
        <v>0</v>
      </c>
      <c r="AD68" s="23" t="str">
        <f>IF(SUMPRODUCT($J$76:AC$76,$J68:AC68)&lt;0.5, "Pending", IF(AC68&lt;0.5, "Complete", "In Progress"))</f>
        <v>Pending</v>
      </c>
      <c r="AE68" s="22">
        <v>0</v>
      </c>
      <c r="AF68" s="22">
        <f t="shared" si="31"/>
        <v>0</v>
      </c>
      <c r="AG68" s="23" t="str">
        <f>IF(SUMPRODUCT($J$76:AF$76,$J68:AF68)&lt;0.5, "Pending", IF(AF68&lt;0.5, "Complete", "In Progress"))</f>
        <v>Pending</v>
      </c>
      <c r="AH68" s="22">
        <v>0</v>
      </c>
      <c r="AI68" s="22">
        <f t="shared" si="32"/>
        <v>0</v>
      </c>
      <c r="AJ68" s="23" t="str">
        <f>IF(SUMPRODUCT($J$76:AI$76,$J68:AI68)&lt;0.5, "Pending", IF(AI68&lt;0.5, "Complete", "In Progress"))</f>
        <v>Pending</v>
      </c>
      <c r="AK68" s="22">
        <v>0</v>
      </c>
      <c r="AL68" s="22">
        <f t="shared" si="33"/>
        <v>0</v>
      </c>
      <c r="AM68" s="23" t="str">
        <f>IF(SUMPRODUCT($J$76:AL$76,$J68:AL68)&lt;0.5, "Pending", IF(AL68&lt;0.5, "Complete", "In Progress"))</f>
        <v>Pending</v>
      </c>
      <c r="AN68" s="22">
        <v>0</v>
      </c>
      <c r="AO68" s="22">
        <f t="shared" si="34"/>
        <v>0</v>
      </c>
      <c r="AP68" s="23" t="str">
        <f>IF(SUMPRODUCT($J$76:AO$76,$J68:AO68)&lt;0.5, "Pending", IF(AO68&lt;0.5, "Complete", "In Progress"))</f>
        <v>Pending</v>
      </c>
      <c r="AQ68" s="22">
        <v>0</v>
      </c>
      <c r="AR68" s="22">
        <f t="shared" si="35"/>
        <v>0</v>
      </c>
      <c r="AS68" s="23" t="str">
        <f>IF(SUMPRODUCT($J$76:AR$76,$J68:AR68)&lt;0.5, "Pending", IF(AR68&lt;0.5, "Complete", "In Progress"))</f>
        <v>Pending</v>
      </c>
      <c r="AT68" s="22">
        <v>0</v>
      </c>
      <c r="AU68" s="22">
        <f t="shared" si="36"/>
        <v>0</v>
      </c>
      <c r="AV68" s="23" t="str">
        <f>IF(SUMPRODUCT($J$76:AU$76,$J68:AU68)&lt;0.5, "Pending", IF(AU68&lt;0.5, "Complete", "In Progress"))</f>
        <v>Pending</v>
      </c>
      <c r="AW68" s="22">
        <v>0</v>
      </c>
      <c r="AX68" s="22">
        <f t="shared" si="37"/>
        <v>0</v>
      </c>
      <c r="AY68" s="23" t="str">
        <f>IF(SUMPRODUCT($J$76:AX$76,$J68:AX68)&lt;0.5, "Pending", IF(AX68&lt;0.5, "Complete", "In Progress"))</f>
        <v>Pending</v>
      </c>
      <c r="AZ68" s="22">
        <v>0</v>
      </c>
      <c r="BA68" s="22" t="e">
        <f>MAX(#REF!-AZ68,0)</f>
        <v>#REF!</v>
      </c>
      <c r="BB68" s="23" t="e">
        <f>IF(SUMPRODUCT($J$76:BA$76,$J68:BA68)&lt;0.5, "Pending", IF(BA68&lt;0.5, "Complete", "In Progress"))</f>
        <v>#REF!</v>
      </c>
      <c r="BC68" s="22">
        <v>0</v>
      </c>
      <c r="BD68" s="22" t="e">
        <f t="shared" si="38"/>
        <v>#REF!</v>
      </c>
      <c r="BE68" s="23" t="e">
        <f>IF(SUMPRODUCT($J$76:BD$76,$J68:BD68)&lt;0.5, "Pending", IF(BD68&lt;0.5, "Complete", "In Progress"))</f>
        <v>#REF!</v>
      </c>
      <c r="BF68" s="22">
        <v>0</v>
      </c>
      <c r="BG68" s="22" t="e">
        <f t="shared" si="39"/>
        <v>#REF!</v>
      </c>
      <c r="BH68" s="23" t="e">
        <f>IF(SUMPRODUCT($J$76:BG$76,$J68:BG68)&lt;0.5, "Pending", IF(BG68&lt;0.5, "Complete", "In Progress"))</f>
        <v>#REF!</v>
      </c>
      <c r="BI68" s="22">
        <v>0</v>
      </c>
      <c r="BJ68" s="22" t="e">
        <f t="shared" si="40"/>
        <v>#REF!</v>
      </c>
      <c r="BK68" s="23" t="e">
        <f>IF(SUMPRODUCT($J$76:BJ$76,$J68:BJ68)&lt;0.5, "Pending", IF(BJ68&lt;0.5, "Complete", "In Progress"))</f>
        <v>#REF!</v>
      </c>
      <c r="BL68" s="22">
        <v>0</v>
      </c>
      <c r="BM68" s="22" t="e">
        <f t="shared" si="41"/>
        <v>#REF!</v>
      </c>
      <c r="BN68" s="23" t="e">
        <f>IF(SUMPRODUCT($J$76:BM$76,$J68:BM68)&lt;0.5, "Pending", IF(BM68&lt;0.5, "Complete", "In Progress"))</f>
        <v>#REF!</v>
      </c>
      <c r="BO68" s="22">
        <v>0</v>
      </c>
      <c r="BP68" s="22" t="e">
        <f t="shared" si="42"/>
        <v>#REF!</v>
      </c>
      <c r="BQ68" s="23" t="e">
        <f>IF(SUMPRODUCT($J$76:BP$76,$J68:BP68)&lt;0.5, "Pending", IF(BP68&lt;0.5, "Complete", "In Progress"))</f>
        <v>#REF!</v>
      </c>
      <c r="BR68" s="22">
        <v>0</v>
      </c>
      <c r="BS68" s="22" t="e">
        <f t="shared" si="43"/>
        <v>#REF!</v>
      </c>
      <c r="BT68" s="23" t="e">
        <f>IF(SUMPRODUCT($J$76:BS$76,$J68:BS68)&lt;0.5, "Pending", IF(BS68&lt;0.5, "Complete", "In Progress"))</f>
        <v>#REF!</v>
      </c>
      <c r="BU68" s="22">
        <v>0</v>
      </c>
      <c r="BV68" s="22" t="e">
        <f t="shared" si="44"/>
        <v>#REF!</v>
      </c>
      <c r="BW68" s="23" t="e">
        <f>IF(SUMPRODUCT($J$76:BV$76,$J68:BV68)&lt;0.5, "Pending", IF(BV68&lt;0.5, "Complete", "In Progress"))</f>
        <v>#REF!</v>
      </c>
      <c r="BX68" s="22">
        <v>0</v>
      </c>
      <c r="BY68" s="22" t="e">
        <f t="shared" si="45"/>
        <v>#REF!</v>
      </c>
      <c r="BZ68" s="23" t="e">
        <f>IF(SUMPRODUCT($J$76:BY$76,$J68:BY68)&lt;0.5, "Pending", IF(BY68&lt;0.5, "Complete", "In Progress"))</f>
        <v>#REF!</v>
      </c>
      <c r="CA68" s="22">
        <v>0</v>
      </c>
      <c r="CB68" s="22" t="e">
        <f t="shared" si="46"/>
        <v>#REF!</v>
      </c>
      <c r="CC68" s="23" t="e">
        <f>IF(SUMPRODUCT($J$76:CB$76,$J68:CB68)&lt;0.5, "Pending", IF(CB68&lt;0.5, "Complete", "In Progress"))</f>
        <v>#REF!</v>
      </c>
      <c r="CD68" s="24"/>
      <c r="CE68" s="25">
        <f>SUMPRODUCT($H$76:AY$76,$H68:AY68)</f>
        <v>0</v>
      </c>
    </row>
    <row r="69" spans="1:83">
      <c r="A69" s="16"/>
      <c r="B69" s="16"/>
      <c r="C69" s="16"/>
      <c r="D69" s="17"/>
      <c r="E69" s="178"/>
      <c r="F69" s="18" t="s">
        <v>114</v>
      </c>
      <c r="G69" s="19" t="str">
        <f t="shared" ca="1" si="0"/>
        <v>Pending</v>
      </c>
      <c r="H69" s="20">
        <v>1</v>
      </c>
      <c r="I69" s="21">
        <v>0</v>
      </c>
      <c r="J69" s="22">
        <v>0</v>
      </c>
      <c r="K69" s="22">
        <f t="shared" si="24"/>
        <v>0</v>
      </c>
      <c r="L69" s="23" t="str">
        <f>IF(SUMPRODUCT($J$76:K$76,$J69:K69)&lt;0.5, "Pending", IF(K69&lt;0.5, "Complete", "In Progress"))</f>
        <v>Pending</v>
      </c>
      <c r="M69" s="22">
        <v>0</v>
      </c>
      <c r="N69" s="22">
        <f t="shared" si="25"/>
        <v>0</v>
      </c>
      <c r="O69" s="23" t="str">
        <f>IF(SUMPRODUCT($J$76:N$76,$J69:N69)&lt;0.5, "Pending", IF(N69&lt;0.5, "Complete", "In Progress"))</f>
        <v>Pending</v>
      </c>
      <c r="P69" s="22">
        <v>0</v>
      </c>
      <c r="Q69" s="22">
        <f t="shared" si="26"/>
        <v>0</v>
      </c>
      <c r="R69" s="23" t="str">
        <f>IF(SUMPRODUCT($J$76:Q$76,$J69:Q69)&lt;0.5, "Pending", IF(Q69&lt;0.5, "Complete", "In Progress"))</f>
        <v>Pending</v>
      </c>
      <c r="S69" s="22">
        <v>0</v>
      </c>
      <c r="T69" s="22">
        <f t="shared" si="27"/>
        <v>0</v>
      </c>
      <c r="U69" s="23" t="str">
        <f>IF(SUMPRODUCT($J$76:T$76,$J69:T69)&lt;0.5, "Pending", IF(T69&lt;0.5, "Complete", "In Progress"))</f>
        <v>Pending</v>
      </c>
      <c r="V69" s="22">
        <v>0</v>
      </c>
      <c r="W69" s="22">
        <f t="shared" si="28"/>
        <v>0</v>
      </c>
      <c r="X69" s="23" t="str">
        <f>IF(SUMPRODUCT($J$76:W$76,$J69:W69)&lt;0.5, "Pending", IF(W69&lt;0.5, "Complete", "In Progress"))</f>
        <v>Pending</v>
      </c>
      <c r="Y69" s="22">
        <v>0</v>
      </c>
      <c r="Z69" s="22">
        <f t="shared" si="29"/>
        <v>0</v>
      </c>
      <c r="AA69" s="23" t="str">
        <f>IF(SUMPRODUCT($J$76:Z$76,$J69:Z69)&lt;0.5, "Pending", IF(Z69&lt;0.5, "Complete", "In Progress"))</f>
        <v>Pending</v>
      </c>
      <c r="AB69" s="22">
        <v>0</v>
      </c>
      <c r="AC69" s="22">
        <f t="shared" si="30"/>
        <v>0</v>
      </c>
      <c r="AD69" s="23" t="str">
        <f>IF(SUMPRODUCT($J$76:AC$76,$J69:AC69)&lt;0.5, "Pending", IF(AC69&lt;0.5, "Complete", "In Progress"))</f>
        <v>Pending</v>
      </c>
      <c r="AE69" s="22">
        <v>0</v>
      </c>
      <c r="AF69" s="22">
        <f t="shared" si="31"/>
        <v>0</v>
      </c>
      <c r="AG69" s="23" t="str">
        <f>IF(SUMPRODUCT($J$76:AF$76,$J69:AF69)&lt;0.5, "Pending", IF(AF69&lt;0.5, "Complete", "In Progress"))</f>
        <v>Pending</v>
      </c>
      <c r="AH69" s="22">
        <v>0</v>
      </c>
      <c r="AI69" s="22">
        <f t="shared" si="32"/>
        <v>0</v>
      </c>
      <c r="AJ69" s="23" t="str">
        <f>IF(SUMPRODUCT($J$76:AI$76,$J69:AI69)&lt;0.5, "Pending", IF(AI69&lt;0.5, "Complete", "In Progress"))</f>
        <v>Pending</v>
      </c>
      <c r="AK69" s="22">
        <v>0</v>
      </c>
      <c r="AL69" s="22">
        <f t="shared" si="33"/>
        <v>0</v>
      </c>
      <c r="AM69" s="23" t="str">
        <f>IF(SUMPRODUCT($J$76:AL$76,$J69:AL69)&lt;0.5, "Pending", IF(AL69&lt;0.5, "Complete", "In Progress"))</f>
        <v>Pending</v>
      </c>
      <c r="AN69" s="22">
        <v>0</v>
      </c>
      <c r="AO69" s="22">
        <f t="shared" si="34"/>
        <v>0</v>
      </c>
      <c r="AP69" s="23" t="str">
        <f>IF(SUMPRODUCT($J$76:AO$76,$J69:AO69)&lt;0.5, "Pending", IF(AO69&lt;0.5, "Complete", "In Progress"))</f>
        <v>Pending</v>
      </c>
      <c r="AQ69" s="22">
        <v>0</v>
      </c>
      <c r="AR69" s="22">
        <f t="shared" si="35"/>
        <v>0</v>
      </c>
      <c r="AS69" s="23" t="str">
        <f>IF(SUMPRODUCT($J$76:AR$76,$J69:AR69)&lt;0.5, "Pending", IF(AR69&lt;0.5, "Complete", "In Progress"))</f>
        <v>Pending</v>
      </c>
      <c r="AT69" s="22">
        <v>0</v>
      </c>
      <c r="AU69" s="22">
        <f t="shared" si="36"/>
        <v>0</v>
      </c>
      <c r="AV69" s="23" t="str">
        <f>IF(SUMPRODUCT($J$76:AU$76,$J69:AU69)&lt;0.5, "Pending", IF(AU69&lt;0.5, "Complete", "In Progress"))</f>
        <v>Pending</v>
      </c>
      <c r="AW69" s="22">
        <v>0</v>
      </c>
      <c r="AX69" s="22">
        <f t="shared" si="37"/>
        <v>0</v>
      </c>
      <c r="AY69" s="23" t="str">
        <f>IF(SUMPRODUCT($J$76:AX$76,$J69:AX69)&lt;0.5, "Pending", IF(AX69&lt;0.5, "Complete", "In Progress"))</f>
        <v>Pending</v>
      </c>
      <c r="AZ69" s="22">
        <v>0</v>
      </c>
      <c r="BA69" s="22" t="e">
        <f>MAX(#REF!-AZ69,0)</f>
        <v>#REF!</v>
      </c>
      <c r="BB69" s="23" t="e">
        <f>IF(SUMPRODUCT($J$76:BA$76,$J69:BA69)&lt;0.5, "Pending", IF(BA69&lt;0.5, "Complete", "In Progress"))</f>
        <v>#REF!</v>
      </c>
      <c r="BC69" s="22">
        <v>0</v>
      </c>
      <c r="BD69" s="22" t="e">
        <f t="shared" si="38"/>
        <v>#REF!</v>
      </c>
      <c r="BE69" s="23" t="e">
        <f>IF(SUMPRODUCT($J$76:BD$76,$J69:BD69)&lt;0.5, "Pending", IF(BD69&lt;0.5, "Complete", "In Progress"))</f>
        <v>#REF!</v>
      </c>
      <c r="BF69" s="22">
        <v>0</v>
      </c>
      <c r="BG69" s="22" t="e">
        <f t="shared" si="39"/>
        <v>#REF!</v>
      </c>
      <c r="BH69" s="23" t="e">
        <f>IF(SUMPRODUCT($J$76:BG$76,$J69:BG69)&lt;0.5, "Pending", IF(BG69&lt;0.5, "Complete", "In Progress"))</f>
        <v>#REF!</v>
      </c>
      <c r="BI69" s="22">
        <v>0</v>
      </c>
      <c r="BJ69" s="22" t="e">
        <f t="shared" si="40"/>
        <v>#REF!</v>
      </c>
      <c r="BK69" s="23" t="e">
        <f>IF(SUMPRODUCT($J$76:BJ$76,$J69:BJ69)&lt;0.5, "Pending", IF(BJ69&lt;0.5, "Complete", "In Progress"))</f>
        <v>#REF!</v>
      </c>
      <c r="BL69" s="22">
        <v>0</v>
      </c>
      <c r="BM69" s="22" t="e">
        <f t="shared" si="41"/>
        <v>#REF!</v>
      </c>
      <c r="BN69" s="23" t="e">
        <f>IF(SUMPRODUCT($J$76:BM$76,$J69:BM69)&lt;0.5, "Pending", IF(BM69&lt;0.5, "Complete", "In Progress"))</f>
        <v>#REF!</v>
      </c>
      <c r="BO69" s="22">
        <v>0</v>
      </c>
      <c r="BP69" s="22" t="e">
        <f t="shared" si="42"/>
        <v>#REF!</v>
      </c>
      <c r="BQ69" s="23" t="e">
        <f>IF(SUMPRODUCT($J$76:BP$76,$J69:BP69)&lt;0.5, "Pending", IF(BP69&lt;0.5, "Complete", "In Progress"))</f>
        <v>#REF!</v>
      </c>
      <c r="BR69" s="22">
        <v>0</v>
      </c>
      <c r="BS69" s="22" t="e">
        <f t="shared" si="43"/>
        <v>#REF!</v>
      </c>
      <c r="BT69" s="23" t="e">
        <f>IF(SUMPRODUCT($J$76:BS$76,$J69:BS69)&lt;0.5, "Pending", IF(BS69&lt;0.5, "Complete", "In Progress"))</f>
        <v>#REF!</v>
      </c>
      <c r="BU69" s="22">
        <v>0</v>
      </c>
      <c r="BV69" s="22" t="e">
        <f t="shared" si="44"/>
        <v>#REF!</v>
      </c>
      <c r="BW69" s="23" t="e">
        <f>IF(SUMPRODUCT($J$76:BV$76,$J69:BV69)&lt;0.5, "Pending", IF(BV69&lt;0.5, "Complete", "In Progress"))</f>
        <v>#REF!</v>
      </c>
      <c r="BX69" s="22">
        <v>0</v>
      </c>
      <c r="BY69" s="22" t="e">
        <f t="shared" si="45"/>
        <v>#REF!</v>
      </c>
      <c r="BZ69" s="23" t="e">
        <f>IF(SUMPRODUCT($J$76:BY$76,$J69:BY69)&lt;0.5, "Pending", IF(BY69&lt;0.5, "Complete", "In Progress"))</f>
        <v>#REF!</v>
      </c>
      <c r="CA69" s="22">
        <v>0</v>
      </c>
      <c r="CB69" s="22" t="e">
        <f t="shared" si="46"/>
        <v>#REF!</v>
      </c>
      <c r="CC69" s="23" t="e">
        <f>IF(SUMPRODUCT($J$76:CB$76,$J69:CB69)&lt;0.5, "Pending", IF(CB69&lt;0.5, "Complete", "In Progress"))</f>
        <v>#REF!</v>
      </c>
      <c r="CD69" s="24"/>
      <c r="CE69" s="25">
        <f>SUMPRODUCT($H$76:AY$76,$H69:AY69)</f>
        <v>0</v>
      </c>
    </row>
    <row r="70" spans="1:83">
      <c r="A70" s="16"/>
      <c r="B70" s="16"/>
      <c r="C70" s="16"/>
      <c r="D70" s="17"/>
      <c r="E70" s="178"/>
      <c r="F70" s="18" t="s">
        <v>114</v>
      </c>
      <c r="G70" s="19" t="str">
        <f t="shared" ca="1" si="0"/>
        <v>Pending</v>
      </c>
      <c r="H70" s="20">
        <v>1</v>
      </c>
      <c r="I70" s="21">
        <v>0</v>
      </c>
      <c r="J70" s="22">
        <v>0</v>
      </c>
      <c r="K70" s="22">
        <f t="shared" si="24"/>
        <v>0</v>
      </c>
      <c r="L70" s="23" t="str">
        <f>IF(SUMPRODUCT($J$76:K$76,$J70:K70)&lt;0.5, "Pending", IF(K70&lt;0.5, "Complete", "In Progress"))</f>
        <v>Pending</v>
      </c>
      <c r="M70" s="22">
        <v>0</v>
      </c>
      <c r="N70" s="22">
        <f t="shared" si="25"/>
        <v>0</v>
      </c>
      <c r="O70" s="23" t="str">
        <f>IF(SUMPRODUCT($J$76:N$76,$J70:N70)&lt;0.5, "Pending", IF(N70&lt;0.5, "Complete", "In Progress"))</f>
        <v>Pending</v>
      </c>
      <c r="P70" s="22">
        <v>0</v>
      </c>
      <c r="Q70" s="22">
        <f t="shared" si="26"/>
        <v>0</v>
      </c>
      <c r="R70" s="23" t="str">
        <f>IF(SUMPRODUCT($J$76:Q$76,$J70:Q70)&lt;0.5, "Pending", IF(Q70&lt;0.5, "Complete", "In Progress"))</f>
        <v>Pending</v>
      </c>
      <c r="S70" s="22">
        <v>0</v>
      </c>
      <c r="T70" s="22">
        <f t="shared" si="27"/>
        <v>0</v>
      </c>
      <c r="U70" s="23" t="str">
        <f>IF(SUMPRODUCT($J$76:T$76,$J70:T70)&lt;0.5, "Pending", IF(T70&lt;0.5, "Complete", "In Progress"))</f>
        <v>Pending</v>
      </c>
      <c r="V70" s="22">
        <v>0</v>
      </c>
      <c r="W70" s="22">
        <f t="shared" si="28"/>
        <v>0</v>
      </c>
      <c r="X70" s="23" t="str">
        <f>IF(SUMPRODUCT($J$76:W$76,$J70:W70)&lt;0.5, "Pending", IF(W70&lt;0.5, "Complete", "In Progress"))</f>
        <v>Pending</v>
      </c>
      <c r="Y70" s="22">
        <v>0</v>
      </c>
      <c r="Z70" s="22">
        <f t="shared" si="29"/>
        <v>0</v>
      </c>
      <c r="AA70" s="23" t="str">
        <f>IF(SUMPRODUCT($J$76:Z$76,$J70:Z70)&lt;0.5, "Pending", IF(Z70&lt;0.5, "Complete", "In Progress"))</f>
        <v>Pending</v>
      </c>
      <c r="AB70" s="22">
        <v>0</v>
      </c>
      <c r="AC70" s="22">
        <f t="shared" si="30"/>
        <v>0</v>
      </c>
      <c r="AD70" s="23" t="str">
        <f>IF(SUMPRODUCT($J$76:AC$76,$J70:AC70)&lt;0.5, "Pending", IF(AC70&lt;0.5, "Complete", "In Progress"))</f>
        <v>Pending</v>
      </c>
      <c r="AE70" s="22">
        <v>0</v>
      </c>
      <c r="AF70" s="22">
        <f t="shared" si="31"/>
        <v>0</v>
      </c>
      <c r="AG70" s="23" t="str">
        <f>IF(SUMPRODUCT($J$76:AF$76,$J70:AF70)&lt;0.5, "Pending", IF(AF70&lt;0.5, "Complete", "In Progress"))</f>
        <v>Pending</v>
      </c>
      <c r="AH70" s="22">
        <v>0</v>
      </c>
      <c r="AI70" s="22">
        <f t="shared" si="32"/>
        <v>0</v>
      </c>
      <c r="AJ70" s="23" t="str">
        <f>IF(SUMPRODUCT($J$76:AI$76,$J70:AI70)&lt;0.5, "Pending", IF(AI70&lt;0.5, "Complete", "In Progress"))</f>
        <v>Pending</v>
      </c>
      <c r="AK70" s="22">
        <v>0</v>
      </c>
      <c r="AL70" s="22">
        <f t="shared" si="33"/>
        <v>0</v>
      </c>
      <c r="AM70" s="23" t="str">
        <f>IF(SUMPRODUCT($J$76:AL$76,$J70:AL70)&lt;0.5, "Pending", IF(AL70&lt;0.5, "Complete", "In Progress"))</f>
        <v>Pending</v>
      </c>
      <c r="AN70" s="22">
        <v>0</v>
      </c>
      <c r="AO70" s="22">
        <f t="shared" si="34"/>
        <v>0</v>
      </c>
      <c r="AP70" s="23" t="str">
        <f>IF(SUMPRODUCT($J$76:AO$76,$J70:AO70)&lt;0.5, "Pending", IF(AO70&lt;0.5, "Complete", "In Progress"))</f>
        <v>Pending</v>
      </c>
      <c r="AQ70" s="22">
        <v>0</v>
      </c>
      <c r="AR70" s="22">
        <f t="shared" si="35"/>
        <v>0</v>
      </c>
      <c r="AS70" s="23" t="str">
        <f>IF(SUMPRODUCT($J$76:AR$76,$J70:AR70)&lt;0.5, "Pending", IF(AR70&lt;0.5, "Complete", "In Progress"))</f>
        <v>Pending</v>
      </c>
      <c r="AT70" s="22">
        <v>0</v>
      </c>
      <c r="AU70" s="22">
        <f t="shared" si="36"/>
        <v>0</v>
      </c>
      <c r="AV70" s="23" t="str">
        <f>IF(SUMPRODUCT($J$76:AU$76,$J70:AU70)&lt;0.5, "Pending", IF(AU70&lt;0.5, "Complete", "In Progress"))</f>
        <v>Pending</v>
      </c>
      <c r="AW70" s="22">
        <v>0</v>
      </c>
      <c r="AX70" s="22">
        <f t="shared" si="37"/>
        <v>0</v>
      </c>
      <c r="AY70" s="23" t="str">
        <f>IF(SUMPRODUCT($J$76:AX$76,$J70:AX70)&lt;0.5, "Pending", IF(AX70&lt;0.5, "Complete", "In Progress"))</f>
        <v>Pending</v>
      </c>
      <c r="AZ70" s="22">
        <v>0</v>
      </c>
      <c r="BA70" s="22" t="e">
        <f>MAX(#REF!-AZ70,0)</f>
        <v>#REF!</v>
      </c>
      <c r="BB70" s="23" t="e">
        <f>IF(SUMPRODUCT($J$76:BA$76,$J70:BA70)&lt;0.5, "Pending", IF(BA70&lt;0.5, "Complete", "In Progress"))</f>
        <v>#REF!</v>
      </c>
      <c r="BC70" s="22">
        <v>0</v>
      </c>
      <c r="BD70" s="22" t="e">
        <f t="shared" si="38"/>
        <v>#REF!</v>
      </c>
      <c r="BE70" s="23" t="e">
        <f>IF(SUMPRODUCT($J$76:BD$76,$J70:BD70)&lt;0.5, "Pending", IF(BD70&lt;0.5, "Complete", "In Progress"))</f>
        <v>#REF!</v>
      </c>
      <c r="BF70" s="22">
        <v>0</v>
      </c>
      <c r="BG70" s="22" t="e">
        <f t="shared" si="39"/>
        <v>#REF!</v>
      </c>
      <c r="BH70" s="23" t="e">
        <f>IF(SUMPRODUCT($J$76:BG$76,$J70:BG70)&lt;0.5, "Pending", IF(BG70&lt;0.5, "Complete", "In Progress"))</f>
        <v>#REF!</v>
      </c>
      <c r="BI70" s="22">
        <v>0</v>
      </c>
      <c r="BJ70" s="22" t="e">
        <f t="shared" si="40"/>
        <v>#REF!</v>
      </c>
      <c r="BK70" s="23" t="e">
        <f>IF(SUMPRODUCT($J$76:BJ$76,$J70:BJ70)&lt;0.5, "Pending", IF(BJ70&lt;0.5, "Complete", "In Progress"))</f>
        <v>#REF!</v>
      </c>
      <c r="BL70" s="22">
        <v>0</v>
      </c>
      <c r="BM70" s="22" t="e">
        <f t="shared" si="41"/>
        <v>#REF!</v>
      </c>
      <c r="BN70" s="23" t="e">
        <f>IF(SUMPRODUCT($J$76:BM$76,$J70:BM70)&lt;0.5, "Pending", IF(BM70&lt;0.5, "Complete", "In Progress"))</f>
        <v>#REF!</v>
      </c>
      <c r="BO70" s="22">
        <v>0</v>
      </c>
      <c r="BP70" s="22" t="e">
        <f t="shared" si="42"/>
        <v>#REF!</v>
      </c>
      <c r="BQ70" s="23" t="e">
        <f>IF(SUMPRODUCT($J$76:BP$76,$J70:BP70)&lt;0.5, "Pending", IF(BP70&lt;0.5, "Complete", "In Progress"))</f>
        <v>#REF!</v>
      </c>
      <c r="BR70" s="22">
        <v>0</v>
      </c>
      <c r="BS70" s="22" t="e">
        <f t="shared" si="43"/>
        <v>#REF!</v>
      </c>
      <c r="BT70" s="23" t="e">
        <f>IF(SUMPRODUCT($J$76:BS$76,$J70:BS70)&lt;0.5, "Pending", IF(BS70&lt;0.5, "Complete", "In Progress"))</f>
        <v>#REF!</v>
      </c>
      <c r="BU70" s="22">
        <v>0</v>
      </c>
      <c r="BV70" s="22" t="e">
        <f t="shared" si="44"/>
        <v>#REF!</v>
      </c>
      <c r="BW70" s="23" t="e">
        <f>IF(SUMPRODUCT($J$76:BV$76,$J70:BV70)&lt;0.5, "Pending", IF(BV70&lt;0.5, "Complete", "In Progress"))</f>
        <v>#REF!</v>
      </c>
      <c r="BX70" s="22">
        <v>0</v>
      </c>
      <c r="BY70" s="22" t="e">
        <f t="shared" si="45"/>
        <v>#REF!</v>
      </c>
      <c r="BZ70" s="23" t="e">
        <f>IF(SUMPRODUCT($J$76:BY$76,$J70:BY70)&lt;0.5, "Pending", IF(BY70&lt;0.5, "Complete", "In Progress"))</f>
        <v>#REF!</v>
      </c>
      <c r="CA70" s="22">
        <v>0</v>
      </c>
      <c r="CB70" s="22" t="e">
        <f t="shared" si="46"/>
        <v>#REF!</v>
      </c>
      <c r="CC70" s="23" t="e">
        <f>IF(SUMPRODUCT($J$76:CB$76,$J70:CB70)&lt;0.5, "Pending", IF(CB70&lt;0.5, "Complete", "In Progress"))</f>
        <v>#REF!</v>
      </c>
      <c r="CD70" s="24"/>
      <c r="CE70" s="25">
        <f>SUMPRODUCT($H$76:AY$76,$H70:AY70)</f>
        <v>0</v>
      </c>
    </row>
    <row r="71" spans="1:83">
      <c r="A71" s="16"/>
      <c r="B71" s="16"/>
      <c r="C71" s="16"/>
      <c r="D71" s="17"/>
      <c r="E71" s="178"/>
      <c r="F71" s="18" t="s">
        <v>114</v>
      </c>
      <c r="G71" s="19" t="str">
        <f t="shared" ca="1" si="0"/>
        <v>Pending</v>
      </c>
      <c r="H71" s="20">
        <v>1</v>
      </c>
      <c r="I71" s="21">
        <v>0</v>
      </c>
      <c r="J71" s="22">
        <v>0</v>
      </c>
      <c r="K71" s="22">
        <f t="shared" si="24"/>
        <v>0</v>
      </c>
      <c r="L71" s="23" t="str">
        <f>IF(SUMPRODUCT($J$76:K$76,$J71:K71)&lt;0.5, "Pending", IF(K71&lt;0.5, "Complete", "In Progress"))</f>
        <v>Pending</v>
      </c>
      <c r="M71" s="22">
        <v>0</v>
      </c>
      <c r="N71" s="22">
        <f t="shared" si="25"/>
        <v>0</v>
      </c>
      <c r="O71" s="23" t="str">
        <f>IF(SUMPRODUCT($J$76:N$76,$J71:N71)&lt;0.5, "Pending", IF(N71&lt;0.5, "Complete", "In Progress"))</f>
        <v>Pending</v>
      </c>
      <c r="P71" s="22">
        <v>0</v>
      </c>
      <c r="Q71" s="22">
        <f t="shared" si="26"/>
        <v>0</v>
      </c>
      <c r="R71" s="23" t="str">
        <f>IF(SUMPRODUCT($J$76:Q$76,$J71:Q71)&lt;0.5, "Pending", IF(Q71&lt;0.5, "Complete", "In Progress"))</f>
        <v>Pending</v>
      </c>
      <c r="S71" s="22">
        <v>0</v>
      </c>
      <c r="T71" s="22">
        <f t="shared" si="27"/>
        <v>0</v>
      </c>
      <c r="U71" s="23" t="str">
        <f>IF(SUMPRODUCT($J$76:T$76,$J71:T71)&lt;0.5, "Pending", IF(T71&lt;0.5, "Complete", "In Progress"))</f>
        <v>Pending</v>
      </c>
      <c r="V71" s="22">
        <v>0</v>
      </c>
      <c r="W71" s="22">
        <f t="shared" si="28"/>
        <v>0</v>
      </c>
      <c r="X71" s="23" t="str">
        <f>IF(SUMPRODUCT($J$76:W$76,$J71:W71)&lt;0.5, "Pending", IF(W71&lt;0.5, "Complete", "In Progress"))</f>
        <v>Pending</v>
      </c>
      <c r="Y71" s="22">
        <v>0</v>
      </c>
      <c r="Z71" s="22">
        <f t="shared" si="29"/>
        <v>0</v>
      </c>
      <c r="AA71" s="23" t="str">
        <f>IF(SUMPRODUCT($J$76:Z$76,$J71:Z71)&lt;0.5, "Pending", IF(Z71&lt;0.5, "Complete", "In Progress"))</f>
        <v>Pending</v>
      </c>
      <c r="AB71" s="22">
        <v>0</v>
      </c>
      <c r="AC71" s="22">
        <f t="shared" si="30"/>
        <v>0</v>
      </c>
      <c r="AD71" s="23" t="str">
        <f>IF(SUMPRODUCT($J$76:AC$76,$J71:AC71)&lt;0.5, "Pending", IF(AC71&lt;0.5, "Complete", "In Progress"))</f>
        <v>Pending</v>
      </c>
      <c r="AE71" s="22">
        <v>0</v>
      </c>
      <c r="AF71" s="22">
        <f t="shared" si="31"/>
        <v>0</v>
      </c>
      <c r="AG71" s="23" t="str">
        <f>IF(SUMPRODUCT($J$76:AF$76,$J71:AF71)&lt;0.5, "Pending", IF(AF71&lt;0.5, "Complete", "In Progress"))</f>
        <v>Pending</v>
      </c>
      <c r="AH71" s="22">
        <v>0</v>
      </c>
      <c r="AI71" s="22">
        <f t="shared" si="32"/>
        <v>0</v>
      </c>
      <c r="AJ71" s="23" t="str">
        <f>IF(SUMPRODUCT($J$76:AI$76,$J71:AI71)&lt;0.5, "Pending", IF(AI71&lt;0.5, "Complete", "In Progress"))</f>
        <v>Pending</v>
      </c>
      <c r="AK71" s="22">
        <v>0</v>
      </c>
      <c r="AL71" s="22">
        <f t="shared" si="33"/>
        <v>0</v>
      </c>
      <c r="AM71" s="23" t="str">
        <f>IF(SUMPRODUCT($J$76:AL$76,$J71:AL71)&lt;0.5, "Pending", IF(AL71&lt;0.5, "Complete", "In Progress"))</f>
        <v>Pending</v>
      </c>
      <c r="AN71" s="22">
        <v>0</v>
      </c>
      <c r="AO71" s="22">
        <f t="shared" si="34"/>
        <v>0</v>
      </c>
      <c r="AP71" s="23" t="str">
        <f>IF(SUMPRODUCT($J$76:AO$76,$J71:AO71)&lt;0.5, "Pending", IF(AO71&lt;0.5, "Complete", "In Progress"))</f>
        <v>Pending</v>
      </c>
      <c r="AQ71" s="22">
        <v>0</v>
      </c>
      <c r="AR71" s="22">
        <f t="shared" si="35"/>
        <v>0</v>
      </c>
      <c r="AS71" s="23" t="str">
        <f>IF(SUMPRODUCT($J$76:AR$76,$J71:AR71)&lt;0.5, "Pending", IF(AR71&lt;0.5, "Complete", "In Progress"))</f>
        <v>Pending</v>
      </c>
      <c r="AT71" s="22">
        <v>0</v>
      </c>
      <c r="AU71" s="22">
        <f t="shared" si="36"/>
        <v>0</v>
      </c>
      <c r="AV71" s="23" t="str">
        <f>IF(SUMPRODUCT($J$76:AU$76,$J71:AU71)&lt;0.5, "Pending", IF(AU71&lt;0.5, "Complete", "In Progress"))</f>
        <v>Pending</v>
      </c>
      <c r="AW71" s="22">
        <v>0</v>
      </c>
      <c r="AX71" s="22">
        <f t="shared" si="37"/>
        <v>0</v>
      </c>
      <c r="AY71" s="23" t="str">
        <f>IF(SUMPRODUCT($J$76:AX$76,$J71:AX71)&lt;0.5, "Pending", IF(AX71&lt;0.5, "Complete", "In Progress"))</f>
        <v>Pending</v>
      </c>
      <c r="AZ71" s="22">
        <v>0</v>
      </c>
      <c r="BA71" s="22" t="e">
        <f>MAX(#REF!-AZ71,0)</f>
        <v>#REF!</v>
      </c>
      <c r="BB71" s="23" t="e">
        <f>IF(SUMPRODUCT($J$76:BA$76,$J71:BA71)&lt;0.5, "Pending", IF(BA71&lt;0.5, "Complete", "In Progress"))</f>
        <v>#REF!</v>
      </c>
      <c r="BC71" s="22">
        <v>0</v>
      </c>
      <c r="BD71" s="22" t="e">
        <f t="shared" si="38"/>
        <v>#REF!</v>
      </c>
      <c r="BE71" s="23" t="e">
        <f>IF(SUMPRODUCT($J$76:BD$76,$J71:BD71)&lt;0.5, "Pending", IF(BD71&lt;0.5, "Complete", "In Progress"))</f>
        <v>#REF!</v>
      </c>
      <c r="BF71" s="22">
        <v>0</v>
      </c>
      <c r="BG71" s="22" t="e">
        <f t="shared" si="39"/>
        <v>#REF!</v>
      </c>
      <c r="BH71" s="23" t="e">
        <f>IF(SUMPRODUCT($J$76:BG$76,$J71:BG71)&lt;0.5, "Pending", IF(BG71&lt;0.5, "Complete", "In Progress"))</f>
        <v>#REF!</v>
      </c>
      <c r="BI71" s="22">
        <v>0</v>
      </c>
      <c r="BJ71" s="22" t="e">
        <f t="shared" si="40"/>
        <v>#REF!</v>
      </c>
      <c r="BK71" s="23" t="e">
        <f>IF(SUMPRODUCT($J$76:BJ$76,$J71:BJ71)&lt;0.5, "Pending", IF(BJ71&lt;0.5, "Complete", "In Progress"))</f>
        <v>#REF!</v>
      </c>
      <c r="BL71" s="22">
        <v>0</v>
      </c>
      <c r="BM71" s="22" t="e">
        <f t="shared" si="41"/>
        <v>#REF!</v>
      </c>
      <c r="BN71" s="23" t="e">
        <f>IF(SUMPRODUCT($J$76:BM$76,$J71:BM71)&lt;0.5, "Pending", IF(BM71&lt;0.5, "Complete", "In Progress"))</f>
        <v>#REF!</v>
      </c>
      <c r="BO71" s="22">
        <v>0</v>
      </c>
      <c r="BP71" s="22" t="e">
        <f t="shared" si="42"/>
        <v>#REF!</v>
      </c>
      <c r="BQ71" s="23" t="e">
        <f>IF(SUMPRODUCT($J$76:BP$76,$J71:BP71)&lt;0.5, "Pending", IF(BP71&lt;0.5, "Complete", "In Progress"))</f>
        <v>#REF!</v>
      </c>
      <c r="BR71" s="22">
        <v>0</v>
      </c>
      <c r="BS71" s="22" t="e">
        <f t="shared" si="43"/>
        <v>#REF!</v>
      </c>
      <c r="BT71" s="23" t="e">
        <f>IF(SUMPRODUCT($J$76:BS$76,$J71:BS71)&lt;0.5, "Pending", IF(BS71&lt;0.5, "Complete", "In Progress"))</f>
        <v>#REF!</v>
      </c>
      <c r="BU71" s="22">
        <v>0</v>
      </c>
      <c r="BV71" s="22" t="e">
        <f t="shared" si="44"/>
        <v>#REF!</v>
      </c>
      <c r="BW71" s="23" t="e">
        <f>IF(SUMPRODUCT($J$76:BV$76,$J71:BV71)&lt;0.5, "Pending", IF(BV71&lt;0.5, "Complete", "In Progress"))</f>
        <v>#REF!</v>
      </c>
      <c r="BX71" s="22">
        <v>0</v>
      </c>
      <c r="BY71" s="22" t="e">
        <f t="shared" si="45"/>
        <v>#REF!</v>
      </c>
      <c r="BZ71" s="23" t="e">
        <f>IF(SUMPRODUCT($J$76:BY$76,$J71:BY71)&lt;0.5, "Pending", IF(BY71&lt;0.5, "Complete", "In Progress"))</f>
        <v>#REF!</v>
      </c>
      <c r="CA71" s="22">
        <v>0</v>
      </c>
      <c r="CB71" s="22" t="e">
        <f t="shared" si="46"/>
        <v>#REF!</v>
      </c>
      <c r="CC71" s="23" t="e">
        <f>IF(SUMPRODUCT($J$76:CB$76,$J71:CB71)&lt;0.5, "Pending", IF(CB71&lt;0.5, "Complete", "In Progress"))</f>
        <v>#REF!</v>
      </c>
      <c r="CD71" s="24"/>
      <c r="CE71" s="25">
        <f>SUMPRODUCT($H$76:AY$76,$H71:AY71)</f>
        <v>0</v>
      </c>
    </row>
    <row r="72" spans="1:83">
      <c r="A72" s="16"/>
      <c r="B72" s="16"/>
      <c r="C72" s="16"/>
      <c r="D72" s="17"/>
      <c r="E72" s="178"/>
      <c r="F72" s="18" t="s">
        <v>114</v>
      </c>
      <c r="G72" s="19" t="str">
        <f t="shared" ca="1" si="0"/>
        <v>Pending</v>
      </c>
      <c r="H72" s="20">
        <v>1</v>
      </c>
      <c r="I72" s="21">
        <v>0</v>
      </c>
      <c r="J72" s="22">
        <v>0</v>
      </c>
      <c r="K72" s="22">
        <f t="shared" si="24"/>
        <v>0</v>
      </c>
      <c r="L72" s="23" t="str">
        <f>IF(SUMPRODUCT($J$76:K$76,$J72:K72)&lt;0.5, "Pending", IF(K72&lt;0.5, "Complete", "In Progress"))</f>
        <v>Pending</v>
      </c>
      <c r="M72" s="22">
        <v>0</v>
      </c>
      <c r="N72" s="22">
        <f t="shared" si="25"/>
        <v>0</v>
      </c>
      <c r="O72" s="23" t="str">
        <f>IF(SUMPRODUCT($J$76:N$76,$J72:N72)&lt;0.5, "Pending", IF(N72&lt;0.5, "Complete", "In Progress"))</f>
        <v>Pending</v>
      </c>
      <c r="P72" s="22">
        <v>0</v>
      </c>
      <c r="Q72" s="22">
        <f t="shared" si="26"/>
        <v>0</v>
      </c>
      <c r="R72" s="23" t="str">
        <f>IF(SUMPRODUCT($J$76:Q$76,$J72:Q72)&lt;0.5, "Pending", IF(Q72&lt;0.5, "Complete", "In Progress"))</f>
        <v>Pending</v>
      </c>
      <c r="S72" s="22">
        <v>0</v>
      </c>
      <c r="T72" s="22">
        <f t="shared" si="27"/>
        <v>0</v>
      </c>
      <c r="U72" s="23" t="str">
        <f>IF(SUMPRODUCT($J$76:T$76,$J72:T72)&lt;0.5, "Pending", IF(T72&lt;0.5, "Complete", "In Progress"))</f>
        <v>Pending</v>
      </c>
      <c r="V72" s="22">
        <v>0</v>
      </c>
      <c r="W72" s="22">
        <f t="shared" si="28"/>
        <v>0</v>
      </c>
      <c r="X72" s="23" t="str">
        <f>IF(SUMPRODUCT($J$76:W$76,$J72:W72)&lt;0.5, "Pending", IF(W72&lt;0.5, "Complete", "In Progress"))</f>
        <v>Pending</v>
      </c>
      <c r="Y72" s="22">
        <v>0</v>
      </c>
      <c r="Z72" s="22">
        <f t="shared" si="29"/>
        <v>0</v>
      </c>
      <c r="AA72" s="23" t="str">
        <f>IF(SUMPRODUCT($J$76:Z$76,$J72:Z72)&lt;0.5, "Pending", IF(Z72&lt;0.5, "Complete", "In Progress"))</f>
        <v>Pending</v>
      </c>
      <c r="AB72" s="22">
        <v>0</v>
      </c>
      <c r="AC72" s="22">
        <f t="shared" si="30"/>
        <v>0</v>
      </c>
      <c r="AD72" s="23" t="str">
        <f>IF(SUMPRODUCT($J$76:AC$76,$J72:AC72)&lt;0.5, "Pending", IF(AC72&lt;0.5, "Complete", "In Progress"))</f>
        <v>Pending</v>
      </c>
      <c r="AE72" s="22">
        <v>0</v>
      </c>
      <c r="AF72" s="22">
        <f t="shared" si="31"/>
        <v>0</v>
      </c>
      <c r="AG72" s="23" t="str">
        <f>IF(SUMPRODUCT($J$76:AF$76,$J72:AF72)&lt;0.5, "Pending", IF(AF72&lt;0.5, "Complete", "In Progress"))</f>
        <v>Pending</v>
      </c>
      <c r="AH72" s="22">
        <v>0</v>
      </c>
      <c r="AI72" s="22">
        <f t="shared" si="32"/>
        <v>0</v>
      </c>
      <c r="AJ72" s="23" t="str">
        <f>IF(SUMPRODUCT($J$76:AI$76,$J72:AI72)&lt;0.5, "Pending", IF(AI72&lt;0.5, "Complete", "In Progress"))</f>
        <v>Pending</v>
      </c>
      <c r="AK72" s="22">
        <v>0</v>
      </c>
      <c r="AL72" s="22">
        <f t="shared" si="33"/>
        <v>0</v>
      </c>
      <c r="AM72" s="23" t="str">
        <f>IF(SUMPRODUCT($J$76:AL$76,$J72:AL72)&lt;0.5, "Pending", IF(AL72&lt;0.5, "Complete", "In Progress"))</f>
        <v>Pending</v>
      </c>
      <c r="AN72" s="22">
        <v>0</v>
      </c>
      <c r="AO72" s="22">
        <f t="shared" si="34"/>
        <v>0</v>
      </c>
      <c r="AP72" s="23" t="str">
        <f>IF(SUMPRODUCT($J$76:AO$76,$J72:AO72)&lt;0.5, "Pending", IF(AO72&lt;0.5, "Complete", "In Progress"))</f>
        <v>Pending</v>
      </c>
      <c r="AQ72" s="22">
        <v>0</v>
      </c>
      <c r="AR72" s="22">
        <f t="shared" si="35"/>
        <v>0</v>
      </c>
      <c r="AS72" s="23" t="str">
        <f>IF(SUMPRODUCT($J$76:AR$76,$J72:AR72)&lt;0.5, "Pending", IF(AR72&lt;0.5, "Complete", "In Progress"))</f>
        <v>Pending</v>
      </c>
      <c r="AT72" s="22">
        <v>0</v>
      </c>
      <c r="AU72" s="22">
        <f t="shared" si="36"/>
        <v>0</v>
      </c>
      <c r="AV72" s="23" t="str">
        <f>IF(SUMPRODUCT($J$76:AU$76,$J72:AU72)&lt;0.5, "Pending", IF(AU72&lt;0.5, "Complete", "In Progress"))</f>
        <v>Pending</v>
      </c>
      <c r="AW72" s="22">
        <v>0</v>
      </c>
      <c r="AX72" s="22">
        <f t="shared" si="37"/>
        <v>0</v>
      </c>
      <c r="AY72" s="23" t="str">
        <f>IF(SUMPRODUCT($J$76:AX$76,$J72:AX72)&lt;0.5, "Pending", IF(AX72&lt;0.5, "Complete", "In Progress"))</f>
        <v>Pending</v>
      </c>
      <c r="AZ72" s="22">
        <v>0</v>
      </c>
      <c r="BA72" s="22" t="e">
        <f>MAX(#REF!-AZ72,0)</f>
        <v>#REF!</v>
      </c>
      <c r="BB72" s="23" t="e">
        <f>IF(SUMPRODUCT($J$76:BA$76,$J72:BA72)&lt;0.5, "Pending", IF(BA72&lt;0.5, "Complete", "In Progress"))</f>
        <v>#REF!</v>
      </c>
      <c r="BC72" s="22">
        <v>0</v>
      </c>
      <c r="BD72" s="22" t="e">
        <f t="shared" si="38"/>
        <v>#REF!</v>
      </c>
      <c r="BE72" s="23" t="e">
        <f>IF(SUMPRODUCT($J$76:BD$76,$J72:BD72)&lt;0.5, "Pending", IF(BD72&lt;0.5, "Complete", "In Progress"))</f>
        <v>#REF!</v>
      </c>
      <c r="BF72" s="22">
        <v>0</v>
      </c>
      <c r="BG72" s="22" t="e">
        <f t="shared" si="39"/>
        <v>#REF!</v>
      </c>
      <c r="BH72" s="23" t="e">
        <f>IF(SUMPRODUCT($J$76:BG$76,$J72:BG72)&lt;0.5, "Pending", IF(BG72&lt;0.5, "Complete", "In Progress"))</f>
        <v>#REF!</v>
      </c>
      <c r="BI72" s="22">
        <v>0</v>
      </c>
      <c r="BJ72" s="22" t="e">
        <f t="shared" si="40"/>
        <v>#REF!</v>
      </c>
      <c r="BK72" s="23" t="e">
        <f>IF(SUMPRODUCT($J$76:BJ$76,$J72:BJ72)&lt;0.5, "Pending", IF(BJ72&lt;0.5, "Complete", "In Progress"))</f>
        <v>#REF!</v>
      </c>
      <c r="BL72" s="22">
        <v>0</v>
      </c>
      <c r="BM72" s="22" t="e">
        <f t="shared" si="41"/>
        <v>#REF!</v>
      </c>
      <c r="BN72" s="23" t="e">
        <f>IF(SUMPRODUCT($J$76:BM$76,$J72:BM72)&lt;0.5, "Pending", IF(BM72&lt;0.5, "Complete", "In Progress"))</f>
        <v>#REF!</v>
      </c>
      <c r="BO72" s="22">
        <v>0</v>
      </c>
      <c r="BP72" s="22" t="e">
        <f t="shared" si="42"/>
        <v>#REF!</v>
      </c>
      <c r="BQ72" s="23" t="e">
        <f>IF(SUMPRODUCT($J$76:BP$76,$J72:BP72)&lt;0.5, "Pending", IF(BP72&lt;0.5, "Complete", "In Progress"))</f>
        <v>#REF!</v>
      </c>
      <c r="BR72" s="22">
        <v>0</v>
      </c>
      <c r="BS72" s="22" t="e">
        <f t="shared" si="43"/>
        <v>#REF!</v>
      </c>
      <c r="BT72" s="23" t="e">
        <f>IF(SUMPRODUCT($J$76:BS$76,$J72:BS72)&lt;0.5, "Pending", IF(BS72&lt;0.5, "Complete", "In Progress"))</f>
        <v>#REF!</v>
      </c>
      <c r="BU72" s="22">
        <v>0</v>
      </c>
      <c r="BV72" s="22" t="e">
        <f t="shared" si="44"/>
        <v>#REF!</v>
      </c>
      <c r="BW72" s="23" t="e">
        <f>IF(SUMPRODUCT($J$76:BV$76,$J72:BV72)&lt;0.5, "Pending", IF(BV72&lt;0.5, "Complete", "In Progress"))</f>
        <v>#REF!</v>
      </c>
      <c r="BX72" s="22">
        <v>0</v>
      </c>
      <c r="BY72" s="22" t="e">
        <f t="shared" si="45"/>
        <v>#REF!</v>
      </c>
      <c r="BZ72" s="23" t="e">
        <f>IF(SUMPRODUCT($J$76:BY$76,$J72:BY72)&lt;0.5, "Pending", IF(BY72&lt;0.5, "Complete", "In Progress"))</f>
        <v>#REF!</v>
      </c>
      <c r="CA72" s="22">
        <v>0</v>
      </c>
      <c r="CB72" s="22" t="e">
        <f t="shared" si="46"/>
        <v>#REF!</v>
      </c>
      <c r="CC72" s="23" t="e">
        <f>IF(SUMPRODUCT($J$76:CB$76,$J72:CB72)&lt;0.5, "Pending", IF(CB72&lt;0.5, "Complete", "In Progress"))</f>
        <v>#REF!</v>
      </c>
      <c r="CD72" s="24"/>
      <c r="CE72" s="25">
        <f>SUMPRODUCT($H$76:AY$76,$H72:AY72)</f>
        <v>0</v>
      </c>
    </row>
    <row r="73" spans="1:83">
      <c r="A73" s="16"/>
      <c r="B73" s="16"/>
      <c r="C73" s="16"/>
      <c r="D73" s="17"/>
      <c r="E73" s="177"/>
      <c r="F73" s="18" t="s">
        <v>48</v>
      </c>
      <c r="G73" s="19" t="str">
        <f t="shared" ca="1" si="0"/>
        <v>Pending</v>
      </c>
      <c r="H73" s="20">
        <v>1</v>
      </c>
      <c r="I73" s="21">
        <v>0</v>
      </c>
      <c r="J73" s="22">
        <v>0</v>
      </c>
      <c r="K73" s="22">
        <f t="shared" ref="K73" si="252">MAX(I73-J73, 0)</f>
        <v>0</v>
      </c>
      <c r="L73" s="23" t="str">
        <f>IF(SUMPRODUCT($J$76:K$76,$J73:K73)&lt;0.5, "Pending", IF(K73&lt;0.5, "Complete", "In Progress"))</f>
        <v>Pending</v>
      </c>
      <c r="M73" s="22">
        <v>0</v>
      </c>
      <c r="N73" s="22">
        <f t="shared" ref="N73" si="253">MAX(K73-M73,0)</f>
        <v>0</v>
      </c>
      <c r="O73" s="23" t="str">
        <f>IF(SUMPRODUCT($J$76:N$76,$J73:N73)&lt;0.5, "Pending", IF(N73&lt;0.5, "Complete", "In Progress"))</f>
        <v>Pending</v>
      </c>
      <c r="P73" s="22">
        <v>0</v>
      </c>
      <c r="Q73" s="22">
        <f t="shared" ref="Q73" si="254">MAX(N73-P73,0)</f>
        <v>0</v>
      </c>
      <c r="R73" s="23" t="str">
        <f>IF(SUMPRODUCT($J$76:Q$76,$J73:Q73)&lt;0.5, "Pending", IF(Q73&lt;0.5, "Complete", "In Progress"))</f>
        <v>Pending</v>
      </c>
      <c r="S73" s="22">
        <v>0</v>
      </c>
      <c r="T73" s="22">
        <f t="shared" ref="T73" si="255">MAX(Q73-S73,0)</f>
        <v>0</v>
      </c>
      <c r="U73" s="23" t="str">
        <f>IF(SUMPRODUCT($J$76:T$76,$J73:T73)&lt;0.5, "Pending", IF(T73&lt;0.5, "Complete", "In Progress"))</f>
        <v>Pending</v>
      </c>
      <c r="V73" s="22">
        <v>0</v>
      </c>
      <c r="W73" s="22">
        <f t="shared" ref="W73" si="256">MAX(T73-V73,0)</f>
        <v>0</v>
      </c>
      <c r="X73" s="23" t="str">
        <f>IF(SUMPRODUCT($J$76:W$76,$J73:W73)&lt;0.5, "Pending", IF(W73&lt;0.5, "Complete", "In Progress"))</f>
        <v>Pending</v>
      </c>
      <c r="Y73" s="22">
        <v>0</v>
      </c>
      <c r="Z73" s="22">
        <f t="shared" ref="Z73" si="257">MAX(W73-Y73,0)</f>
        <v>0</v>
      </c>
      <c r="AA73" s="23" t="str">
        <f>IF(SUMPRODUCT($J$76:Z$76,$J73:Z73)&lt;0.5, "Pending", IF(Z73&lt;0.5, "Complete", "In Progress"))</f>
        <v>Pending</v>
      </c>
      <c r="AB73" s="22">
        <v>0</v>
      </c>
      <c r="AC73" s="22">
        <f t="shared" ref="AC73" si="258">MAX(Z73-AB73,0)</f>
        <v>0</v>
      </c>
      <c r="AD73" s="23" t="str">
        <f>IF(SUMPRODUCT($J$76:AC$76,$J73:AC73)&lt;0.5, "Pending", IF(AC73&lt;0.5, "Complete", "In Progress"))</f>
        <v>Pending</v>
      </c>
      <c r="AE73" s="22">
        <v>0</v>
      </c>
      <c r="AF73" s="22">
        <f t="shared" ref="AF73" si="259">MAX(AC73-AE73,0)</f>
        <v>0</v>
      </c>
      <c r="AG73" s="23" t="str">
        <f>IF(SUMPRODUCT($J$76:AF$76,$J73:AF73)&lt;0.5, "Pending", IF(AF73&lt;0.5, "Complete", "In Progress"))</f>
        <v>Pending</v>
      </c>
      <c r="AH73" s="22">
        <v>0</v>
      </c>
      <c r="AI73" s="22">
        <f t="shared" ref="AI73" si="260">MAX(AF73-AH73,0)</f>
        <v>0</v>
      </c>
      <c r="AJ73" s="23" t="str">
        <f>IF(SUMPRODUCT($J$76:AI$76,$J73:AI73)&lt;0.5, "Pending", IF(AI73&lt;0.5, "Complete", "In Progress"))</f>
        <v>Pending</v>
      </c>
      <c r="AK73" s="22">
        <v>0</v>
      </c>
      <c r="AL73" s="22">
        <f t="shared" ref="AL73" si="261">MAX(AI73-AK73,0)</f>
        <v>0</v>
      </c>
      <c r="AM73" s="23" t="str">
        <f>IF(SUMPRODUCT($J$76:AL$76,$J73:AL73)&lt;0.5, "Pending", IF(AL73&lt;0.5, "Complete", "In Progress"))</f>
        <v>Pending</v>
      </c>
      <c r="AN73" s="22">
        <v>0</v>
      </c>
      <c r="AO73" s="22">
        <f t="shared" ref="AO73" si="262">MAX(AL73-AN73,0)</f>
        <v>0</v>
      </c>
      <c r="AP73" s="23" t="str">
        <f>IF(SUMPRODUCT($J$76:AO$76,$J73:AO73)&lt;0.5, "Pending", IF(AO73&lt;0.5, "Complete", "In Progress"))</f>
        <v>Pending</v>
      </c>
      <c r="AQ73" s="22">
        <v>0</v>
      </c>
      <c r="AR73" s="22">
        <f t="shared" ref="AR73" si="263">MAX(AO73-AQ73,0)</f>
        <v>0</v>
      </c>
      <c r="AS73" s="23" t="str">
        <f>IF(SUMPRODUCT($J$76:AR$76,$J73:AR73)&lt;0.5, "Pending", IF(AR73&lt;0.5, "Complete", "In Progress"))</f>
        <v>Pending</v>
      </c>
      <c r="AT73" s="22">
        <v>0</v>
      </c>
      <c r="AU73" s="22">
        <f t="shared" ref="AU73" si="264">MAX(AR73-AT73,0)</f>
        <v>0</v>
      </c>
      <c r="AV73" s="23" t="str">
        <f>IF(SUMPRODUCT($J$76:AU$76,$J73:AU73)&lt;0.5, "Pending", IF(AU73&lt;0.5, "Complete", "In Progress"))</f>
        <v>Pending</v>
      </c>
      <c r="AW73" s="22">
        <v>0</v>
      </c>
      <c r="AX73" s="22">
        <f t="shared" ref="AX73" si="265">MAX(AU73-AW73,0)</f>
        <v>0</v>
      </c>
      <c r="AY73" s="23" t="str">
        <f>IF(SUMPRODUCT($J$76:AX$76,$J73:AX73)&lt;0.5, "Pending", IF(AX73&lt;0.5, "Complete", "In Progress"))</f>
        <v>Pending</v>
      </c>
      <c r="AZ73" s="22">
        <v>0</v>
      </c>
      <c r="BA73" s="22" t="e">
        <f>MAX(#REF!-AZ73,0)</f>
        <v>#REF!</v>
      </c>
      <c r="BB73" s="23" t="e">
        <f>IF(SUMPRODUCT($J$76:BA$76,$J73:BA73)&lt;0.5, "Pending", IF(BA73&lt;0.5, "Complete", "In Progress"))</f>
        <v>#REF!</v>
      </c>
      <c r="BC73" s="22">
        <v>0</v>
      </c>
      <c r="BD73" s="22" t="e">
        <f t="shared" ref="BD73" si="266">MAX(BA73-BC73,0)</f>
        <v>#REF!</v>
      </c>
      <c r="BE73" s="23" t="e">
        <f>IF(SUMPRODUCT($J$76:BD$76,$J73:BD73)&lt;0.5, "Pending", IF(BD73&lt;0.5, "Complete", "In Progress"))</f>
        <v>#REF!</v>
      </c>
      <c r="BF73" s="22">
        <v>0</v>
      </c>
      <c r="BG73" s="22" t="e">
        <f t="shared" ref="BG73" si="267">MAX(BD73-BF73,0)</f>
        <v>#REF!</v>
      </c>
      <c r="BH73" s="23" t="e">
        <f>IF(SUMPRODUCT($J$76:BG$76,$J73:BG73)&lt;0.5, "Pending", IF(BG73&lt;0.5, "Complete", "In Progress"))</f>
        <v>#REF!</v>
      </c>
      <c r="BI73" s="22">
        <v>0</v>
      </c>
      <c r="BJ73" s="22" t="e">
        <f t="shared" ref="BJ73" si="268">MAX(BG73-BI73,0)</f>
        <v>#REF!</v>
      </c>
      <c r="BK73" s="23" t="e">
        <f>IF(SUMPRODUCT($J$76:BJ$76,$J73:BJ73)&lt;0.5, "Pending", IF(BJ73&lt;0.5, "Complete", "In Progress"))</f>
        <v>#REF!</v>
      </c>
      <c r="BL73" s="22">
        <v>0</v>
      </c>
      <c r="BM73" s="22" t="e">
        <f t="shared" ref="BM73" si="269">MAX(BJ73-BL73,0)</f>
        <v>#REF!</v>
      </c>
      <c r="BN73" s="23" t="e">
        <f>IF(SUMPRODUCT($J$76:BM$76,$J73:BM73)&lt;0.5, "Pending", IF(BM73&lt;0.5, "Complete", "In Progress"))</f>
        <v>#REF!</v>
      </c>
      <c r="BO73" s="22">
        <v>0</v>
      </c>
      <c r="BP73" s="22" t="e">
        <f t="shared" ref="BP73" si="270">MAX(BM73-BO73,0)</f>
        <v>#REF!</v>
      </c>
      <c r="BQ73" s="23" t="e">
        <f>IF(SUMPRODUCT($J$76:BP$76,$J73:BP73)&lt;0.5, "Pending", IF(BP73&lt;0.5, "Complete", "In Progress"))</f>
        <v>#REF!</v>
      </c>
      <c r="BR73" s="22">
        <v>0</v>
      </c>
      <c r="BS73" s="22" t="e">
        <f t="shared" ref="BS73" si="271">MAX(BP73-BR73,0)</f>
        <v>#REF!</v>
      </c>
      <c r="BT73" s="23" t="e">
        <f>IF(SUMPRODUCT($J$76:BS$76,$J73:BS73)&lt;0.5, "Pending", IF(BS73&lt;0.5, "Complete", "In Progress"))</f>
        <v>#REF!</v>
      </c>
      <c r="BU73" s="22">
        <v>0</v>
      </c>
      <c r="BV73" s="22" t="e">
        <f t="shared" ref="BV73" si="272">MAX(BS73-BU73,0)</f>
        <v>#REF!</v>
      </c>
      <c r="BW73" s="23" t="e">
        <f>IF(SUMPRODUCT($J$76:BV$76,$J73:BV73)&lt;0.5, "Pending", IF(BV73&lt;0.5, "Complete", "In Progress"))</f>
        <v>#REF!</v>
      </c>
      <c r="BX73" s="22">
        <v>0</v>
      </c>
      <c r="BY73" s="22" t="e">
        <f t="shared" ref="BY73" si="273">MAX(BV73-BX73,0)</f>
        <v>#REF!</v>
      </c>
      <c r="BZ73" s="23" t="e">
        <f>IF(SUMPRODUCT($J$76:BY$76,$J73:BY73)&lt;0.5, "Pending", IF(BY73&lt;0.5, "Complete", "In Progress"))</f>
        <v>#REF!</v>
      </c>
      <c r="CA73" s="22">
        <v>0</v>
      </c>
      <c r="CB73" s="22" t="e">
        <f t="shared" ref="CB73" si="274">MAX(BY73-CA73,0)</f>
        <v>#REF!</v>
      </c>
      <c r="CC73" s="23" t="e">
        <f>IF(SUMPRODUCT($J$76:CB$76,$J73:CB73)&lt;0.5, "Pending", IF(CB73&lt;0.5, "Complete", "In Progress"))</f>
        <v>#REF!</v>
      </c>
      <c r="CD73" s="24"/>
      <c r="CE73" s="25">
        <f>SUMPRODUCT($H$76:AY$76,$H73:AY73)</f>
        <v>0</v>
      </c>
    </row>
    <row r="74" spans="1:83" hidden="1">
      <c r="A74" s="26"/>
      <c r="B74" s="26"/>
      <c r="C74" s="26"/>
      <c r="D74" s="26"/>
      <c r="E74" s="26"/>
      <c r="F74" s="26"/>
      <c r="G74" s="26"/>
      <c r="H74" s="26"/>
      <c r="I74" s="26"/>
      <c r="J74" s="24"/>
      <c r="K74" s="24"/>
      <c r="L74" s="24"/>
      <c r="M74" s="27"/>
      <c r="N74" s="27"/>
      <c r="O74" s="24"/>
      <c r="P74" s="27"/>
      <c r="Q74" s="27"/>
      <c r="R74" s="24"/>
      <c r="S74" s="27"/>
      <c r="T74" s="27"/>
      <c r="U74" s="27"/>
      <c r="V74" s="27"/>
      <c r="W74" s="27"/>
      <c r="X74" s="24"/>
      <c r="Y74" s="27"/>
      <c r="Z74" s="27"/>
      <c r="AA74" s="24"/>
      <c r="AB74" s="27"/>
      <c r="AC74" s="27"/>
      <c r="AD74" s="24"/>
      <c r="AE74" s="27"/>
      <c r="AF74" s="27"/>
      <c r="AG74" s="24"/>
      <c r="AH74" s="27"/>
      <c r="AI74" s="27"/>
      <c r="AJ74" s="24"/>
      <c r="AK74" s="27"/>
      <c r="AL74" s="27"/>
      <c r="AM74" s="24"/>
      <c r="AN74" s="27"/>
      <c r="AO74" s="27"/>
      <c r="AP74" s="24"/>
      <c r="AQ74" s="27"/>
      <c r="AR74" s="27"/>
      <c r="AS74" s="24"/>
      <c r="AT74" s="27"/>
      <c r="AU74" s="27"/>
      <c r="AV74" s="24"/>
      <c r="AW74" s="27"/>
      <c r="AX74" s="27"/>
      <c r="AY74" s="24"/>
      <c r="AZ74" s="27"/>
      <c r="BA74" s="27"/>
      <c r="BB74" s="24"/>
      <c r="BC74" s="27"/>
      <c r="BD74" s="27"/>
      <c r="BE74" s="24"/>
      <c r="BF74" s="27"/>
      <c r="BG74" s="27"/>
      <c r="BH74" s="24"/>
      <c r="BI74" s="27"/>
      <c r="BJ74" s="27"/>
      <c r="BK74" s="24"/>
      <c r="BL74" s="27"/>
      <c r="BM74" s="27"/>
      <c r="BN74" s="24"/>
      <c r="BO74" s="27"/>
      <c r="BP74" s="27"/>
      <c r="BQ74" s="24"/>
      <c r="BR74" s="27"/>
      <c r="BS74" s="27"/>
      <c r="BT74" s="24"/>
      <c r="BU74" s="27"/>
      <c r="BV74" s="27"/>
      <c r="BW74" s="24"/>
      <c r="BX74" s="27"/>
      <c r="BY74" s="27"/>
      <c r="BZ74" s="24"/>
      <c r="CA74" s="27"/>
      <c r="CB74" s="27"/>
      <c r="CC74" s="24"/>
      <c r="CD74" s="24"/>
      <c r="CE74" s="28">
        <f>SUMPRODUCT($H$77:BK$77,$H74:BK74)</f>
        <v>0</v>
      </c>
    </row>
    <row r="75" spans="1:83">
      <c r="A75" s="29"/>
      <c r="B75" s="29"/>
      <c r="C75" s="29"/>
      <c r="D75" s="29"/>
      <c r="E75" s="29"/>
      <c r="F75" s="29"/>
      <c r="G75" s="1"/>
      <c r="H75" s="29"/>
      <c r="I75" s="29"/>
      <c r="J75" s="228" t="s">
        <v>9</v>
      </c>
      <c r="K75" s="229"/>
      <c r="L75" s="30">
        <v>1</v>
      </c>
      <c r="M75" s="226" t="s">
        <v>9</v>
      </c>
      <c r="N75" s="230"/>
      <c r="O75" s="30">
        <f>L75+1</f>
        <v>2</v>
      </c>
      <c r="P75" s="226" t="s">
        <v>9</v>
      </c>
      <c r="Q75" s="230"/>
      <c r="R75" s="30">
        <f>O75+1</f>
        <v>3</v>
      </c>
      <c r="S75" s="226" t="s">
        <v>9</v>
      </c>
      <c r="T75" s="230"/>
      <c r="U75" s="30">
        <f>R75+1</f>
        <v>4</v>
      </c>
      <c r="V75" s="226" t="s">
        <v>9</v>
      </c>
      <c r="W75" s="230"/>
      <c r="X75" s="30">
        <f>U75+1</f>
        <v>5</v>
      </c>
      <c r="Y75" s="226" t="s">
        <v>9</v>
      </c>
      <c r="Z75" s="226"/>
      <c r="AA75" s="30">
        <f>X75+1</f>
        <v>6</v>
      </c>
      <c r="AB75" s="226" t="s">
        <v>9</v>
      </c>
      <c r="AC75" s="226"/>
      <c r="AD75" s="30">
        <f>AA75+1</f>
        <v>7</v>
      </c>
      <c r="AE75" s="226" t="s">
        <v>9</v>
      </c>
      <c r="AF75" s="226"/>
      <c r="AG75" s="30">
        <f>AD75+1</f>
        <v>8</v>
      </c>
      <c r="AH75" s="226" t="s">
        <v>9</v>
      </c>
      <c r="AI75" s="226"/>
      <c r="AJ75" s="30">
        <f>AG75+1</f>
        <v>9</v>
      </c>
      <c r="AK75" s="226" t="s">
        <v>9</v>
      </c>
      <c r="AL75" s="226"/>
      <c r="AM75" s="30">
        <f>AJ75+1</f>
        <v>10</v>
      </c>
      <c r="AN75" s="226" t="s">
        <v>9</v>
      </c>
      <c r="AO75" s="226"/>
      <c r="AP75" s="30">
        <f>AM75+1</f>
        <v>11</v>
      </c>
      <c r="AQ75" s="226" t="s">
        <v>9</v>
      </c>
      <c r="AR75" s="226"/>
      <c r="AS75" s="30">
        <f>AP75+1</f>
        <v>12</v>
      </c>
      <c r="AT75" s="226" t="s">
        <v>9</v>
      </c>
      <c r="AU75" s="226"/>
      <c r="AV75" s="30">
        <f>AS75+1</f>
        <v>13</v>
      </c>
      <c r="AW75" s="226" t="s">
        <v>9</v>
      </c>
      <c r="AX75" s="226"/>
      <c r="AY75" s="30">
        <f>AV75+1</f>
        <v>14</v>
      </c>
      <c r="AZ75" s="226" t="s">
        <v>9</v>
      </c>
      <c r="BA75" s="230"/>
      <c r="BB75" s="30" t="e">
        <f>#REF!+1</f>
        <v>#REF!</v>
      </c>
      <c r="BC75" s="226" t="s">
        <v>9</v>
      </c>
      <c r="BD75" s="230"/>
      <c r="BE75" s="30" t="e">
        <f>BB75+1</f>
        <v>#REF!</v>
      </c>
      <c r="BF75" s="226" t="s">
        <v>9</v>
      </c>
      <c r="BG75" s="230"/>
      <c r="BH75" s="30" t="e">
        <f>BE75+1</f>
        <v>#REF!</v>
      </c>
      <c r="BI75" s="226" t="s">
        <v>9</v>
      </c>
      <c r="BJ75" s="230"/>
      <c r="BK75" s="30" t="e">
        <f>BH75+1</f>
        <v>#REF!</v>
      </c>
      <c r="BL75" s="226" t="s">
        <v>9</v>
      </c>
      <c r="BM75" s="230"/>
      <c r="BN75" s="30" t="e">
        <f>BK75+1</f>
        <v>#REF!</v>
      </c>
      <c r="BO75" s="226" t="s">
        <v>9</v>
      </c>
      <c r="BP75" s="230"/>
      <c r="BQ75" s="30" t="e">
        <f>BN75+1</f>
        <v>#REF!</v>
      </c>
      <c r="BR75" s="226" t="s">
        <v>9</v>
      </c>
      <c r="BS75" s="230"/>
      <c r="BT75" s="30" t="e">
        <f>BQ75+1</f>
        <v>#REF!</v>
      </c>
      <c r="BU75" s="226" t="s">
        <v>9</v>
      </c>
      <c r="BV75" s="230"/>
      <c r="BW75" s="30" t="e">
        <f>BT75+1</f>
        <v>#REF!</v>
      </c>
      <c r="BX75" s="226" t="s">
        <v>9</v>
      </c>
      <c r="BY75" s="230"/>
      <c r="BZ75" s="30" t="e">
        <f>BW75+1</f>
        <v>#REF!</v>
      </c>
      <c r="CA75" s="226" t="s">
        <v>9</v>
      </c>
      <c r="CB75" s="230"/>
      <c r="CC75" s="30" t="e">
        <f>BZ75+1</f>
        <v>#REF!</v>
      </c>
      <c r="CD75" s="30"/>
      <c r="CE75" s="31"/>
    </row>
    <row r="76" spans="1:83" hidden="1">
      <c r="A76" s="32"/>
      <c r="B76" s="32"/>
      <c r="C76" s="32"/>
      <c r="D76" s="32"/>
      <c r="E76" s="32" t="s">
        <v>11</v>
      </c>
      <c r="F76" s="32"/>
      <c r="G76" s="32"/>
      <c r="H76" s="32"/>
      <c r="I76" s="32"/>
      <c r="J76" s="155">
        <v>1</v>
      </c>
      <c r="K76" s="155">
        <v>0</v>
      </c>
      <c r="L76" s="32">
        <v>0</v>
      </c>
      <c r="M76" s="32">
        <v>1</v>
      </c>
      <c r="N76" s="32">
        <v>0</v>
      </c>
      <c r="O76" s="32">
        <v>0</v>
      </c>
      <c r="P76" s="32">
        <v>1</v>
      </c>
      <c r="Q76" s="32">
        <v>0</v>
      </c>
      <c r="R76" s="32">
        <v>0</v>
      </c>
      <c r="S76" s="32">
        <v>1</v>
      </c>
      <c r="T76" s="32">
        <v>0</v>
      </c>
      <c r="U76" s="32">
        <v>0</v>
      </c>
      <c r="V76" s="32">
        <v>1</v>
      </c>
      <c r="W76" s="32">
        <v>0</v>
      </c>
      <c r="X76" s="32">
        <v>0</v>
      </c>
      <c r="Y76" s="32">
        <v>1</v>
      </c>
      <c r="Z76" s="32">
        <v>0</v>
      </c>
      <c r="AA76" s="32">
        <v>0</v>
      </c>
      <c r="AB76" s="32">
        <v>1</v>
      </c>
      <c r="AC76" s="32">
        <v>0</v>
      </c>
      <c r="AD76" s="32">
        <v>0</v>
      </c>
      <c r="AE76" s="32">
        <v>1</v>
      </c>
      <c r="AF76" s="32">
        <v>0</v>
      </c>
      <c r="AG76" s="32">
        <v>0</v>
      </c>
      <c r="AH76" s="32">
        <v>1</v>
      </c>
      <c r="AI76" s="32">
        <v>0</v>
      </c>
      <c r="AJ76" s="32">
        <v>0</v>
      </c>
      <c r="AK76" s="32">
        <v>1</v>
      </c>
      <c r="AL76" s="32">
        <v>0</v>
      </c>
      <c r="AM76" s="32">
        <v>0</v>
      </c>
      <c r="AN76" s="32">
        <v>1</v>
      </c>
      <c r="AO76" s="32">
        <v>0</v>
      </c>
      <c r="AP76" s="32">
        <v>0</v>
      </c>
      <c r="AQ76" s="32">
        <v>1</v>
      </c>
      <c r="AR76" s="32">
        <v>0</v>
      </c>
      <c r="AS76" s="32">
        <v>0</v>
      </c>
      <c r="AT76" s="32">
        <v>1</v>
      </c>
      <c r="AU76" s="32">
        <v>0</v>
      </c>
      <c r="AV76" s="32">
        <v>0</v>
      </c>
      <c r="AW76" s="32">
        <v>1</v>
      </c>
      <c r="AX76" s="32">
        <v>0</v>
      </c>
      <c r="AY76" s="32">
        <v>0</v>
      </c>
      <c r="AZ76" s="32">
        <v>1</v>
      </c>
      <c r="BA76" s="32">
        <v>0</v>
      </c>
      <c r="BB76" s="32">
        <v>0</v>
      </c>
      <c r="BC76" s="32">
        <v>1</v>
      </c>
      <c r="BD76" s="32">
        <v>0</v>
      </c>
      <c r="BE76" s="32">
        <v>0</v>
      </c>
      <c r="BF76" s="32">
        <v>1</v>
      </c>
      <c r="BG76" s="32">
        <v>0</v>
      </c>
      <c r="BH76" s="32">
        <v>0</v>
      </c>
      <c r="BI76" s="32">
        <v>1</v>
      </c>
      <c r="BJ76" s="32">
        <v>0</v>
      </c>
      <c r="BK76" s="32">
        <v>0</v>
      </c>
      <c r="BL76" s="32">
        <v>1</v>
      </c>
      <c r="BM76" s="32">
        <v>0</v>
      </c>
      <c r="BN76" s="32">
        <v>0</v>
      </c>
      <c r="BO76" s="32">
        <v>1</v>
      </c>
      <c r="BP76" s="32">
        <v>0</v>
      </c>
      <c r="BQ76" s="32">
        <v>0</v>
      </c>
      <c r="BR76" s="32">
        <v>1</v>
      </c>
      <c r="BS76" s="32">
        <v>0</v>
      </c>
      <c r="BT76" s="32">
        <v>0</v>
      </c>
      <c r="BU76" s="32">
        <v>1</v>
      </c>
      <c r="BV76" s="32">
        <v>0</v>
      </c>
      <c r="BW76" s="32">
        <v>0</v>
      </c>
      <c r="BX76" s="32">
        <v>1</v>
      </c>
      <c r="BY76" s="32">
        <v>0</v>
      </c>
      <c r="BZ76" s="32">
        <v>0</v>
      </c>
      <c r="CA76" s="32">
        <v>1</v>
      </c>
      <c r="CB76" s="32">
        <v>0</v>
      </c>
      <c r="CC76" s="32">
        <v>0</v>
      </c>
      <c r="CD76" s="32"/>
      <c r="CE76" s="33"/>
    </row>
    <row r="77" spans="1:83" hidden="1">
      <c r="A77" s="34"/>
      <c r="B77" s="34"/>
      <c r="C77" s="34"/>
      <c r="D77" s="34"/>
      <c r="E77" s="32" t="s">
        <v>13</v>
      </c>
      <c r="F77" s="32"/>
      <c r="G77" s="32"/>
      <c r="H77" s="32"/>
      <c r="I77" s="32"/>
      <c r="J77" s="24">
        <v>0</v>
      </c>
      <c r="K77" s="155">
        <v>1</v>
      </c>
      <c r="L77" s="32">
        <v>0</v>
      </c>
      <c r="M77" s="35">
        <v>0</v>
      </c>
      <c r="N77" s="32">
        <v>1</v>
      </c>
      <c r="O77" s="32">
        <v>0</v>
      </c>
      <c r="P77" s="35">
        <v>0</v>
      </c>
      <c r="Q77" s="32">
        <v>1</v>
      </c>
      <c r="R77" s="32">
        <v>0</v>
      </c>
      <c r="S77" s="35">
        <v>0</v>
      </c>
      <c r="T77" s="32">
        <v>1</v>
      </c>
      <c r="U77" s="32">
        <v>0</v>
      </c>
      <c r="V77" s="35">
        <v>0</v>
      </c>
      <c r="W77" s="32">
        <v>1</v>
      </c>
      <c r="X77" s="32">
        <v>0</v>
      </c>
      <c r="Y77" s="35">
        <v>0</v>
      </c>
      <c r="Z77" s="32">
        <v>1</v>
      </c>
      <c r="AA77" s="32">
        <v>0</v>
      </c>
      <c r="AB77" s="35">
        <v>0</v>
      </c>
      <c r="AC77" s="32">
        <v>1</v>
      </c>
      <c r="AD77" s="32">
        <v>0</v>
      </c>
      <c r="AE77" s="35">
        <v>0</v>
      </c>
      <c r="AF77" s="32">
        <v>1</v>
      </c>
      <c r="AG77" s="32">
        <v>0</v>
      </c>
      <c r="AH77" s="35">
        <v>0</v>
      </c>
      <c r="AI77" s="32">
        <v>1</v>
      </c>
      <c r="AJ77" s="32">
        <v>0</v>
      </c>
      <c r="AK77" s="35">
        <v>0</v>
      </c>
      <c r="AL77" s="32">
        <v>1</v>
      </c>
      <c r="AM77" s="32">
        <v>0</v>
      </c>
      <c r="AN77" s="35">
        <v>0</v>
      </c>
      <c r="AO77" s="32">
        <v>1</v>
      </c>
      <c r="AP77" s="32">
        <v>0</v>
      </c>
      <c r="AQ77" s="35">
        <v>0</v>
      </c>
      <c r="AR77" s="32">
        <v>1</v>
      </c>
      <c r="AS77" s="32">
        <v>0</v>
      </c>
      <c r="AT77" s="35">
        <v>0</v>
      </c>
      <c r="AU77" s="32">
        <v>1</v>
      </c>
      <c r="AV77" s="32">
        <v>0</v>
      </c>
      <c r="AW77" s="35">
        <v>0</v>
      </c>
      <c r="AX77" s="32">
        <v>1</v>
      </c>
      <c r="AY77" s="32">
        <v>0</v>
      </c>
      <c r="AZ77" s="35">
        <v>0</v>
      </c>
      <c r="BA77" s="32">
        <v>1</v>
      </c>
      <c r="BB77" s="32">
        <v>0</v>
      </c>
      <c r="BC77" s="35">
        <v>0</v>
      </c>
      <c r="BD77" s="32">
        <v>1</v>
      </c>
      <c r="BE77" s="32">
        <v>0</v>
      </c>
      <c r="BF77" s="35">
        <v>0</v>
      </c>
      <c r="BG77" s="32">
        <v>1</v>
      </c>
      <c r="BH77" s="32">
        <v>0</v>
      </c>
      <c r="BI77" s="35">
        <v>0</v>
      </c>
      <c r="BJ77" s="32">
        <v>1</v>
      </c>
      <c r="BK77" s="32">
        <v>0</v>
      </c>
      <c r="BL77" s="35">
        <v>0</v>
      </c>
      <c r="BM77" s="32">
        <v>1</v>
      </c>
      <c r="BN77" s="32">
        <v>0</v>
      </c>
      <c r="BO77" s="35">
        <v>0</v>
      </c>
      <c r="BP77" s="32">
        <v>1</v>
      </c>
      <c r="BQ77" s="32">
        <v>0</v>
      </c>
      <c r="BR77" s="35">
        <v>0</v>
      </c>
      <c r="BS77" s="32">
        <v>1</v>
      </c>
      <c r="BT77" s="32">
        <v>0</v>
      </c>
      <c r="BU77" s="35">
        <v>0</v>
      </c>
      <c r="BV77" s="32">
        <v>1</v>
      </c>
      <c r="BW77" s="32">
        <v>0</v>
      </c>
      <c r="BX77" s="35">
        <v>0</v>
      </c>
      <c r="BY77" s="32">
        <v>1</v>
      </c>
      <c r="BZ77" s="32">
        <v>0</v>
      </c>
      <c r="CA77" s="35">
        <v>0</v>
      </c>
      <c r="CB77" s="32">
        <v>1</v>
      </c>
      <c r="CC77" s="32">
        <v>0</v>
      </c>
      <c r="CD77" s="32"/>
    </row>
    <row r="78" spans="1:83" hidden="1">
      <c r="A78" s="32"/>
      <c r="B78" s="32"/>
      <c r="C78" s="32"/>
      <c r="D78" s="32"/>
      <c r="E78" s="36" t="s">
        <v>14</v>
      </c>
      <c r="F78" s="32"/>
      <c r="G78" s="32"/>
      <c r="H78" s="32"/>
      <c r="I78" s="32"/>
      <c r="J78" s="24">
        <v>0</v>
      </c>
      <c r="K78" s="155">
        <v>0</v>
      </c>
      <c r="L78" s="32">
        <v>1</v>
      </c>
      <c r="M78" s="35">
        <v>0</v>
      </c>
      <c r="N78" s="32">
        <v>0</v>
      </c>
      <c r="O78" s="32">
        <v>1</v>
      </c>
      <c r="P78" s="35">
        <v>0</v>
      </c>
      <c r="Q78" s="32">
        <v>0</v>
      </c>
      <c r="R78" s="32">
        <v>1</v>
      </c>
      <c r="S78" s="35">
        <v>0</v>
      </c>
      <c r="T78" s="32">
        <v>0</v>
      </c>
      <c r="U78" s="32">
        <v>1</v>
      </c>
      <c r="V78" s="35">
        <v>0</v>
      </c>
      <c r="W78" s="32">
        <v>0</v>
      </c>
      <c r="X78" s="32">
        <v>1</v>
      </c>
      <c r="Y78" s="35">
        <v>0</v>
      </c>
      <c r="Z78" s="32">
        <v>0</v>
      </c>
      <c r="AA78" s="32">
        <v>1</v>
      </c>
      <c r="AB78" s="35">
        <v>0</v>
      </c>
      <c r="AC78" s="32">
        <v>0</v>
      </c>
      <c r="AD78" s="32">
        <v>1</v>
      </c>
      <c r="AE78" s="35">
        <v>0</v>
      </c>
      <c r="AF78" s="32">
        <v>0</v>
      </c>
      <c r="AG78" s="32">
        <v>1</v>
      </c>
      <c r="AH78" s="35">
        <v>0</v>
      </c>
      <c r="AI78" s="32">
        <v>0</v>
      </c>
      <c r="AJ78" s="32">
        <v>1</v>
      </c>
      <c r="AK78" s="35">
        <v>0</v>
      </c>
      <c r="AL78" s="32">
        <v>0</v>
      </c>
      <c r="AM78" s="32">
        <v>1</v>
      </c>
      <c r="AN78" s="35">
        <v>0</v>
      </c>
      <c r="AO78" s="32">
        <v>0</v>
      </c>
      <c r="AP78" s="32">
        <v>1</v>
      </c>
      <c r="AQ78" s="35">
        <v>0</v>
      </c>
      <c r="AR78" s="32">
        <v>0</v>
      </c>
      <c r="AS78" s="32">
        <v>1</v>
      </c>
      <c r="AT78" s="35">
        <v>0</v>
      </c>
      <c r="AU78" s="32">
        <v>0</v>
      </c>
      <c r="AV78" s="32">
        <v>1</v>
      </c>
      <c r="AW78" s="35">
        <v>0</v>
      </c>
      <c r="AX78" s="32">
        <v>0</v>
      </c>
      <c r="AY78" s="32">
        <v>1</v>
      </c>
      <c r="AZ78" s="35">
        <v>0</v>
      </c>
      <c r="BA78" s="32">
        <v>0</v>
      </c>
      <c r="BB78" s="32">
        <v>1</v>
      </c>
      <c r="BC78" s="35">
        <v>0</v>
      </c>
      <c r="BD78" s="32">
        <v>0</v>
      </c>
      <c r="BE78" s="32">
        <v>1</v>
      </c>
      <c r="BF78" s="35">
        <v>0</v>
      </c>
      <c r="BG78" s="32">
        <v>0</v>
      </c>
      <c r="BH78" s="32">
        <v>1</v>
      </c>
      <c r="BI78" s="35">
        <v>0</v>
      </c>
      <c r="BJ78" s="32">
        <v>0</v>
      </c>
      <c r="BK78" s="32">
        <v>1</v>
      </c>
      <c r="BL78" s="35">
        <v>0</v>
      </c>
      <c r="BM78" s="32">
        <v>0</v>
      </c>
      <c r="BN78" s="32">
        <v>1</v>
      </c>
      <c r="BO78" s="35">
        <v>0</v>
      </c>
      <c r="BP78" s="32">
        <v>0</v>
      </c>
      <c r="BQ78" s="32">
        <v>1</v>
      </c>
      <c r="BR78" s="35">
        <v>0</v>
      </c>
      <c r="BS78" s="32">
        <v>0</v>
      </c>
      <c r="BT78" s="32">
        <v>1</v>
      </c>
      <c r="BU78" s="35">
        <v>0</v>
      </c>
      <c r="BV78" s="32">
        <v>0</v>
      </c>
      <c r="BW78" s="32">
        <v>1</v>
      </c>
      <c r="BX78" s="35">
        <v>0</v>
      </c>
      <c r="BY78" s="32">
        <v>0</v>
      </c>
      <c r="BZ78" s="32">
        <v>1</v>
      </c>
      <c r="CA78" s="35">
        <v>0</v>
      </c>
      <c r="CB78" s="32">
        <v>0</v>
      </c>
      <c r="CC78" s="32">
        <v>1</v>
      </c>
      <c r="CD78" s="32"/>
    </row>
    <row r="79" spans="1:83">
      <c r="A79" s="37">
        <v>300</v>
      </c>
      <c r="B79" s="37">
        <v>300</v>
      </c>
      <c r="C79" s="37">
        <v>300</v>
      </c>
      <c r="D79" s="37" t="s">
        <v>90</v>
      </c>
      <c r="E79" s="38" t="s">
        <v>86</v>
      </c>
      <c r="F79" s="38"/>
      <c r="G79" s="38"/>
      <c r="H79" s="38"/>
      <c r="I79" s="39">
        <f>SUBTOTAL(109,I$4:I$74)</f>
        <v>131.5</v>
      </c>
      <c r="J79" s="156">
        <f>SUBTOTAL(109,J$4:J$74)</f>
        <v>116.5</v>
      </c>
      <c r="K79" s="156">
        <f>SUBTOTAL(109,K$4:K$73)</f>
        <v>12.5</v>
      </c>
      <c r="L79" s="39"/>
      <c r="M79" s="39">
        <f>SUBTOTAL(109,M$4:M$74)</f>
        <v>4</v>
      </c>
      <c r="N79" s="39">
        <f>SUBTOTAL(109,N$4:N$73)</f>
        <v>10.5</v>
      </c>
      <c r="O79" s="39"/>
      <c r="P79" s="39">
        <f>SUBTOTAL(109,P$4:P$74)</f>
        <v>5</v>
      </c>
      <c r="Q79" s="39">
        <f>SUBTOTAL(109,Q$4:Q$73)</f>
        <v>10.5</v>
      </c>
      <c r="R79" s="39"/>
      <c r="S79" s="39">
        <f>SUBTOTAL(109,S$4:S$74)</f>
        <v>0</v>
      </c>
      <c r="T79" s="39">
        <f>SUBTOTAL(109,T$4:T$73)</f>
        <v>10.5</v>
      </c>
      <c r="U79" s="39"/>
      <c r="V79" s="39">
        <f>SUBTOTAL(109,V$4:V$74)</f>
        <v>0</v>
      </c>
      <c r="W79" s="39">
        <f>SUBTOTAL(109,W$4:W$73)</f>
        <v>10.5</v>
      </c>
      <c r="X79" s="39"/>
      <c r="Y79" s="39">
        <f>SUBTOTAL(109,Y$4:Y$74)</f>
        <v>0</v>
      </c>
      <c r="Z79" s="39">
        <f>SUBTOTAL(109,Z$4:Z$73)</f>
        <v>10.5</v>
      </c>
      <c r="AA79" s="39"/>
      <c r="AB79" s="39">
        <f>SUBTOTAL(109,AB$4:AB$74)</f>
        <v>0</v>
      </c>
      <c r="AC79" s="39">
        <f>SUBTOTAL(109,AC$4:AC$73)</f>
        <v>10.5</v>
      </c>
      <c r="AD79" s="39"/>
      <c r="AE79" s="39">
        <f>SUBTOTAL(109,AE$4:AE$74)</f>
        <v>0.5</v>
      </c>
      <c r="AF79" s="39">
        <f>SUBTOTAL(109,AF$4:AF$73)</f>
        <v>10</v>
      </c>
      <c r="AG79" s="39"/>
      <c r="AH79" s="39">
        <f>SUBTOTAL(109,AH$4:AH$74)</f>
        <v>0</v>
      </c>
      <c r="AI79" s="39">
        <f>SUBTOTAL(109,AI$4:AI$73)</f>
        <v>10</v>
      </c>
      <c r="AJ79" s="39"/>
      <c r="AK79" s="39">
        <f>SUBTOTAL(109,AK$4:AK$74)</f>
        <v>0</v>
      </c>
      <c r="AL79" s="39">
        <f>SUBTOTAL(109,AL$4:AL$73)</f>
        <v>10</v>
      </c>
      <c r="AM79" s="39"/>
      <c r="AN79" s="39">
        <f>SUBTOTAL(109,AN$4:AN$74)</f>
        <v>0</v>
      </c>
      <c r="AO79" s="39">
        <f>SUBTOTAL(109,AO$4:AO$73)</f>
        <v>10</v>
      </c>
      <c r="AP79" s="39"/>
      <c r="AQ79" s="39">
        <f>SUBTOTAL(109,AQ$4:AQ$74)</f>
        <v>0</v>
      </c>
      <c r="AR79" s="39">
        <f>SUBTOTAL(109,AR$4:AR$73)</f>
        <v>10</v>
      </c>
      <c r="AS79" s="39"/>
      <c r="AT79" s="39">
        <f>SUBTOTAL(109,AT$4:AT$74)</f>
        <v>0</v>
      </c>
      <c r="AU79" s="39">
        <f>SUBTOTAL(109,AU$4:AU$73)</f>
        <v>10</v>
      </c>
      <c r="AV79" s="39"/>
      <c r="AW79" s="39">
        <f>SUBTOTAL(109,AW$4:AW$74)</f>
        <v>0</v>
      </c>
      <c r="AX79" s="39">
        <f>SUBTOTAL(109,AX$4:AX$73)</f>
        <v>10</v>
      </c>
      <c r="AY79" s="39"/>
      <c r="AZ79" s="39">
        <f t="shared" ref="AZ79:CC79" si="275">SUBTOTAL(109,AZ$4:AZ$73)</f>
        <v>0</v>
      </c>
      <c r="BA79" s="39" t="e">
        <f t="shared" si="275"/>
        <v>#REF!</v>
      </c>
      <c r="BB79" s="39" t="e">
        <f t="shared" si="275"/>
        <v>#REF!</v>
      </c>
      <c r="BC79" s="39">
        <f t="shared" si="275"/>
        <v>0</v>
      </c>
      <c r="BD79" s="39" t="e">
        <f t="shared" si="275"/>
        <v>#REF!</v>
      </c>
      <c r="BE79" s="39" t="e">
        <f t="shared" si="275"/>
        <v>#REF!</v>
      </c>
      <c r="BF79" s="39">
        <f t="shared" si="275"/>
        <v>0</v>
      </c>
      <c r="BG79" s="39" t="e">
        <f t="shared" si="275"/>
        <v>#REF!</v>
      </c>
      <c r="BH79" s="39" t="e">
        <f t="shared" si="275"/>
        <v>#REF!</v>
      </c>
      <c r="BI79" s="39">
        <f t="shared" si="275"/>
        <v>0</v>
      </c>
      <c r="BJ79" s="39" t="e">
        <f t="shared" si="275"/>
        <v>#REF!</v>
      </c>
      <c r="BK79" s="39" t="e">
        <f t="shared" si="275"/>
        <v>#REF!</v>
      </c>
      <c r="BL79" s="39">
        <f t="shared" si="275"/>
        <v>0</v>
      </c>
      <c r="BM79" s="39" t="e">
        <f t="shared" si="275"/>
        <v>#REF!</v>
      </c>
      <c r="BN79" s="39" t="e">
        <f t="shared" si="275"/>
        <v>#REF!</v>
      </c>
      <c r="BO79" s="39">
        <f t="shared" si="275"/>
        <v>0</v>
      </c>
      <c r="BP79" s="39" t="e">
        <f t="shared" si="275"/>
        <v>#REF!</v>
      </c>
      <c r="BQ79" s="39" t="e">
        <f t="shared" si="275"/>
        <v>#REF!</v>
      </c>
      <c r="BR79" s="39">
        <f t="shared" si="275"/>
        <v>0</v>
      </c>
      <c r="BS79" s="39" t="e">
        <f t="shared" si="275"/>
        <v>#REF!</v>
      </c>
      <c r="BT79" s="39" t="e">
        <f t="shared" si="275"/>
        <v>#REF!</v>
      </c>
      <c r="BU79" s="39">
        <f t="shared" si="275"/>
        <v>0</v>
      </c>
      <c r="BV79" s="39" t="e">
        <f t="shared" si="275"/>
        <v>#REF!</v>
      </c>
      <c r="BW79" s="39" t="e">
        <f t="shared" si="275"/>
        <v>#REF!</v>
      </c>
      <c r="BX79" s="39">
        <f t="shared" si="275"/>
        <v>0</v>
      </c>
      <c r="BY79" s="39" t="e">
        <f t="shared" si="275"/>
        <v>#REF!</v>
      </c>
      <c r="BZ79" s="39" t="e">
        <f t="shared" si="275"/>
        <v>#REF!</v>
      </c>
      <c r="CA79" s="39">
        <f t="shared" si="275"/>
        <v>0</v>
      </c>
      <c r="CB79" s="39" t="e">
        <f t="shared" si="275"/>
        <v>#REF!</v>
      </c>
      <c r="CC79" s="39" t="e">
        <f t="shared" si="275"/>
        <v>#REF!</v>
      </c>
      <c r="CD79" s="38"/>
      <c r="CE79" s="40"/>
    </row>
    <row r="80" spans="1:83">
      <c r="A80" s="41"/>
      <c r="B80" s="41"/>
      <c r="C80" s="41"/>
      <c r="D80" s="41"/>
      <c r="E80" s="41"/>
      <c r="F80" s="41"/>
      <c r="G80" s="41"/>
      <c r="H80" s="41"/>
      <c r="I80" s="41"/>
      <c r="J80" s="157"/>
      <c r="K80" s="158"/>
      <c r="L80" s="41"/>
      <c r="M80" s="42"/>
      <c r="N80" s="41"/>
      <c r="O80" s="41"/>
      <c r="P80" s="42"/>
      <c r="Q80" s="41"/>
      <c r="R80" s="41"/>
      <c r="S80" s="42"/>
      <c r="T80" s="41"/>
      <c r="U80" s="41"/>
      <c r="V80" s="42"/>
      <c r="W80" s="41"/>
      <c r="X80" s="41"/>
      <c r="Y80" s="42"/>
      <c r="Z80" s="41"/>
      <c r="AA80" s="41"/>
      <c r="AB80" s="42"/>
      <c r="AC80" s="41"/>
      <c r="AD80" s="41"/>
      <c r="AE80" s="42"/>
      <c r="AF80" s="41"/>
      <c r="AG80" s="41"/>
      <c r="AH80" s="42"/>
      <c r="AI80" s="41"/>
      <c r="AJ80" s="41"/>
      <c r="AK80" s="42"/>
      <c r="AL80" s="41"/>
      <c r="AM80" s="41"/>
      <c r="AN80" s="42"/>
      <c r="AO80" s="41"/>
      <c r="AP80" s="41"/>
      <c r="AQ80" s="42"/>
      <c r="AR80" s="41"/>
      <c r="AS80" s="41"/>
      <c r="AT80" s="42"/>
      <c r="AU80" s="41"/>
      <c r="AV80" s="41"/>
      <c r="AW80" s="42"/>
      <c r="AX80" s="41"/>
      <c r="AY80" s="41"/>
      <c r="AZ80" s="42"/>
      <c r="BA80" s="41"/>
      <c r="BB80" s="41"/>
      <c r="BC80" s="42"/>
      <c r="BD80" s="41"/>
      <c r="BE80" s="41"/>
      <c r="BF80" s="42"/>
      <c r="BG80" s="41"/>
      <c r="BH80" s="41"/>
      <c r="BI80" s="42"/>
      <c r="BJ80" s="41"/>
      <c r="BK80" s="41"/>
      <c r="BL80" s="42"/>
      <c r="BM80" s="41"/>
      <c r="BN80" s="41"/>
      <c r="BO80" s="42"/>
      <c r="BP80" s="41"/>
      <c r="BQ80" s="41"/>
      <c r="BR80" s="42"/>
      <c r="BS80" s="41"/>
      <c r="BT80" s="41"/>
      <c r="BU80" s="42"/>
      <c r="BV80" s="41"/>
      <c r="BW80" s="41"/>
      <c r="BX80" s="42"/>
      <c r="BY80" s="41"/>
      <c r="BZ80" s="41"/>
      <c r="CA80" s="42"/>
      <c r="CB80" s="41"/>
      <c r="CC80" s="41"/>
      <c r="CD80" s="41"/>
    </row>
    <row r="81" spans="1:8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c r="A82" s="41"/>
      <c r="B82" s="41"/>
      <c r="C82" s="41"/>
      <c r="D82" s="41"/>
      <c r="E82" s="41"/>
      <c r="F82" s="41"/>
      <c r="G82" s="41"/>
    </row>
    <row r="83" spans="1:82">
      <c r="A83" s="41"/>
      <c r="B83" s="41"/>
      <c r="C83" s="41"/>
      <c r="D83" s="41"/>
      <c r="E83" s="41"/>
      <c r="F83" s="41"/>
      <c r="G83" s="41"/>
    </row>
  </sheetData>
  <autoFilter ref="C3:CE73"/>
  <mergeCells count="48">
    <mergeCell ref="AE75:AF75"/>
    <mergeCell ref="AB75:AC75"/>
    <mergeCell ref="Y75:Z75"/>
    <mergeCell ref="AE1:AG1"/>
    <mergeCell ref="AB1:AD1"/>
    <mergeCell ref="Y1:AA1"/>
    <mergeCell ref="BX1:BZ1"/>
    <mergeCell ref="BX75:BY75"/>
    <mergeCell ref="CA1:CC1"/>
    <mergeCell ref="CA75:CB75"/>
    <mergeCell ref="BR1:BT1"/>
    <mergeCell ref="BR75:BS75"/>
    <mergeCell ref="BU1:BW1"/>
    <mergeCell ref="BU75:BV75"/>
    <mergeCell ref="BL1:BN1"/>
    <mergeCell ref="BL75:BM75"/>
    <mergeCell ref="BO1:BQ1"/>
    <mergeCell ref="BO75:BP75"/>
    <mergeCell ref="AZ1:BB1"/>
    <mergeCell ref="AZ75:BA75"/>
    <mergeCell ref="BC1:BE1"/>
    <mergeCell ref="BC75:BD75"/>
    <mergeCell ref="BF1:BH1"/>
    <mergeCell ref="BF75:BG75"/>
    <mergeCell ref="BI1:BK1"/>
    <mergeCell ref="BI75:BJ75"/>
    <mergeCell ref="V1:X1"/>
    <mergeCell ref="J75:K75"/>
    <mergeCell ref="M75:N75"/>
    <mergeCell ref="P75:Q75"/>
    <mergeCell ref="S75:T75"/>
    <mergeCell ref="V75:W75"/>
    <mergeCell ref="J1:L1"/>
    <mergeCell ref="M1:O1"/>
    <mergeCell ref="P1:R1"/>
    <mergeCell ref="S1:U1"/>
    <mergeCell ref="AW1:AY1"/>
    <mergeCell ref="AH1:AJ1"/>
    <mergeCell ref="AK1:AM1"/>
    <mergeCell ref="AN1:AP1"/>
    <mergeCell ref="AQ1:AS1"/>
    <mergeCell ref="AT1:AV1"/>
    <mergeCell ref="AT75:AU75"/>
    <mergeCell ref="AW75:AX75"/>
    <mergeCell ref="AH75:AI75"/>
    <mergeCell ref="AK75:AL75"/>
    <mergeCell ref="AN75:AO75"/>
    <mergeCell ref="AQ75:AR75"/>
  </mergeCells>
  <phoneticPr fontId="2" type="noConversion"/>
  <conditionalFormatting sqref="I79">
    <cfRule type="cellIs" dxfId="110" priority="134" stopIfTrue="1" operator="lessThan">
      <formula>C79*0.75</formula>
    </cfRule>
    <cfRule type="cellIs" dxfId="109" priority="134" stopIfTrue="1" operator="between">
      <formula>C79*0.75</formula>
      <formula>#REF!</formula>
    </cfRule>
    <cfRule type="cellIs" dxfId="108" priority="134" stopIfTrue="1" operator="greaterThan">
      <formula>C79</formula>
    </cfRule>
  </conditionalFormatting>
  <conditionalFormatting sqref="J2:J3 CA2:CA3 BR2:BR3 BU2:BU3 P2:P3 S2:S3 V2:V3 Y2:Y3 AB2:AB3 AE2:AE3 AH2:AH3 AK2:AK3 AN2:AN3 AQ2:AQ3 AT2:AT3 AW2:AW3 AZ2:AZ3 BC2:BC3 BF2:BF3 BI2:BI3 BL2:BL3 BO2:BO3 BX2:BX3 M2:M3">
    <cfRule type="expression" dxfId="107"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106"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105"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3 AW30:AW73 AT30:AT73 AQ30:AQ73 AN30:AN73 AK30:AK73 AH30:AH73 AE30:AE73 AB30:AB73 Y30:Y73 V30:V73 CA30:CA73 BX30:BX73 BU30:BU73 BR30:BR73 BO30:BO73 BL30:BL73 BI30:BI73 BF30:BF73 BC30:BC73 AZ30:AZ73 M30:M73 J30:J73 P30:P73">
    <cfRule type="expression" dxfId="59" priority="137" stopIfTrue="1">
      <formula>J$1=TODAY()+DailyScrumDateModifier</formula>
    </cfRule>
    <cfRule type="expression" dxfId="58"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3 N30:N73 AX30:AX73 AU30:AU73 AR30:AR73 AL30:AL73 AF30:AF73 AC30:AC73 Z30:Z73 W30:W73 Q30:Q73 BY30:BY73 BV30:BV73 BS30:BS73 BP30:BP73 BM30:BM73 BJ30:BJ73 BG30:BG73 BD30:BD73 BA30:BA73 K30:K73 T30:T73 AI30:AI73 AO30:AO73">
    <cfRule type="expression" dxfId="104" priority="139" stopIfTrue="1">
      <formula>J$1=TODAY()+DailyScrumDateModifier</formula>
    </cfRule>
    <cfRule type="expression" dxfId="103" priority="139" stopIfTrue="1">
      <formula>MOD(ROW(),2)</formula>
    </cfRule>
  </conditionalFormatting>
  <conditionalFormatting sqref="A4:E73 CE4:CE74 H4:I73">
    <cfRule type="expression" dxfId="60"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3 BZ30:BZ73 BW30:BW73 BT30:BT73 BQ30:BQ73 BN30:BN73 BK30:BK73 BH30:BH73 BE30:BE73 BB30:BB73 X30:X73 U30:U73 R30:R73 O30:O73 AY30:AY73 AV30:AV73 AS30:AS73 AP30:AP73 AM30:AM73 AJ30:AJ73 AG30:AG73 AD30:AD73 AA30:AA73 L30:L73">
    <cfRule type="cellIs" dxfId="102" priority="142" stopIfTrue="1" operator="equal">
      <formula>"Pending"</formula>
    </cfRule>
    <cfRule type="cellIs" dxfId="101" priority="142" stopIfTrue="1" operator="equal">
      <formula>"In Progress"</formula>
    </cfRule>
    <cfRule type="cellIs" dxfId="100" priority="142" stopIfTrue="1" operator="equal">
      <formula>"Complete"</formula>
    </cfRule>
  </conditionalFormatting>
  <conditionalFormatting sqref="J1:CC1">
    <cfRule type="expression" dxfId="99" priority="129" stopIfTrue="1">
      <formula>J$1=TODAY()+DailyScrumDateModifier</formula>
    </cfRule>
    <cfRule type="expression" dxfId="98" priority="129" stopIfTrue="1">
      <formula>J$1=TODAY()</formula>
    </cfRule>
  </conditionalFormatting>
  <conditionalFormatting sqref="J80:K81 M80:N81">
    <cfRule type="expression" dxfId="97" priority="131" stopIfTrue="1">
      <formula>"I1=TODAY()"</formula>
    </cfRule>
  </conditionalFormatting>
  <conditionalFormatting sqref="G75">
    <cfRule type="cellIs" dxfId="96" priority="132" stopIfTrue="1" operator="equal">
      <formula>"Complete"</formula>
    </cfRule>
    <cfRule type="cellIs" dxfId="95" priority="132" stopIfTrue="1" operator="equal">
      <formula>"In Progress"</formula>
    </cfRule>
  </conditionalFormatting>
  <conditionalFormatting sqref="G4:G12 G20 G16:G18 G23:G25 G30:G73">
    <cfRule type="cellIs" dxfId="94" priority="145" stopIfTrue="1" operator="equal">
      <formula>"Complete"</formula>
    </cfRule>
    <cfRule type="cellIs" dxfId="93" priority="145" stopIfTrue="1" operator="equal">
      <formula>"In Progress"</formula>
    </cfRule>
    <cfRule type="cellIs" dxfId="92" priority="145" stopIfTrue="1" operator="equal">
      <formula>"Pending"</formula>
    </cfRule>
  </conditionalFormatting>
  <conditionalFormatting sqref="P19 J19 M19 AZ19 BC19 BF19 BI19 BL19 BO19 BR19 BU19 BX19 CA19 V19 Y19 AB19 AE19 AH19 AK19 AN19 AQ19 AT19 AW19 S19">
    <cfRule type="expression" dxfId="91" priority="112" stopIfTrue="1">
      <formula>J$1=TODAY()+DailyScrumDateModifier</formula>
    </cfRule>
  </conditionalFormatting>
  <conditionalFormatting sqref="AO19 AI19 T19 K19 BA19 BD19 BG19 BJ19 BM19 BP19 BS19 BV19 BY19 CB19 Q19 W19 Z19 AC19 AF19 AL19 AR19 AU19 AX19 N19">
    <cfRule type="expression" dxfId="90"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89" priority="115" stopIfTrue="1" operator="equal">
      <formula>"Pending"</formula>
    </cfRule>
  </conditionalFormatting>
  <conditionalFormatting sqref="G19 G13 G15 G21:G22 G26:G29">
    <cfRule type="cellIs" dxfId="88" priority="116" stopIfTrue="1" operator="equal">
      <formula>"Complete"</formula>
    </cfRule>
  </conditionalFormatting>
  <conditionalFormatting sqref="S26 AW26 AT26 AQ26 AN26 AK26 AH26 AE26 AB26 Y26 V26 CA26 BX26 BU26 BR26 BO26 BL26 BI26 BF26 BC26 AZ26 M26 J26 P26">
    <cfRule type="expression" dxfId="87" priority="101" stopIfTrue="1">
      <formula>J$1=TODAY()+DailyScrumDateModifier</formula>
    </cfRule>
  </conditionalFormatting>
  <conditionalFormatting sqref="N26 AX26 AU26 AR26 AL26 AF26 AC26 Z26 W26 Q26 CB26 BY26 BV26 BS26 BP26 BM26 BJ26 BG26 BD26 BA26 K26 T26 AI26 AO26">
    <cfRule type="expression" dxfId="86" priority="102" stopIfTrue="1">
      <formula>J$1=TODAY()+DailyScrumDateModifier</formula>
    </cfRule>
  </conditionalFormatting>
  <conditionalFormatting sqref="P13 J13 M13 AZ13 BC13 BF13 BI13 BL13 BO13 BR13 BU13 BX13 CA13 V13 Y13 AB13 AE13 AH13 AK13 AN13 AQ13 AT13 AW13 S13">
    <cfRule type="expression" dxfId="85" priority="88" stopIfTrue="1">
      <formula>J$1=TODAY()+DailyScrumDateModifier</formula>
    </cfRule>
  </conditionalFormatting>
  <conditionalFormatting sqref="AO13 AI13 T13 K13 BA13 BD13 BG13 BJ13 BM13 BP13 BS13 BV13 BY13 CB13 Q13 W13 Z13 AC13 AF13 AL13 AR13 AU13 AX13 N13">
    <cfRule type="expression" dxfId="84" priority="89" stopIfTrue="1">
      <formula>J$1=TODAY()+DailyScrumDateModifier</formula>
    </cfRule>
  </conditionalFormatting>
  <conditionalFormatting sqref="P15 J15 M15 AZ15 BC15 BF15 BI15 BL15 BO15 BR15 BU15 BX15 CA15 V15 Y15 AB15 AE15 AH15 AK15 AN15 AQ15 AT15 AW15 S15">
    <cfRule type="expression" dxfId="83" priority="77" stopIfTrue="1">
      <formula>J$1=TODAY()+DailyScrumDateModifier</formula>
    </cfRule>
  </conditionalFormatting>
  <conditionalFormatting sqref="AO15 AI15 T15 K15 BA15 BD15 BG15 BJ15 BM15 BP15 BS15 BV15 BY15 CB15 Q15 W15 Z15 AC15 AF15 AL15 AR15 AU15 AX15 N15">
    <cfRule type="expression" dxfId="82" priority="78" stopIfTrue="1">
      <formula>J$1=TODAY()+DailyScrumDateModifier</formula>
    </cfRule>
  </conditionalFormatting>
  <conditionalFormatting sqref="P14 J14 M14 AZ14 BC14 BF14 BI14 BL14 BO14 BR14 BU14 BX14 CA14 V14 Y14 AB14 AE14 AH14 AK14 AN14 AQ14 AT14 AW14 S14">
    <cfRule type="expression" dxfId="81" priority="66" stopIfTrue="1">
      <formula>J$1=TODAY()+DailyScrumDateModifier</formula>
    </cfRule>
    <cfRule type="expression" dxfId="80" priority="75" stopIfTrue="1">
      <formula>MOD(ROW(),2)</formula>
    </cfRule>
  </conditionalFormatting>
  <conditionalFormatting sqref="AO14 AI14 T14 K14 BA14 BD14 BG14 BJ14 BM14 BP14 BS14 BV14 BY14 CB14 Q14 W14 Z14 AC14 AF14 AL14 AR14 AU14 AX14 N14">
    <cfRule type="expression" dxfId="79" priority="67" stopIfTrue="1">
      <formula>J$1=TODAY()+DailyScrumDateModifier</formula>
    </cfRule>
    <cfRule type="expression" dxfId="78" priority="73" stopIfTrue="1">
      <formula>MOD(ROW(),2)</formula>
    </cfRule>
  </conditionalFormatting>
  <conditionalFormatting sqref="L14 AA14 AD14 AG14 AJ14 AM14 AP14 AS14 AV14 AY14 O14 R14 U14 X14 BB14 BE14 BH14 BK14 BN14 BQ14 BT14 BW14 BZ14 CC14">
    <cfRule type="cellIs" dxfId="77" priority="69" stopIfTrue="1" operator="equal">
      <formula>"In Progress"</formula>
    </cfRule>
    <cfRule type="cellIs" dxfId="76" priority="69" stopIfTrue="1" operator="equal">
      <formula>"Pending"</formula>
    </cfRule>
    <cfRule type="cellIs" dxfId="75" priority="70" stopIfTrue="1" operator="equal">
      <formula>"Complete"</formula>
    </cfRule>
  </conditionalFormatting>
  <conditionalFormatting sqref="G14">
    <cfRule type="cellIs" dxfId="74" priority="146" stopIfTrue="1" operator="equal">
      <formula>"In Progress"</formula>
    </cfRule>
    <cfRule type="cellIs" dxfId="73" priority="146" stopIfTrue="1" operator="equal">
      <formula>"Pending"</formula>
    </cfRule>
    <cfRule type="cellIs" dxfId="72" priority="146" stopIfTrue="1" operator="equal">
      <formula>"Complete"</formula>
    </cfRule>
  </conditionalFormatting>
  <conditionalFormatting sqref="S21 AW21 AT21 AQ21 AN21 AK21 AH21 AE21 AB21 Y21 V21 CA21 BX21 BU21 BR21 BO21 BL21 BI21 BF21 BC21 AZ21 M21 J21 P21">
    <cfRule type="expression" dxfId="71" priority="53" stopIfTrue="1">
      <formula>J$1=TODAY()+DailyScrumDateModifier</formula>
    </cfRule>
  </conditionalFormatting>
  <conditionalFormatting sqref="N21 AX21 AU21 AR21 AL21 AF21 AC21 Z21 W21 Q21 CB21 BY21 BV21 BS21 BP21 BM21 BJ21 BG21 BD21 BA21 K21 T21 AI21 AO21">
    <cfRule type="expression" dxfId="70" priority="54" stopIfTrue="1">
      <formula>J$1=TODAY()+DailyScrumDateModifier</formula>
    </cfRule>
  </conditionalFormatting>
  <conditionalFormatting sqref="S22 AW22 AT22 AQ22 AN22 AK22 AH22 AE22 AB22 Y22 V22 CA22 BX22 BU22 BR22 BO22 BL22 BI22 BF22 BC22 AZ22 M22 J22 P22">
    <cfRule type="expression" dxfId="69" priority="40" stopIfTrue="1">
      <formula>J$1=TODAY()+DailyScrumDateModifier</formula>
    </cfRule>
  </conditionalFormatting>
  <conditionalFormatting sqref="N22 AX22 AU22 AR22 AL22 AF22 AC22 Z22 W22 Q22 CB22 BY22 BV22 BS22 BP22 BM22 BJ22 BG22 BD22 BA22 K22 T22 AI22 AO22">
    <cfRule type="expression" dxfId="68" priority="41" stopIfTrue="1">
      <formula>J$1=TODAY()+DailyScrumDateModifier</formula>
    </cfRule>
  </conditionalFormatting>
  <conditionalFormatting sqref="S27 AW27 AT27 AQ27 AN27 AK27 AH27 AE27 AB27 Y27 V27 CA27 BX27 BU27 BR27 BO27 BL27 BI27 BF27 BC27 AZ27 M27 J27 P27">
    <cfRule type="expression" dxfId="67" priority="27" stopIfTrue="1">
      <formula>J$1=TODAY()+DailyScrumDateModifier</formula>
    </cfRule>
  </conditionalFormatting>
  <conditionalFormatting sqref="N27 AX27 AU27 AR27 AL27 AF27 AC27 Z27 W27 Q27 CB27 BY27 BV27 BS27 BP27 BM27 BJ27 BG27 BD27 BA27 K27 T27 AI27 AO27">
    <cfRule type="expression" dxfId="66" priority="28" stopIfTrue="1">
      <formula>J$1=TODAY()+DailyScrumDateModifier</formula>
    </cfRule>
  </conditionalFormatting>
  <conditionalFormatting sqref="S28 AW28 AT28 AQ28 AN28 AK28 AH28 AE28 AB28 Y28 V28 CA28 BX28 BU28 BR28 BO28 BL28 BI28 BF28 BC28 AZ28 M28 J28 P28">
    <cfRule type="expression" dxfId="65" priority="15" stopIfTrue="1">
      <formula>J$1=TODAY()+DailyScrumDateModifier</formula>
    </cfRule>
  </conditionalFormatting>
  <conditionalFormatting sqref="N28 AX28 AU28 AR28 AL28 AF28 AC28 Z28 W28 Q28 CB28 BY28 BV28 BS28 BP28 BM28 BJ28 BG28 BD28 BA28 K28 T28 AI28 AO28">
    <cfRule type="expression" dxfId="64" priority="16" stopIfTrue="1">
      <formula>J$1=TODAY()+DailyScrumDateModifier</formula>
    </cfRule>
  </conditionalFormatting>
  <conditionalFormatting sqref="S29 AW29 AT29 AQ29 AN29 AK29 AH29 AE29 AB29 Y29 V29 CA29 BX29 BU29 BR29 BO29 BL29 BI29 BF29 BC29 AZ29 M29 J29 P29">
    <cfRule type="expression" dxfId="63" priority="3" stopIfTrue="1">
      <formula>J$1=TODAY()+DailyScrumDateModifier</formula>
    </cfRule>
  </conditionalFormatting>
  <conditionalFormatting sqref="N29 AX29 AU29 AR29 AL29 AF29 AC29 Z29 W29 Q29 CB29 BY29 BV29 BS29 BP29 BM29 BJ29 BG29 BD29 BA29 K29 T29 AI29 AO29">
    <cfRule type="expression" dxfId="62" priority="4" stopIfTrue="1">
      <formula>J$1=TODAY()+DailyScrumDateModifier</formula>
    </cfRule>
  </conditionalFormatting>
  <dataValidations count="3">
    <dataValidation type="list" allowBlank="1" showInputMessage="1" showErrorMessage="1" sqref="F4:F73">
      <formula1>Members</formula1>
    </dataValidation>
    <dataValidation type="list" allowBlank="1" showInputMessage="1" showErrorMessage="1" sqref="B4:B73">
      <formula1>Deliverable</formula1>
    </dataValidation>
    <dataValidation type="list" allowBlank="1" showInputMessage="1" showErrorMessage="1" sqref="A4:A73">
      <formula1>Worktype</formula1>
    </dataValidation>
  </dataValidations>
  <pageMargins left="0.75" right="0.75" top="1" bottom="1" header="0.5" footer="0.5"/>
  <pageSetup orientation="portrait" r:id="rId1"/>
  <headerFooter alignWithMargins="0"/>
  <legacyDrawing r:id="rId2"/>
  <controls>
    <control shapeId="6274" r:id="rId3" name="BtnInsertNewLineAtEnd"/>
    <control shapeId="6275" r:id="rId4" name="BtnInsertNewLine"/>
  </controls>
</worksheet>
</file>

<file path=xl/worksheets/sheet2.xml><?xml version="1.0" encoding="utf-8"?>
<worksheet xmlns="http://schemas.openxmlformats.org/spreadsheetml/2006/main" xmlns:r="http://schemas.openxmlformats.org/officeDocument/2006/relationships">
  <sheetPr codeName="Sheet4"/>
  <dimension ref="A1:AH51"/>
  <sheetViews>
    <sheetView topLeftCell="I4" zoomScale="250" zoomScaleNormal="250" workbookViewId="0">
      <selection activeCell="T2" sqref="T2"/>
    </sheetView>
  </sheetViews>
  <sheetFormatPr defaultRowHeight="12.75"/>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c r="A1" s="149"/>
    </row>
    <row r="19" spans="1:18">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c r="A21" s="160"/>
      <c r="B21" s="161"/>
      <c r="C21" s="162"/>
      <c r="D21" s="163"/>
      <c r="E21" s="164"/>
      <c r="F21" s="164"/>
      <c r="G21" s="164"/>
      <c r="H21" s="164"/>
      <c r="I21" s="164"/>
      <c r="J21" s="164"/>
      <c r="K21" s="164"/>
      <c r="L21" s="164"/>
      <c r="M21" s="164"/>
      <c r="N21" s="164"/>
      <c r="O21" s="164"/>
      <c r="P21" s="164"/>
      <c r="Q21" s="164"/>
      <c r="R21" s="164"/>
    </row>
    <row r="22" spans="1:18">
      <c r="A22" s="160" t="s">
        <v>8</v>
      </c>
      <c r="B22" s="162"/>
      <c r="C22" s="165"/>
      <c r="D22" s="166"/>
      <c r="E22" s="162">
        <f t="shared" ref="E22:R22" ca="1" si="1">IF(E20&gt;TODAY(), #N/A, SUM(INDEX(Burndown,,(E19-1)*BurndownColumns+HoursLeftColumn)))</f>
        <v>12.5</v>
      </c>
      <c r="F22" s="162">
        <f t="shared" ca="1" si="1"/>
        <v>10.5</v>
      </c>
      <c r="G22" s="162">
        <f t="shared" ca="1" si="1"/>
        <v>10.5</v>
      </c>
      <c r="H22" s="162">
        <f t="shared" ca="1" si="1"/>
        <v>10.5</v>
      </c>
      <c r="I22" s="162">
        <f t="shared" ca="1" si="1"/>
        <v>10.5</v>
      </c>
      <c r="J22" s="162">
        <f t="shared" ca="1" si="1"/>
        <v>10.5</v>
      </c>
      <c r="K22" s="162">
        <f t="shared" ca="1" si="1"/>
        <v>10.5</v>
      </c>
      <c r="L22" s="162">
        <f t="shared" ca="1" si="1"/>
        <v>10</v>
      </c>
      <c r="M22" s="162">
        <f t="shared" ca="1" si="1"/>
        <v>10</v>
      </c>
      <c r="N22" s="162">
        <f t="shared" ca="1" si="1"/>
        <v>10</v>
      </c>
      <c r="O22" s="162" t="e">
        <f t="shared" ca="1" si="1"/>
        <v>#N/A</v>
      </c>
      <c r="P22" s="162" t="e">
        <f t="shared" ca="1" si="1"/>
        <v>#N/A</v>
      </c>
      <c r="Q22" s="162" t="e">
        <f t="shared" ca="1" si="1"/>
        <v>#N/A</v>
      </c>
      <c r="R22" s="162" t="e">
        <f t="shared" ca="1" si="1"/>
        <v>#N/A</v>
      </c>
    </row>
    <row r="23" spans="1:18">
      <c r="A23" s="167" t="s">
        <v>20</v>
      </c>
      <c r="B23" s="165"/>
      <c r="C23" s="165"/>
      <c r="D23" s="166"/>
      <c r="E23" s="163">
        <f t="shared" ref="E23:R23" ca="1" si="2">IF(E20&gt;TODAY(), #N/A, SUM(INDEX(Burndown,,(E19-1)*BurndownColumns+HoursSpentColumn)))</f>
        <v>116.5</v>
      </c>
      <c r="F23" s="163">
        <f t="shared" ca="1" si="2"/>
        <v>4</v>
      </c>
      <c r="G23" s="163">
        <f t="shared" ca="1" si="2"/>
        <v>5</v>
      </c>
      <c r="H23" s="163">
        <f t="shared" ca="1" si="2"/>
        <v>0</v>
      </c>
      <c r="I23" s="163">
        <f t="shared" ca="1" si="2"/>
        <v>0</v>
      </c>
      <c r="J23" s="163">
        <f t="shared" ca="1" si="2"/>
        <v>0</v>
      </c>
      <c r="K23" s="163">
        <f t="shared" ca="1" si="2"/>
        <v>0</v>
      </c>
      <c r="L23" s="163">
        <f t="shared" ca="1" si="2"/>
        <v>0.5</v>
      </c>
      <c r="M23" s="163">
        <f t="shared" ca="1" si="2"/>
        <v>0</v>
      </c>
      <c r="N23" s="163">
        <f t="shared" ca="1" si="2"/>
        <v>0</v>
      </c>
      <c r="O23" s="163" t="e">
        <f t="shared" ca="1" si="2"/>
        <v>#N/A</v>
      </c>
      <c r="P23" s="163" t="e">
        <f t="shared" ca="1" si="2"/>
        <v>#N/A</v>
      </c>
      <c r="Q23" s="163" t="e">
        <f t="shared" ca="1" si="2"/>
        <v>#N/A</v>
      </c>
      <c r="R23" s="163" t="e">
        <f t="shared" ca="1" si="2"/>
        <v>#N/A</v>
      </c>
    </row>
    <row r="24" spans="1:18">
      <c r="A24" s="167" t="s">
        <v>3</v>
      </c>
      <c r="B24" s="165"/>
      <c r="C24" s="165"/>
      <c r="D24" s="166"/>
      <c r="E24" s="163">
        <f ca="1">IF(E20&gt;TODAY(), #N/A, SUM($E23:E23))</f>
        <v>116.5</v>
      </c>
      <c r="F24" s="163">
        <f ca="1">IF(F20&gt;TODAY(), #N/A, SUM($E23:F23))</f>
        <v>120.5</v>
      </c>
      <c r="G24" s="163">
        <f ca="1">IF(G20&gt;TODAY(), #N/A, SUM($E23:G23))</f>
        <v>125.5</v>
      </c>
      <c r="H24" s="163">
        <f ca="1">IF(H20&gt;TODAY(), #N/A, SUM($E23:H23))</f>
        <v>125.5</v>
      </c>
      <c r="I24" s="163">
        <f ca="1">IF(I20&gt;TODAY(), #N/A, SUM($E23:I23))</f>
        <v>125.5</v>
      </c>
      <c r="J24" s="163">
        <f ca="1">IF(J20&gt;TODAY(), #N/A, SUM($E23:J23))</f>
        <v>125.5</v>
      </c>
      <c r="K24" s="163">
        <f ca="1">IF(K20&gt;TODAY(), #N/A, SUM($E23:K23))</f>
        <v>125.5</v>
      </c>
      <c r="L24" s="163">
        <f ca="1">IF(L20&gt;TODAY(), #N/A, SUM($E23:L23))</f>
        <v>126</v>
      </c>
      <c r="M24" s="163">
        <f ca="1">IF(M20&gt;TODAY(), #N/A, SUM($E23:M23))</f>
        <v>126</v>
      </c>
      <c r="N24" s="163">
        <f ca="1">IF(N20&gt;TODAY(), #N/A, SUM($E23:N23))</f>
        <v>126</v>
      </c>
      <c r="O24" s="163" t="e">
        <f ca="1">IF(O20&gt;TODAY(), #N/A, SUM($E23:O23))</f>
        <v>#N/A</v>
      </c>
      <c r="P24" s="163" t="e">
        <f ca="1">IF(P20&gt;TODAY(), #N/A, SUM($E23:P23))</f>
        <v>#N/A</v>
      </c>
      <c r="Q24" s="163" t="e">
        <f ca="1">IF(Q20&gt;TODAY(), #N/A, SUM($E23:Q23))</f>
        <v>#N/A</v>
      </c>
      <c r="R24" s="163" t="e">
        <f ca="1">IF(R20&gt;TODAY(), #N/A, SUM($E23:R23))</f>
        <v>#N/A</v>
      </c>
    </row>
    <row r="25" spans="1:18">
      <c r="A25" s="167" t="s">
        <v>22</v>
      </c>
      <c r="B25" s="165"/>
      <c r="C25" s="165"/>
      <c r="D25" s="166"/>
      <c r="E25" s="163">
        <f t="shared" ref="E25:R25" ca="1" si="3">IF(E20&gt;TODAY(), #N/A, E22+E24)</f>
        <v>129</v>
      </c>
      <c r="F25" s="163">
        <f t="shared" ca="1" si="3"/>
        <v>131</v>
      </c>
      <c r="G25" s="163">
        <f t="shared" ca="1" si="3"/>
        <v>136</v>
      </c>
      <c r="H25" s="163">
        <f t="shared" ca="1" si="3"/>
        <v>136</v>
      </c>
      <c r="I25" s="163">
        <f t="shared" ca="1" si="3"/>
        <v>136</v>
      </c>
      <c r="J25" s="163">
        <f t="shared" ca="1" si="3"/>
        <v>136</v>
      </c>
      <c r="K25" s="163">
        <f t="shared" ca="1" si="3"/>
        <v>136</v>
      </c>
      <c r="L25" s="163">
        <f t="shared" ca="1" si="3"/>
        <v>136</v>
      </c>
      <c r="M25" s="163">
        <f t="shared" ca="1" si="3"/>
        <v>136</v>
      </c>
      <c r="N25" s="163">
        <f t="shared" ca="1" si="3"/>
        <v>136</v>
      </c>
      <c r="O25" s="163" t="e">
        <f t="shared" ca="1" si="3"/>
        <v>#N/A</v>
      </c>
      <c r="P25" s="163" t="e">
        <f t="shared" ca="1" si="3"/>
        <v>#N/A</v>
      </c>
      <c r="Q25" s="163" t="e">
        <f t="shared" ca="1" si="3"/>
        <v>#N/A</v>
      </c>
      <c r="R25" s="163" t="e">
        <f t="shared" ca="1" si="3"/>
        <v>#N/A</v>
      </c>
    </row>
    <row r="26" spans="1:18">
      <c r="A26" s="167"/>
      <c r="B26" s="165"/>
      <c r="C26" s="165"/>
      <c r="D26" s="166"/>
      <c r="E26" s="165"/>
      <c r="F26" s="165"/>
      <c r="G26" s="165"/>
      <c r="H26" s="165"/>
      <c r="I26" s="165"/>
      <c r="J26" s="165"/>
      <c r="K26" s="165"/>
      <c r="L26" s="165"/>
      <c r="M26" s="165"/>
      <c r="N26" s="165"/>
      <c r="O26" s="165"/>
      <c r="P26" s="165"/>
      <c r="Q26" s="165"/>
      <c r="R26" s="165"/>
    </row>
    <row r="27" spans="1:18">
      <c r="A27" s="160" t="s">
        <v>4</v>
      </c>
      <c r="B27" s="165"/>
      <c r="C27" s="162"/>
      <c r="D27" s="166"/>
      <c r="E27" s="168">
        <f t="shared" ref="E27:R27" ca="1" si="4">IF(E20&gt;TODAY(), #N/A, E24/E19)</f>
        <v>116.5</v>
      </c>
      <c r="F27" s="168">
        <f t="shared" ca="1" si="4"/>
        <v>60.25</v>
      </c>
      <c r="G27" s="168">
        <f t="shared" ca="1" si="4"/>
        <v>41.833333333333336</v>
      </c>
      <c r="H27" s="168">
        <f t="shared" ca="1" si="4"/>
        <v>31.375</v>
      </c>
      <c r="I27" s="168">
        <f t="shared" ca="1" si="4"/>
        <v>25.1</v>
      </c>
      <c r="J27" s="168">
        <f t="shared" ca="1" si="4"/>
        <v>20.916666666666668</v>
      </c>
      <c r="K27" s="168">
        <f t="shared" ca="1" si="4"/>
        <v>17.928571428571427</v>
      </c>
      <c r="L27" s="168">
        <f t="shared" ca="1" si="4"/>
        <v>15.75</v>
      </c>
      <c r="M27" s="168">
        <f t="shared" ca="1" si="4"/>
        <v>14</v>
      </c>
      <c r="N27" s="168">
        <f t="shared" ca="1" si="4"/>
        <v>12.6</v>
      </c>
      <c r="O27" s="168" t="e">
        <f t="shared" ca="1" si="4"/>
        <v>#N/A</v>
      </c>
      <c r="P27" s="168" t="e">
        <f t="shared" ca="1" si="4"/>
        <v>#N/A</v>
      </c>
      <c r="Q27" s="168" t="e">
        <f t="shared" ca="1" si="4"/>
        <v>#N/A</v>
      </c>
      <c r="R27" s="168" t="e">
        <f t="shared" ca="1" si="4"/>
        <v>#N/A</v>
      </c>
    </row>
    <row r="28" spans="1:18">
      <c r="A28" s="167" t="s">
        <v>5</v>
      </c>
      <c r="B28" s="165"/>
      <c r="C28" s="165"/>
      <c r="D28" s="166"/>
      <c r="E28" s="169">
        <f t="shared" ref="E28:R28" ca="1" si="5">IF(E20&gt;TODAY(), #N/A, IF(E27=0, SprintStart, E20 + (E22/E27)))</f>
        <v>40868.107296137336</v>
      </c>
      <c r="F28" s="169">
        <f t="shared" ca="1" si="5"/>
        <v>40869.174273858924</v>
      </c>
      <c r="G28" s="169">
        <f t="shared" ca="1" si="5"/>
        <v>40870.250996015937</v>
      </c>
      <c r="H28" s="169">
        <f t="shared" ca="1" si="5"/>
        <v>40871.33466135458</v>
      </c>
      <c r="I28" s="169">
        <f t="shared" ca="1" si="5"/>
        <v>40872.41832669323</v>
      </c>
      <c r="J28" s="169">
        <f t="shared" ca="1" si="5"/>
        <v>40873.501992031874</v>
      </c>
      <c r="K28" s="169">
        <f t="shared" ca="1" si="5"/>
        <v>40874.585657370517</v>
      </c>
      <c r="L28" s="169">
        <f t="shared" ca="1" si="5"/>
        <v>40875.634920634919</v>
      </c>
      <c r="M28" s="169">
        <f t="shared" ca="1" si="5"/>
        <v>40876.714285714283</v>
      </c>
      <c r="N28" s="169">
        <f t="shared" ca="1" si="5"/>
        <v>40877.793650793654</v>
      </c>
      <c r="O28" s="169" t="e">
        <f t="shared" ca="1" si="5"/>
        <v>#N/A</v>
      </c>
      <c r="P28" s="169" t="e">
        <f t="shared" ca="1" si="5"/>
        <v>#N/A</v>
      </c>
      <c r="Q28" s="169" t="e">
        <f t="shared" ca="1" si="5"/>
        <v>#N/A</v>
      </c>
      <c r="R28" s="169" t="e">
        <f t="shared" ca="1" si="5"/>
        <v>#N/A</v>
      </c>
    </row>
    <row r="29" spans="1:18">
      <c r="A29" s="167" t="s">
        <v>31</v>
      </c>
      <c r="B29" s="165"/>
      <c r="C29" s="165"/>
      <c r="D29" s="166"/>
      <c r="E29" s="169">
        <f t="shared" ref="E29:R29" ca="1" si="6">IF(E$20&gt;TODAY(), #N/A, IF(E$33&gt;0, SprintStart+((E$25*E$19)/E$33)-1, SprintStart))</f>
        <v>40868.074999999997</v>
      </c>
      <c r="F29" s="169">
        <f t="shared" ca="1" si="6"/>
        <v>40869.147540983606</v>
      </c>
      <c r="G29" s="169">
        <f t="shared" ca="1" si="6"/>
        <v>40870.344262295082</v>
      </c>
      <c r="H29" s="169">
        <f t="shared" ca="1" si="6"/>
        <v>40871.459016393441</v>
      </c>
      <c r="I29" s="169">
        <f t="shared" ca="1" si="6"/>
        <v>40872.573770491806</v>
      </c>
      <c r="J29" s="169">
        <f t="shared" ca="1" si="6"/>
        <v>40873.688524590165</v>
      </c>
      <c r="K29" s="169">
        <f t="shared" ca="1" si="6"/>
        <v>40874.803278688523</v>
      </c>
      <c r="L29" s="169">
        <f t="shared" ca="1" si="6"/>
        <v>40875.918032786882</v>
      </c>
      <c r="M29" s="169">
        <f t="shared" ca="1" si="6"/>
        <v>40877.032786885247</v>
      </c>
      <c r="N29" s="169">
        <f t="shared" ca="1" si="6"/>
        <v>40878.147540983606</v>
      </c>
      <c r="O29" s="169" t="e">
        <f t="shared" ca="1" si="6"/>
        <v>#N/A</v>
      </c>
      <c r="P29" s="169" t="e">
        <f t="shared" ca="1" si="6"/>
        <v>#N/A</v>
      </c>
      <c r="Q29" s="169" t="e">
        <f t="shared" ca="1" si="6"/>
        <v>#N/A</v>
      </c>
      <c r="R29" s="169" t="e">
        <f t="shared" ca="1" si="6"/>
        <v>#N/A</v>
      </c>
    </row>
    <row r="30" spans="1:18">
      <c r="A30" s="167"/>
      <c r="B30" s="165"/>
      <c r="C30" s="165"/>
      <c r="D30" s="166"/>
      <c r="E30" s="165"/>
      <c r="F30" s="165"/>
      <c r="G30" s="165"/>
      <c r="H30" s="165"/>
      <c r="I30" s="165"/>
      <c r="J30" s="165"/>
      <c r="K30" s="165"/>
      <c r="L30" s="165"/>
      <c r="M30" s="165"/>
      <c r="N30" s="165"/>
      <c r="O30" s="165"/>
      <c r="P30" s="165"/>
      <c r="Q30" s="165"/>
      <c r="R30" s="165"/>
    </row>
    <row r="31" spans="1:18">
      <c r="A31" s="167" t="s">
        <v>27</v>
      </c>
      <c r="B31" s="165"/>
      <c r="C31" s="165"/>
      <c r="D31" s="166"/>
      <c r="E31" s="165">
        <f t="shared" ref="E31:R31" ca="1" si="7">IF(E$20&gt;TODAY(), #N/A, SUMIF(INDEX(Burndown,,(E$19-1)*BurndownColumns+StatusColumn), "=Pending",INDEX(Burndown,,(E$19-1)*BurndownColumns+HoursLeftColumn)))</f>
        <v>10</v>
      </c>
      <c r="F31" s="165">
        <f t="shared" ca="1" si="7"/>
        <v>8</v>
      </c>
      <c r="G31" s="165">
        <f t="shared" ca="1" si="7"/>
        <v>8</v>
      </c>
      <c r="H31" s="165">
        <f t="shared" ca="1" si="7"/>
        <v>8</v>
      </c>
      <c r="I31" s="165">
        <f t="shared" ca="1" si="7"/>
        <v>8</v>
      </c>
      <c r="J31" s="165">
        <f t="shared" ca="1" si="7"/>
        <v>8</v>
      </c>
      <c r="K31" s="165">
        <f t="shared" ca="1" si="7"/>
        <v>8</v>
      </c>
      <c r="L31" s="165">
        <f t="shared" ca="1" si="7"/>
        <v>7</v>
      </c>
      <c r="M31" s="165">
        <f t="shared" ca="1" si="7"/>
        <v>7</v>
      </c>
      <c r="N31" s="165">
        <f t="shared" ca="1" si="7"/>
        <v>7</v>
      </c>
      <c r="O31" s="165" t="e">
        <f t="shared" ca="1" si="7"/>
        <v>#N/A</v>
      </c>
      <c r="P31" s="165" t="e">
        <f t="shared" ca="1" si="7"/>
        <v>#N/A</v>
      </c>
      <c r="Q31" s="165" t="e">
        <f t="shared" ca="1" si="7"/>
        <v>#N/A</v>
      </c>
      <c r="R31" s="165" t="e">
        <f t="shared" ca="1" si="7"/>
        <v>#N/A</v>
      </c>
    </row>
    <row r="32" spans="1:18">
      <c r="A32" s="167" t="s">
        <v>28</v>
      </c>
      <c r="B32" s="165"/>
      <c r="C32" s="165"/>
      <c r="D32" s="166"/>
      <c r="E32" s="170">
        <f t="shared" ref="E32:R32" ca="1" si="8">E$22-E$31+E$24-E$33</f>
        <v>-1</v>
      </c>
      <c r="F32" s="170">
        <f t="shared" ca="1" si="8"/>
        <v>1</v>
      </c>
      <c r="G32" s="170">
        <f t="shared" ca="1" si="8"/>
        <v>6</v>
      </c>
      <c r="H32" s="170">
        <f t="shared" ca="1" si="8"/>
        <v>6</v>
      </c>
      <c r="I32" s="170">
        <f t="shared" ca="1" si="8"/>
        <v>6</v>
      </c>
      <c r="J32" s="170">
        <f t="shared" ca="1" si="8"/>
        <v>6</v>
      </c>
      <c r="K32" s="170">
        <f t="shared" ca="1" si="8"/>
        <v>6</v>
      </c>
      <c r="L32" s="170">
        <f t="shared" ca="1" si="8"/>
        <v>7</v>
      </c>
      <c r="M32" s="170">
        <f t="shared" ca="1" si="8"/>
        <v>7</v>
      </c>
      <c r="N32" s="170">
        <f t="shared" ca="1" si="8"/>
        <v>7</v>
      </c>
      <c r="O32" s="170" t="e">
        <f t="shared" ca="1" si="8"/>
        <v>#N/A</v>
      </c>
      <c r="P32" s="170" t="e">
        <f t="shared" ca="1" si="8"/>
        <v>#N/A</v>
      </c>
      <c r="Q32" s="170" t="e">
        <f t="shared" ca="1" si="8"/>
        <v>#N/A</v>
      </c>
      <c r="R32" s="170" t="e">
        <f t="shared" ca="1" si="8"/>
        <v>#N/A</v>
      </c>
    </row>
    <row r="33" spans="1:34">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122</v>
      </c>
      <c r="J33" s="165">
        <f t="shared" ca="1" si="9"/>
        <v>122</v>
      </c>
      <c r="K33" s="165">
        <f t="shared" ca="1" si="9"/>
        <v>122</v>
      </c>
      <c r="L33" s="165">
        <f t="shared" ca="1" si="9"/>
        <v>122</v>
      </c>
      <c r="M33" s="165">
        <f t="shared" ca="1" si="9"/>
        <v>122</v>
      </c>
      <c r="N33" s="165">
        <f t="shared" ca="1" si="9"/>
        <v>122</v>
      </c>
      <c r="O33" s="165" t="e">
        <f t="shared" ca="1" si="9"/>
        <v>#N/A</v>
      </c>
      <c r="P33" s="165" t="e">
        <f t="shared" ca="1" si="9"/>
        <v>#N/A</v>
      </c>
      <c r="Q33" s="165" t="e">
        <f t="shared" ca="1" si="9"/>
        <v>#N/A</v>
      </c>
      <c r="R33" s="165" t="e">
        <f t="shared" ca="1" si="9"/>
        <v>#N/A</v>
      </c>
    </row>
    <row r="34" spans="1:34">
      <c r="A34" s="167"/>
      <c r="B34" s="165"/>
      <c r="C34" s="165"/>
      <c r="D34" s="166"/>
      <c r="E34" s="165"/>
      <c r="F34" s="165"/>
      <c r="G34" s="165"/>
      <c r="H34" s="165"/>
      <c r="I34" s="165"/>
      <c r="J34" s="165"/>
      <c r="K34" s="165"/>
      <c r="L34" s="165"/>
      <c r="M34" s="165"/>
      <c r="N34" s="165"/>
      <c r="O34" s="165"/>
      <c r="P34" s="165"/>
      <c r="Q34" s="165"/>
      <c r="R34" s="165"/>
    </row>
    <row r="35" spans="1:34">
      <c r="A35" s="167" t="s">
        <v>10</v>
      </c>
      <c r="B35" s="165"/>
      <c r="C35" s="165"/>
      <c r="D35" s="166"/>
      <c r="E35" s="165">
        <f t="shared" ref="E35:R35" ca="1" si="10">IF(E20&gt;TODAY(), #N/A, COUNTIF(INDEX(Burndown,,(E19-1)*BurndownColumns+StatusColumn), "=Pending"))</f>
        <v>49</v>
      </c>
      <c r="F35" s="165">
        <f t="shared" ca="1" si="10"/>
        <v>48</v>
      </c>
      <c r="G35" s="165">
        <f t="shared" ca="1" si="10"/>
        <v>48</v>
      </c>
      <c r="H35" s="165">
        <f t="shared" ca="1" si="10"/>
        <v>48</v>
      </c>
      <c r="I35" s="165">
        <f t="shared" ca="1" si="10"/>
        <v>48</v>
      </c>
      <c r="J35" s="165">
        <f t="shared" ca="1" si="10"/>
        <v>48</v>
      </c>
      <c r="K35" s="165">
        <f t="shared" ca="1" si="10"/>
        <v>48</v>
      </c>
      <c r="L35" s="165">
        <f t="shared" ca="1" si="10"/>
        <v>47</v>
      </c>
      <c r="M35" s="165">
        <f t="shared" ca="1" si="10"/>
        <v>47</v>
      </c>
      <c r="N35" s="165">
        <f t="shared" ca="1" si="10"/>
        <v>47</v>
      </c>
      <c r="O35" s="165" t="e">
        <f t="shared" ca="1" si="10"/>
        <v>#N/A</v>
      </c>
      <c r="P35" s="165" t="e">
        <f t="shared" ca="1" si="10"/>
        <v>#N/A</v>
      </c>
      <c r="Q35" s="165" t="e">
        <f t="shared" ca="1" si="10"/>
        <v>#N/A</v>
      </c>
      <c r="R35" s="165" t="e">
        <f t="shared" ca="1" si="10"/>
        <v>#N/A</v>
      </c>
    </row>
    <row r="36" spans="1:34">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2</v>
      </c>
      <c r="J36" s="165">
        <f t="shared" ca="1" si="11"/>
        <v>2</v>
      </c>
      <c r="K36" s="165">
        <f t="shared" ca="1" si="11"/>
        <v>2</v>
      </c>
      <c r="L36" s="165">
        <f t="shared" ca="1" si="11"/>
        <v>3</v>
      </c>
      <c r="M36" s="165">
        <f t="shared" ca="1" si="11"/>
        <v>3</v>
      </c>
      <c r="N36" s="165">
        <f t="shared" ca="1" si="11"/>
        <v>3</v>
      </c>
      <c r="O36" s="165" t="e">
        <f t="shared" ca="1" si="11"/>
        <v>#N/A</v>
      </c>
      <c r="P36" s="165" t="e">
        <f t="shared" ca="1" si="11"/>
        <v>#N/A</v>
      </c>
      <c r="Q36" s="165" t="e">
        <f t="shared" ca="1" si="11"/>
        <v>#N/A</v>
      </c>
      <c r="R36" s="165" t="e">
        <f t="shared" ca="1" si="11"/>
        <v>#N/A</v>
      </c>
    </row>
    <row r="37" spans="1:34">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20</v>
      </c>
      <c r="J37" s="165">
        <f t="shared" ca="1" si="12"/>
        <v>20</v>
      </c>
      <c r="K37" s="165">
        <f t="shared" ca="1" si="12"/>
        <v>20</v>
      </c>
      <c r="L37" s="165">
        <f t="shared" ca="1" si="12"/>
        <v>20</v>
      </c>
      <c r="M37" s="165">
        <f t="shared" ca="1" si="12"/>
        <v>20</v>
      </c>
      <c r="N37" s="165">
        <f t="shared" ca="1" si="12"/>
        <v>20</v>
      </c>
      <c r="O37" s="165" t="e">
        <f t="shared" ca="1" si="12"/>
        <v>#N/A</v>
      </c>
      <c r="P37" s="165" t="e">
        <f t="shared" ca="1" si="12"/>
        <v>#N/A</v>
      </c>
      <c r="Q37" s="165" t="e">
        <f t="shared" ca="1" si="12"/>
        <v>#N/A</v>
      </c>
      <c r="R37" s="165" t="e">
        <f t="shared" ca="1" si="12"/>
        <v>#N/A</v>
      </c>
    </row>
    <row r="38" spans="1:34">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c r="A46" s="165"/>
      <c r="B46" s="165" t="s">
        <v>18</v>
      </c>
      <c r="C46" s="165"/>
      <c r="D46" s="165"/>
      <c r="E46" s="165">
        <v>2</v>
      </c>
      <c r="F46" s="171"/>
      <c r="G46" s="171"/>
    </row>
    <row r="47" spans="1:34">
      <c r="A47" s="165"/>
      <c r="B47" s="165" t="s">
        <v>16</v>
      </c>
      <c r="C47" s="165"/>
      <c r="D47" s="165"/>
      <c r="E47" s="165">
        <v>3</v>
      </c>
      <c r="F47" s="171"/>
      <c r="G47" s="171"/>
    </row>
    <row r="48" spans="1:34">
      <c r="A48" s="150"/>
      <c r="C48" s="150"/>
      <c r="D48" s="150"/>
    </row>
    <row r="49" spans="1:1">
      <c r="A49" s="151"/>
    </row>
    <row r="50" spans="1:1">
      <c r="A50" s="150"/>
    </row>
    <row r="51" spans="1:1">
      <c r="A51" s="150"/>
    </row>
  </sheetData>
  <phoneticPr fontId="2" type="noConversion"/>
  <conditionalFormatting sqref="D19:R21">
    <cfRule type="expression" dxfId="138"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row r="2" spans="2:28">
      <c r="B2" s="45" t="s">
        <v>44</v>
      </c>
      <c r="C2" s="46"/>
      <c r="D2" s="47" t="str">
        <f ca="1">TEXT(E2,"ddd")</f>
        <v>qua</v>
      </c>
      <c r="E2" s="48">
        <f ca="1">TODAY()</f>
        <v>40877</v>
      </c>
    </row>
    <row r="3" spans="2:28" ht="13.5" thickBot="1">
      <c r="B3" s="49" t="s">
        <v>43</v>
      </c>
      <c r="C3" s="50"/>
      <c r="D3" s="51" t="str">
        <f>TEXT(E3,"ddd")</f>
        <v>seg</v>
      </c>
      <c r="E3" s="52">
        <v>40868</v>
      </c>
    </row>
    <row r="4" spans="2:28" ht="13.5" thickBot="1">
      <c r="D4" s="43"/>
      <c r="E4" s="53"/>
      <c r="I4" s="54"/>
      <c r="J4" s="54"/>
      <c r="K4" s="54"/>
      <c r="L4" s="54"/>
      <c r="M4" s="54"/>
      <c r="N4" s="54"/>
      <c r="O4" s="54"/>
      <c r="P4" s="54"/>
      <c r="Q4" s="54"/>
      <c r="R4" s="54"/>
      <c r="S4" s="54"/>
      <c r="T4" s="54"/>
      <c r="U4" s="54"/>
      <c r="V4" s="54"/>
    </row>
    <row r="5" spans="2:28" ht="15.75" thickBot="1">
      <c r="B5" s="234" t="s">
        <v>47</v>
      </c>
      <c r="C5" s="235"/>
      <c r="D5" s="235"/>
      <c r="E5" s="235"/>
      <c r="F5" s="235"/>
      <c r="G5" s="236"/>
      <c r="I5" s="55"/>
      <c r="J5" s="56"/>
      <c r="K5" s="56"/>
      <c r="L5" s="56"/>
      <c r="M5" s="56"/>
      <c r="N5" s="56"/>
      <c r="O5" s="56"/>
      <c r="P5" s="56"/>
      <c r="Q5" s="56"/>
      <c r="R5" s="56"/>
      <c r="S5" s="56"/>
      <c r="T5" s="56"/>
      <c r="U5" s="56"/>
      <c r="V5" s="56"/>
      <c r="W5" s="58"/>
      <c r="X5" s="57"/>
      <c r="Y5" s="57"/>
      <c r="Z5" s="57"/>
      <c r="AA5" s="57"/>
      <c r="AB5" s="59"/>
    </row>
    <row r="6" spans="2:28" ht="13.5" thickBot="1">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7"/>
      <c r="X6" s="238"/>
      <c r="Y6" s="238"/>
      <c r="Z6" s="238"/>
      <c r="AA6" s="238"/>
      <c r="AB6" s="239"/>
    </row>
    <row r="7" spans="2:28" ht="29.25" customHeight="1" thickBot="1">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c r="B8" s="78" t="s">
        <v>37</v>
      </c>
      <c r="C8" s="79">
        <f ca="1">SUM(G8:G25)</f>
        <v>0</v>
      </c>
      <c r="D8" s="80"/>
      <c r="E8" s="81"/>
      <c r="F8" s="82">
        <v>1</v>
      </c>
      <c r="G8" s="83">
        <f ca="1">SUMIF(Sprint!$F$3:$F$1866,E8,Sprint!$AX$4:$AX$1866)</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1">
        <f t="shared" ref="W8:W25" si="5">IF(E8="unassigned",0,(COUNTIF(I8:V8,1)*$C$6)*F8)</f>
        <v>0</v>
      </c>
      <c r="X8" s="232"/>
      <c r="Y8" s="232"/>
      <c r="Z8" s="232"/>
      <c r="AA8" s="232"/>
      <c r="AB8" s="233"/>
    </row>
    <row r="9" spans="2:28" ht="13.5" thickBot="1">
      <c r="B9" s="87" t="s">
        <v>38</v>
      </c>
      <c r="C9" s="79">
        <f>SUM(W8:AB25)</f>
        <v>0</v>
      </c>
      <c r="D9" s="88"/>
      <c r="E9" s="18"/>
      <c r="F9" s="89">
        <v>1</v>
      </c>
      <c r="G9" s="83">
        <f ca="1">SUMIF(Sprint!$F$3:$F$1866,E9,Sprint!$AX$4:$AX$1866)</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1">
        <f t="shared" si="5"/>
        <v>0</v>
      </c>
      <c r="X9" s="232"/>
      <c r="Y9" s="232"/>
      <c r="Z9" s="232"/>
      <c r="AA9" s="232"/>
      <c r="AB9" s="233"/>
    </row>
    <row r="10" spans="2:28" ht="13.5" thickBot="1">
      <c r="B10" s="94" t="s">
        <v>39</v>
      </c>
      <c r="C10" s="95">
        <f ca="1">C8-C9</f>
        <v>0</v>
      </c>
      <c r="D10" s="62"/>
      <c r="E10" s="18"/>
      <c r="F10" s="89">
        <v>0.3</v>
      </c>
      <c r="G10" s="83">
        <f ca="1">SUMIF(Sprint!$F$3:$F$1866,E10,Sprint!$AX$4:$AX$1866)</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1">
        <f t="shared" si="5"/>
        <v>0</v>
      </c>
      <c r="X10" s="232"/>
      <c r="Y10" s="232"/>
      <c r="Z10" s="232"/>
      <c r="AA10" s="232"/>
      <c r="AB10" s="233"/>
    </row>
    <row r="11" spans="2:28" ht="13.5" thickBot="1">
      <c r="B11" s="96"/>
      <c r="D11" s="97"/>
      <c r="E11" s="18"/>
      <c r="F11" s="89">
        <v>1</v>
      </c>
      <c r="G11" s="83">
        <f ca="1">SUMIF(Sprint!$F$3:$F$1866,E11,Sprint!$AX$4:$AX$1866)</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1">
        <f t="shared" si="5"/>
        <v>0</v>
      </c>
      <c r="X11" s="232"/>
      <c r="Y11" s="232"/>
      <c r="Z11" s="232"/>
      <c r="AA11" s="232"/>
      <c r="AB11" s="233"/>
    </row>
    <row r="12" spans="2:28" ht="13.5" thickBot="1">
      <c r="B12" s="96"/>
      <c r="D12" s="97"/>
      <c r="E12" s="18"/>
      <c r="F12" s="89"/>
      <c r="G12" s="83">
        <f ca="1">SUMIF(Sprint!$F$3:$F$1866,E12,Sprint!$AX$4:$AX$1866)</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1">
        <f t="shared" si="5"/>
        <v>0</v>
      </c>
      <c r="X12" s="232"/>
      <c r="Y12" s="232"/>
      <c r="Z12" s="232"/>
      <c r="AA12" s="232"/>
      <c r="AB12" s="233"/>
    </row>
    <row r="13" spans="2:28" ht="13.5" thickBot="1">
      <c r="B13" s="96"/>
      <c r="D13" s="98"/>
      <c r="E13" s="18"/>
      <c r="F13" s="89"/>
      <c r="G13" s="83">
        <f ca="1">SUMIF(Sprint!$F$3:$F$1866,E13,Sprint!$AX$4:$AX$1866)</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1">
        <f t="shared" si="5"/>
        <v>0</v>
      </c>
      <c r="X13" s="232"/>
      <c r="Y13" s="232"/>
      <c r="Z13" s="232"/>
      <c r="AA13" s="232"/>
      <c r="AB13" s="233"/>
    </row>
    <row r="14" spans="2:28" ht="13.5" thickBot="1">
      <c r="B14" s="96"/>
      <c r="D14" s="62"/>
      <c r="E14" s="18"/>
      <c r="F14" s="89"/>
      <c r="G14" s="83">
        <f ca="1">SUMIF(Sprint!$F$3:$F$1866,E14,Sprint!$AX$4:$AX$1866)</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1">
        <f t="shared" si="5"/>
        <v>0</v>
      </c>
      <c r="X14" s="232"/>
      <c r="Y14" s="232"/>
      <c r="Z14" s="232"/>
      <c r="AA14" s="232"/>
      <c r="AB14" s="233"/>
    </row>
    <row r="15" spans="2:28" ht="13.5" thickBot="1">
      <c r="B15" s="96"/>
      <c r="D15" s="62"/>
      <c r="E15" s="18"/>
      <c r="F15" s="89"/>
      <c r="G15" s="83">
        <f ca="1">SUMIF(Sprint!$F$3:$F$1866,E15,Sprint!$AX$4:$AX$1866)</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1">
        <f t="shared" si="5"/>
        <v>0</v>
      </c>
      <c r="X15" s="232"/>
      <c r="Y15" s="232"/>
      <c r="Z15" s="232"/>
      <c r="AA15" s="232"/>
      <c r="AB15" s="233"/>
    </row>
    <row r="16" spans="2:28" ht="13.5" thickBot="1">
      <c r="B16" s="96"/>
      <c r="D16" s="98"/>
      <c r="E16" s="18"/>
      <c r="F16" s="89"/>
      <c r="G16" s="83">
        <f ca="1">SUMIF(Sprint!$F$3:$F$1866,E16,Sprint!$AX$4:$AX$1866)</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1">
        <f t="shared" si="5"/>
        <v>0</v>
      </c>
      <c r="X16" s="232"/>
      <c r="Y16" s="232"/>
      <c r="Z16" s="232"/>
      <c r="AA16" s="232"/>
      <c r="AB16" s="233"/>
    </row>
    <row r="17" spans="2:28" ht="13.5" thickBot="1">
      <c r="B17" s="96"/>
      <c r="D17" s="98"/>
      <c r="E17" s="18"/>
      <c r="F17" s="89"/>
      <c r="G17" s="83">
        <f ca="1">SUMIF(Sprint!$F$3:$F$1866,E17,Sprint!$AX$4:$AX$1866)</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1">
        <f t="shared" si="5"/>
        <v>0</v>
      </c>
      <c r="X17" s="232"/>
      <c r="Y17" s="232"/>
      <c r="Z17" s="232"/>
      <c r="AA17" s="232"/>
      <c r="AB17" s="233"/>
    </row>
    <row r="18" spans="2:28" ht="13.5" thickBot="1">
      <c r="B18" s="96"/>
      <c r="D18" s="98"/>
      <c r="E18" s="18"/>
      <c r="F18" s="89"/>
      <c r="G18" s="83">
        <f ca="1">SUMIF(Sprint!$F$3:$F$1866,E18,Sprint!$AX$4:$AX$1866)</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1">
        <f t="shared" si="5"/>
        <v>0</v>
      </c>
      <c r="X18" s="232"/>
      <c r="Y18" s="232"/>
      <c r="Z18" s="232"/>
      <c r="AA18" s="232"/>
      <c r="AB18" s="233"/>
    </row>
    <row r="19" spans="2:28" ht="13.5" thickBot="1">
      <c r="B19" s="96"/>
      <c r="D19" s="98"/>
      <c r="E19" s="18"/>
      <c r="F19" s="89"/>
      <c r="G19" s="83">
        <f ca="1">SUMIF(Sprint!$F$3:$F$1866,E19,Sprint!$AX$4:$AX$1866)</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1">
        <f t="shared" si="5"/>
        <v>0</v>
      </c>
      <c r="X19" s="232"/>
      <c r="Y19" s="232"/>
      <c r="Z19" s="232"/>
      <c r="AA19" s="232"/>
      <c r="AB19" s="233"/>
    </row>
    <row r="20" spans="2:28" ht="13.5" thickBot="1">
      <c r="B20" s="96"/>
      <c r="D20" s="98"/>
      <c r="E20" s="18"/>
      <c r="F20" s="89"/>
      <c r="G20" s="83">
        <f ca="1">SUMIF(Sprint!$F$3:$F$1866,E20,Sprint!$AX$4:$AX$1866)</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1">
        <f t="shared" si="5"/>
        <v>0</v>
      </c>
      <c r="X20" s="232"/>
      <c r="Y20" s="232"/>
      <c r="Z20" s="232"/>
      <c r="AA20" s="232"/>
      <c r="AB20" s="233"/>
    </row>
    <row r="21" spans="2:28" ht="13.5" thickBot="1">
      <c r="B21" s="96"/>
      <c r="C21" s="100"/>
      <c r="D21" s="98"/>
      <c r="E21" s="18"/>
      <c r="F21" s="89"/>
      <c r="G21" s="83">
        <f ca="1">SUMIF(Sprint!$F$3:$F$1866,E21,Sprint!$AX$4:$AX$1866)</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1">
        <f t="shared" si="5"/>
        <v>0</v>
      </c>
      <c r="X21" s="232"/>
      <c r="Y21" s="232"/>
      <c r="Z21" s="232"/>
      <c r="AA21" s="232"/>
      <c r="AB21" s="233"/>
    </row>
    <row r="22" spans="2:28" ht="13.5" thickBot="1">
      <c r="B22" s="70"/>
      <c r="C22" s="101"/>
      <c r="D22" s="98"/>
      <c r="E22" s="18"/>
      <c r="F22" s="102"/>
      <c r="G22" s="83">
        <f ca="1">SUMIF(Sprint!$F$3:$F$1866,E22,Sprint!$AX$4:$AX$1866)</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1">
        <f t="shared" si="5"/>
        <v>0</v>
      </c>
      <c r="X22" s="232"/>
      <c r="Y22" s="232"/>
      <c r="Z22" s="232"/>
      <c r="AA22" s="232"/>
      <c r="AB22" s="233"/>
    </row>
    <row r="23" spans="2:28" ht="13.5" thickBot="1">
      <c r="B23" s="70"/>
      <c r="D23" s="98"/>
      <c r="E23" s="18"/>
      <c r="F23" s="102"/>
      <c r="G23" s="83">
        <f ca="1">SUMIF(Sprint!$F$3:$F$1866,E23,Sprint!$AX$4:$AX$1866)</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1">
        <f t="shared" si="5"/>
        <v>0</v>
      </c>
      <c r="X23" s="232"/>
      <c r="Y23" s="232"/>
      <c r="Z23" s="232"/>
      <c r="AA23" s="232"/>
      <c r="AB23" s="233"/>
    </row>
    <row r="24" spans="2:28" ht="13.5" thickBot="1">
      <c r="B24" s="96"/>
      <c r="D24" s="98"/>
      <c r="E24" s="18"/>
      <c r="F24" s="102"/>
      <c r="G24" s="83">
        <f ca="1">SUMIF(Sprint!$F$3:$F$1866,E24,Sprint!$AX$4:$AX$1866)</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1">
        <f t="shared" si="5"/>
        <v>0</v>
      </c>
      <c r="X24" s="232"/>
      <c r="Y24" s="232"/>
      <c r="Z24" s="232"/>
      <c r="AA24" s="232"/>
      <c r="AB24" s="233"/>
    </row>
    <row r="25" spans="2:28" ht="13.5" thickBot="1">
      <c r="B25" s="96"/>
      <c r="D25" s="98"/>
      <c r="E25" s="103"/>
      <c r="F25" s="104"/>
      <c r="G25" s="83">
        <f ca="1">SUMIF(Sprint!$F$3:$F$1866,E25,Sprint!$AX$4:$AX$1866)</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1">
        <f t="shared" si="5"/>
        <v>0</v>
      </c>
      <c r="X25" s="232"/>
      <c r="Y25" s="232"/>
      <c r="Z25" s="232"/>
      <c r="AA25" s="232"/>
      <c r="AB25" s="233"/>
    </row>
    <row r="26" spans="2:28">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c r="I29" s="122" t="s">
        <v>51</v>
      </c>
      <c r="J29" s="43" t="s">
        <v>40</v>
      </c>
      <c r="K29" s="43" t="s">
        <v>52</v>
      </c>
      <c r="Q29" s="122" t="s">
        <v>50</v>
      </c>
      <c r="R29" s="43" t="s">
        <v>40</v>
      </c>
      <c r="S29" s="43" t="s">
        <v>54</v>
      </c>
    </row>
    <row r="30" spans="2:28">
      <c r="C30" s="123"/>
      <c r="D30" s="123"/>
    </row>
    <row r="31" spans="2:28">
      <c r="B31" s="98"/>
      <c r="C31" s="123"/>
      <c r="D31" s="123"/>
      <c r="E31" s="124"/>
      <c r="J31" s="6"/>
    </row>
    <row r="32" spans="2:28">
      <c r="C32" s="123"/>
      <c r="D32" s="123"/>
      <c r="E32" s="124"/>
      <c r="F32" s="53"/>
    </row>
    <row r="37" spans="2:22">
      <c r="I37" s="125"/>
    </row>
    <row r="38" spans="2:22">
      <c r="J38" s="126"/>
      <c r="K38" s="127"/>
      <c r="L38" s="127"/>
      <c r="M38" s="127"/>
      <c r="N38" s="127"/>
      <c r="O38" s="127"/>
      <c r="Q38" s="126"/>
      <c r="R38" s="127"/>
      <c r="S38" s="127"/>
      <c r="T38" s="127"/>
      <c r="U38" s="127"/>
      <c r="V38" s="127"/>
    </row>
    <row r="40" spans="2:22">
      <c r="E40" s="6"/>
    </row>
    <row r="45" spans="2:22">
      <c r="B45" s="128"/>
      <c r="E45" s="125"/>
    </row>
  </sheetData>
  <mergeCells count="21">
    <mergeCell ref="B5:G5"/>
    <mergeCell ref="W6:AB6"/>
    <mergeCell ref="W12:AB12"/>
    <mergeCell ref="W11:AB11"/>
    <mergeCell ref="W7:AB7"/>
    <mergeCell ref="W8:AB8"/>
    <mergeCell ref="W9:AB9"/>
    <mergeCell ref="W10:AB10"/>
    <mergeCell ref="W20:AB20"/>
    <mergeCell ref="W16:AB16"/>
    <mergeCell ref="W17:AB17"/>
    <mergeCell ref="W18:AB18"/>
    <mergeCell ref="W13:AB13"/>
    <mergeCell ref="W14:AB14"/>
    <mergeCell ref="W15:AB15"/>
    <mergeCell ref="W19:AB19"/>
    <mergeCell ref="W21:AB21"/>
    <mergeCell ref="W23:AB23"/>
    <mergeCell ref="W24:AB24"/>
    <mergeCell ref="W25:AB25"/>
    <mergeCell ref="W22:AB22"/>
  </mergeCells>
  <phoneticPr fontId="0" type="noConversion"/>
  <conditionalFormatting sqref="G8:G25">
    <cfRule type="expression" dxfId="137" priority="2" stopIfTrue="1">
      <formula>G8&gt;W8</formula>
    </cfRule>
  </conditionalFormatting>
  <conditionalFormatting sqref="I8:M25 P8:T25">
    <cfRule type="cellIs" dxfId="136" priority="5" stopIfTrue="1" operator="equal">
      <formula>"H"</formula>
    </cfRule>
    <cfRule type="cellIs" dxfId="135" priority="6" stopIfTrue="1" operator="equal">
      <formula>"V"</formula>
    </cfRule>
    <cfRule type="expression" dxfId="134" priority="7" stopIfTrue="1">
      <formula>IF(I$6&lt;$E$2,1,0)</formula>
    </cfRule>
  </conditionalFormatting>
  <conditionalFormatting sqref="X30:X34 X26:X28 J32:J34 J26:J30 I26:I34 Q29 T26:W34 N8:O25 K26:O34 U8:V25 P30:S34 P26:S28">
    <cfRule type="cellIs" dxfId="133" priority="13" stopIfTrue="1" operator="equal">
      <formula>"DIO"</formula>
    </cfRule>
    <cfRule type="cellIs" dxfId="132" priority="14" stopIfTrue="1" operator="equal">
      <formula>"H"</formula>
    </cfRule>
    <cfRule type="cellIs" dxfId="131" priority="15" stopIfTrue="1" operator="equal">
      <formula>"V"</formula>
    </cfRule>
  </conditionalFormatting>
  <conditionalFormatting sqref="P6">
    <cfRule type="expression" dxfId="130" priority="21" stopIfTrue="1">
      <formula>P$6=TODAY()</formula>
    </cfRule>
    <cfRule type="expression" dxfId="129" priority="22" stopIfTrue="1">
      <formula>IF((P$6+1-$E$3)=$F$6,1,0)</formula>
    </cfRule>
  </conditionalFormatting>
  <conditionalFormatting sqref="Q6:V6 J6:O6">
    <cfRule type="expression" dxfId="128" priority="23" stopIfTrue="1">
      <formula>J$6=TODAY()</formula>
    </cfRule>
    <cfRule type="expression" dxfId="127" priority="24" stopIfTrue="1">
      <formula>IF((J$6+1-$E$3)=$F$6,1,0)</formula>
    </cfRule>
  </conditionalFormatting>
  <conditionalFormatting sqref="I6">
    <cfRule type="expression" dxfId="126" priority="25" stopIfTrue="1">
      <formula>I$6=TODAY()</formula>
    </cfRule>
    <cfRule type="expression" dxfId="125" priority="26" stopIfTrue="1">
      <formula>IF((J$6+1-$E$3)=$F$6,1,0)</formula>
    </cfRule>
  </conditionalFormatting>
  <conditionalFormatting sqref="F26:F27 F8:F21">
    <cfRule type="expression" dxfId="124" priority="1" stopIfTrue="1">
      <formula>H8&gt;X8</formula>
    </cfRule>
  </conditionalFormatting>
  <conditionalFormatting sqref="F30:F33">
    <cfRule type="expression" dxfId="123" priority="4" stopIfTrue="1">
      <formula>H28&gt;X28</formula>
    </cfRule>
  </conditionalFormatting>
  <conditionalFormatting sqref="C10">
    <cfRule type="cellIs" dxfId="122" priority="8" stopIfTrue="1" operator="greaterThan">
      <formula>0</formula>
    </cfRule>
    <cfRule type="cellIs" dxfId="121" priority="9" stopIfTrue="1" operator="lessThanOrEqual">
      <formula>0</formula>
    </cfRule>
  </conditionalFormatting>
  <conditionalFormatting sqref="C22 D14:D15 D6:D12 C6:C9">
    <cfRule type="cellIs" dxfId="120" priority="10" stopIfTrue="1" operator="equal">
      <formula>"3A"</formula>
    </cfRule>
    <cfRule type="cellIs" dxfId="119" priority="11" stopIfTrue="1" operator="equal">
      <formula>"3B"</formula>
    </cfRule>
  </conditionalFormatting>
  <conditionalFormatting sqref="G32:G34 G6">
    <cfRule type="cellIs" dxfId="118" priority="12" stopIfTrue="1" operator="equal">
      <formula>"Done"</formula>
    </cfRule>
  </conditionalFormatting>
  <conditionalFormatting sqref="I7:K7 M7:W7">
    <cfRule type="cellIs" dxfId="117" priority="16" stopIfTrue="1" operator="equal">
      <formula>"DIO"</formula>
    </cfRule>
    <cfRule type="cellIs" dxfId="116" priority="17" stopIfTrue="1" operator="equal">
      <formula>"H"</formula>
    </cfRule>
    <cfRule type="cellIs" dxfId="115" priority="18" stopIfTrue="1" operator="equal">
      <formula>"V"</formula>
    </cfRule>
  </conditionalFormatting>
  <conditionalFormatting sqref="L7">
    <cfRule type="cellIs" dxfId="114" priority="19" stopIfTrue="1" operator="equal">
      <formula>"DIO"</formula>
    </cfRule>
    <cfRule type="cellIs" dxfId="113"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sheetPr codeName="Sheet3"/>
  <dimension ref="B4:I51"/>
  <sheetViews>
    <sheetView workbookViewId="0">
      <selection activeCell="E6" sqref="E6"/>
    </sheetView>
  </sheetViews>
  <sheetFormatPr defaultRowHeight="12.75"/>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c r="B4" s="129" t="s">
        <v>57</v>
      </c>
      <c r="C4" s="43" t="s">
        <v>122</v>
      </c>
    </row>
    <row r="5" spans="2:8" ht="13.5" thickBot="1"/>
    <row r="6" spans="2:8" ht="14.25" thickTop="1" thickBot="1">
      <c r="B6" s="129" t="s">
        <v>41</v>
      </c>
      <c r="C6" s="130" t="s">
        <v>97</v>
      </c>
      <c r="D6" s="131" t="s">
        <v>91</v>
      </c>
      <c r="E6" s="132" t="s">
        <v>96</v>
      </c>
      <c r="F6" s="133" t="s">
        <v>95</v>
      </c>
      <c r="G6" s="133" t="s">
        <v>192</v>
      </c>
      <c r="H6" s="134" t="s">
        <v>98</v>
      </c>
    </row>
    <row r="7" spans="2:8" ht="13.5" thickTop="1">
      <c r="C7" s="135"/>
      <c r="D7" s="136" t="s">
        <v>49</v>
      </c>
      <c r="E7" s="137"/>
      <c r="F7" s="138"/>
      <c r="G7" s="138"/>
      <c r="H7" s="139"/>
    </row>
    <row r="8" spans="2:8">
      <c r="C8" s="140" t="s">
        <v>115</v>
      </c>
      <c r="D8" s="140" t="s">
        <v>115</v>
      </c>
      <c r="E8" s="141" t="s">
        <v>94</v>
      </c>
      <c r="F8" s="142" t="s">
        <v>183</v>
      </c>
      <c r="G8" s="187" t="s">
        <v>191</v>
      </c>
      <c r="H8" s="141" t="s">
        <v>92</v>
      </c>
    </row>
    <row r="9" spans="2:8">
      <c r="C9" s="140" t="s">
        <v>116</v>
      </c>
      <c r="D9" s="140" t="s">
        <v>116</v>
      </c>
      <c r="E9" s="141" t="s">
        <v>94</v>
      </c>
      <c r="F9" s="142" t="s">
        <v>189</v>
      </c>
      <c r="G9" s="187" t="s">
        <v>198</v>
      </c>
      <c r="H9" s="141" t="s">
        <v>92</v>
      </c>
    </row>
    <row r="10" spans="2:8" ht="11.25" customHeight="1">
      <c r="C10" s="140" t="s">
        <v>117</v>
      </c>
      <c r="D10" s="140" t="s">
        <v>117</v>
      </c>
      <c r="E10" s="141" t="s">
        <v>94</v>
      </c>
      <c r="F10" s="142" t="s">
        <v>190</v>
      </c>
      <c r="G10" s="187" t="s">
        <v>199</v>
      </c>
      <c r="H10" s="141" t="s">
        <v>92</v>
      </c>
    </row>
    <row r="11" spans="2:8">
      <c r="C11" s="140" t="s">
        <v>118</v>
      </c>
      <c r="D11" s="140" t="s">
        <v>118</v>
      </c>
      <c r="E11" s="141" t="s">
        <v>94</v>
      </c>
      <c r="F11" s="142" t="s">
        <v>187</v>
      </c>
      <c r="G11" s="187" t="s">
        <v>196</v>
      </c>
      <c r="H11" s="141" t="s">
        <v>92</v>
      </c>
    </row>
    <row r="12" spans="2:8">
      <c r="C12" s="140" t="s">
        <v>119</v>
      </c>
      <c r="D12" s="140" t="s">
        <v>119</v>
      </c>
      <c r="E12" s="141" t="s">
        <v>94</v>
      </c>
      <c r="F12" s="142" t="s">
        <v>185</v>
      </c>
      <c r="G12" s="187" t="s">
        <v>194</v>
      </c>
      <c r="H12" s="141" t="s">
        <v>92</v>
      </c>
    </row>
    <row r="13" spans="2:8">
      <c r="C13" s="140" t="s">
        <v>161</v>
      </c>
      <c r="D13" s="140" t="s">
        <v>161</v>
      </c>
      <c r="E13" s="141" t="s">
        <v>94</v>
      </c>
      <c r="F13" s="142" t="s">
        <v>184</v>
      </c>
      <c r="G13" s="187" t="s">
        <v>193</v>
      </c>
      <c r="H13" s="141" t="s">
        <v>92</v>
      </c>
    </row>
    <row r="14" spans="2:8">
      <c r="C14" s="140" t="s">
        <v>120</v>
      </c>
      <c r="D14" s="140" t="s">
        <v>120</v>
      </c>
      <c r="E14" s="141" t="s">
        <v>94</v>
      </c>
      <c r="F14" s="142" t="s">
        <v>186</v>
      </c>
      <c r="G14" s="187" t="s">
        <v>197</v>
      </c>
      <c r="H14" s="141" t="s">
        <v>92</v>
      </c>
    </row>
    <row r="15" spans="2:8">
      <c r="C15" s="140" t="s">
        <v>121</v>
      </c>
      <c r="D15" s="140" t="s">
        <v>121</v>
      </c>
      <c r="E15" s="141"/>
      <c r="F15" s="142" t="s">
        <v>188</v>
      </c>
      <c r="G15" s="187" t="s">
        <v>195</v>
      </c>
      <c r="H15" s="141"/>
    </row>
    <row r="16" spans="2:8">
      <c r="C16" s="140"/>
      <c r="D16" s="141"/>
      <c r="E16" s="141"/>
      <c r="F16" s="142"/>
      <c r="G16" s="141"/>
      <c r="H16" s="141"/>
    </row>
    <row r="17" spans="3:8">
      <c r="C17" s="140"/>
      <c r="D17" s="141"/>
      <c r="E17" s="141"/>
      <c r="F17" s="142"/>
      <c r="G17" s="141"/>
      <c r="H17" s="141"/>
    </row>
    <row r="18" spans="3:8">
      <c r="C18" s="140"/>
      <c r="D18" s="141"/>
      <c r="E18" s="141"/>
      <c r="F18" s="142"/>
      <c r="G18" s="141"/>
      <c r="H18" s="141"/>
    </row>
    <row r="19" spans="3:8">
      <c r="C19" s="140"/>
      <c r="D19" s="141"/>
      <c r="E19" s="141"/>
      <c r="F19" s="142"/>
      <c r="G19" s="141"/>
      <c r="H19" s="141"/>
    </row>
    <row r="20" spans="3:8">
      <c r="C20" s="140"/>
      <c r="D20" s="141"/>
      <c r="E20" s="141"/>
      <c r="F20" s="142"/>
      <c r="G20" s="141"/>
      <c r="H20" s="141"/>
    </row>
    <row r="21" spans="3:8">
      <c r="C21" s="140"/>
      <c r="D21" s="141"/>
      <c r="E21" s="141"/>
      <c r="F21" s="142"/>
      <c r="G21" s="141"/>
      <c r="H21" s="141"/>
    </row>
    <row r="22" spans="3:8">
      <c r="C22" s="140"/>
      <c r="D22" s="141"/>
      <c r="E22" s="141"/>
      <c r="F22" s="142"/>
      <c r="G22" s="141"/>
      <c r="H22" s="141"/>
    </row>
    <row r="23" spans="3:8">
      <c r="C23" s="140"/>
      <c r="D23" s="141"/>
      <c r="E23" s="141"/>
      <c r="F23" s="142"/>
      <c r="G23" s="141"/>
      <c r="H23" s="141"/>
    </row>
    <row r="24" spans="3:8">
      <c r="C24" s="140"/>
      <c r="D24" s="141"/>
      <c r="E24" s="141"/>
      <c r="F24" s="142"/>
      <c r="G24" s="141"/>
      <c r="H24" s="141"/>
    </row>
    <row r="25" spans="3:8" ht="13.5" thickBot="1">
      <c r="C25" s="143"/>
      <c r="D25" s="144"/>
      <c r="E25" s="144"/>
      <c r="F25" s="145"/>
      <c r="G25" s="146"/>
      <c r="H25" s="147"/>
    </row>
    <row r="26" spans="3:8" ht="13.5" thickTop="1"/>
    <row r="41" spans="7:9">
      <c r="G41" s="129"/>
      <c r="I41" s="148"/>
    </row>
    <row r="43" spans="7:9">
      <c r="G43" s="129"/>
      <c r="H43" s="148"/>
      <c r="I43" s="148"/>
    </row>
    <row r="51" spans="4:4">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dimension ref="A1:C33"/>
  <sheetViews>
    <sheetView workbookViewId="0">
      <selection activeCell="A19" sqref="A19"/>
    </sheetView>
  </sheetViews>
  <sheetFormatPr defaultRowHeight="12.75"/>
  <cols>
    <col min="1" max="1" width="21.5703125" bestFit="1" customWidth="1"/>
    <col min="2" max="2" width="6.7109375" bestFit="1" customWidth="1"/>
    <col min="3" max="3" width="7.28515625" bestFit="1" customWidth="1"/>
  </cols>
  <sheetData>
    <row r="1" spans="1:3" ht="15">
      <c r="A1" s="172" t="s">
        <v>101</v>
      </c>
      <c r="B1" s="173"/>
    </row>
    <row r="2" spans="1:3" ht="15">
      <c r="A2" s="174" t="s">
        <v>102</v>
      </c>
      <c r="B2" s="175">
        <f>COUNTIF(Sprint!$A$4:$A$104, "Feature")</f>
        <v>1</v>
      </c>
      <c r="C2" s="181">
        <f>B2/$B$6</f>
        <v>1</v>
      </c>
    </row>
    <row r="3" spans="1:3" ht="15">
      <c r="A3" s="174" t="s">
        <v>103</v>
      </c>
      <c r="B3" s="175">
        <f>COUNTIF(Sprint!$A$4:$A$104, "Tax")</f>
        <v>0</v>
      </c>
      <c r="C3" s="181">
        <f t="shared" ref="C3:C5" si="0">B3/$B$6</f>
        <v>0</v>
      </c>
    </row>
    <row r="4" spans="1:3" ht="15">
      <c r="A4" s="174" t="s">
        <v>104</v>
      </c>
      <c r="B4" s="175">
        <f>COUNTIF(Sprint!$A$4:$A$104, "Precondition")</f>
        <v>0</v>
      </c>
      <c r="C4" s="181">
        <f t="shared" si="0"/>
        <v>0</v>
      </c>
    </row>
    <row r="5" spans="1:3" ht="15">
      <c r="A5" s="174" t="s">
        <v>105</v>
      </c>
      <c r="B5" s="175">
        <f>COUNTIF(Sprint!$A$4:$A$104, "Spike")</f>
        <v>0</v>
      </c>
      <c r="C5" s="181">
        <f t="shared" si="0"/>
        <v>0</v>
      </c>
    </row>
    <row r="6" spans="1:3" ht="15">
      <c r="A6" s="176" t="s">
        <v>109</v>
      </c>
      <c r="B6" s="182">
        <f>SUM(B2:B5)</f>
        <v>1</v>
      </c>
      <c r="C6" s="183">
        <f>SUM(C2:C5)</f>
        <v>1</v>
      </c>
    </row>
    <row r="7" spans="1:3" ht="15">
      <c r="A7" s="175"/>
      <c r="B7" s="175"/>
    </row>
    <row r="8" spans="1:3" ht="15">
      <c r="A8" s="176" t="s">
        <v>106</v>
      </c>
      <c r="B8" s="175"/>
    </row>
    <row r="9" spans="1:3" ht="15">
      <c r="A9" s="174" t="s">
        <v>123</v>
      </c>
      <c r="B9" s="175">
        <f>COUNTIF(Sprint!$B$4:$B$221, "Data Model")</f>
        <v>0</v>
      </c>
      <c r="C9" s="181" t="e">
        <f>B9/$B$25</f>
        <v>#DIV/0!</v>
      </c>
    </row>
    <row r="10" spans="1:3" ht="15">
      <c r="A10" s="174" t="s">
        <v>124</v>
      </c>
      <c r="B10" s="175">
        <f>COUNTIF(Sprint!$B$4:$B$221, "Integration Model")</f>
        <v>0</v>
      </c>
      <c r="C10" s="181" t="e">
        <f>B10/$B$25</f>
        <v>#DIV/0!</v>
      </c>
    </row>
    <row r="11" spans="1:3" ht="15">
      <c r="A11" s="174" t="s">
        <v>125</v>
      </c>
      <c r="B11" s="175">
        <f>COUNTIF(Sprint!$B$4:$B$221, "System Frameworks")</f>
        <v>0</v>
      </c>
      <c r="C11" s="181" t="e">
        <f>B11/$B$25</f>
        <v>#DIV/0!</v>
      </c>
    </row>
    <row r="12" spans="1:3" ht="15">
      <c r="A12" s="174" t="s">
        <v>126</v>
      </c>
      <c r="B12" s="175">
        <f>COUNTIF(Sprint!$B$4:$B$221, "Data Conversions")</f>
        <v>0</v>
      </c>
      <c r="C12" s="181" t="e">
        <f>B12/$B$25</f>
        <v>#DIV/0!</v>
      </c>
    </row>
    <row r="13" spans="1:3" ht="15">
      <c r="A13" s="174" t="s">
        <v>175</v>
      </c>
      <c r="B13" s="175">
        <f>COUNTIF(Sprint!$B$4:$B$221, "Security")</f>
        <v>0</v>
      </c>
      <c r="C13" s="181" t="e">
        <f t="shared" ref="C13:C24" si="1">B13/$B$25</f>
        <v>#DIV/0!</v>
      </c>
    </row>
    <row r="14" spans="1:3" ht="15">
      <c r="A14" s="174" t="s">
        <v>615</v>
      </c>
      <c r="B14" s="175">
        <f>COUNTIF(Sprint!$B$4:$B$221, "Cash Payment Tracking")</f>
        <v>0</v>
      </c>
      <c r="C14" s="181" t="e">
        <f t="shared" si="1"/>
        <v>#DIV/0!</v>
      </c>
    </row>
    <row r="15" spans="1:3" ht="15">
      <c r="A15" s="174" t="s">
        <v>617</v>
      </c>
      <c r="B15" s="175">
        <f>COUNTIF(Sprint!$B$4:$B$221, "Views")</f>
        <v>0</v>
      </c>
      <c r="C15" s="181" t="e">
        <f t="shared" si="1"/>
        <v>#DIV/0!</v>
      </c>
    </row>
    <row r="16" spans="1:3" ht="15">
      <c r="A16" s="174" t="s">
        <v>127</v>
      </c>
      <c r="B16" s="175">
        <f>COUNTIF(Sprint!$B$4:$B$221, "Lookups")</f>
        <v>0</v>
      </c>
      <c r="C16" s="181" t="e">
        <f t="shared" si="1"/>
        <v>#DIV/0!</v>
      </c>
    </row>
    <row r="17" spans="1:3" ht="15">
      <c r="A17" s="174" t="s">
        <v>127</v>
      </c>
      <c r="B17" s="175">
        <f>COUNTIF(Sprint!$B$4:$B$221, "Detail screens")</f>
        <v>0</v>
      </c>
      <c r="C17" s="181" t="e">
        <f t="shared" si="1"/>
        <v>#DIV/0!</v>
      </c>
    </row>
    <row r="18" spans="1:3" ht="15">
      <c r="A18" s="174" t="s">
        <v>127</v>
      </c>
      <c r="B18" s="175">
        <f>COUNTIF(Sprint!$B$4:$B$221, "Notifications")</f>
        <v>0</v>
      </c>
      <c r="C18" s="181" t="e">
        <f t="shared" si="1"/>
        <v>#DIV/0!</v>
      </c>
    </row>
    <row r="19" spans="1:3" ht="15">
      <c r="A19" s="174" t="s">
        <v>127</v>
      </c>
      <c r="B19" s="175">
        <f>COUNTIF(Sprint!$B$4:$B$221, "Reports")</f>
        <v>0</v>
      </c>
      <c r="C19" s="181" t="e">
        <f t="shared" si="1"/>
        <v>#DIV/0!</v>
      </c>
    </row>
    <row r="20" spans="1:3" ht="15">
      <c r="A20" s="174" t="s">
        <v>127</v>
      </c>
      <c r="B20" s="175">
        <f>COUNTIF(Sprint!$B$4:$B$221, "Installation Package")</f>
        <v>0</v>
      </c>
      <c r="C20" s="181" t="e">
        <f t="shared" si="1"/>
        <v>#DIV/0!</v>
      </c>
    </row>
    <row r="21" spans="1:3" ht="15">
      <c r="A21" s="174" t="s">
        <v>127</v>
      </c>
      <c r="B21" s="175">
        <f>COUNTIF(Sprint!$B$4:$B$221, "Deployment")</f>
        <v>0</v>
      </c>
      <c r="C21" s="181" t="e">
        <f t="shared" si="1"/>
        <v>#DIV/0!</v>
      </c>
    </row>
    <row r="22" spans="1:3" ht="15">
      <c r="A22" s="174" t="s">
        <v>127</v>
      </c>
      <c r="B22" s="175">
        <f>COUNTIF(Sprint!$B$4:$B$221, "Documentation")</f>
        <v>0</v>
      </c>
      <c r="C22" s="181" t="e">
        <f t="shared" si="1"/>
        <v>#DIV/0!</v>
      </c>
    </row>
    <row r="23" spans="1:3" ht="15">
      <c r="A23" s="174" t="s">
        <v>127</v>
      </c>
      <c r="B23" s="175">
        <f>COUNTIF(Sprint!$B$4:$B$221, "Testing")</f>
        <v>0</v>
      </c>
      <c r="C23" s="181" t="e">
        <f t="shared" si="1"/>
        <v>#DIV/0!</v>
      </c>
    </row>
    <row r="24" spans="1:3" ht="15">
      <c r="A24" s="174" t="s">
        <v>127</v>
      </c>
      <c r="B24" s="175">
        <f>COUNTIF(Sprint!$B$4:$B$221, "Project Mgt")</f>
        <v>0</v>
      </c>
      <c r="C24" s="181" t="e">
        <f t="shared" si="1"/>
        <v>#DIV/0!</v>
      </c>
    </row>
    <row r="25" spans="1:3" ht="15">
      <c r="A25" s="176" t="s">
        <v>109</v>
      </c>
      <c r="B25" s="180">
        <f>SUM(B9:B24)</f>
        <v>0</v>
      </c>
      <c r="C25" s="181" t="e">
        <f>SUM(C9:C24)</f>
        <v>#DIV/0!</v>
      </c>
    </row>
    <row r="27" spans="1:3" ht="15">
      <c r="A27" s="179" t="s">
        <v>108</v>
      </c>
    </row>
    <row r="28" spans="1:3" ht="15">
      <c r="A28" s="174" t="s">
        <v>110</v>
      </c>
      <c r="B28" s="175">
        <f ca="1">COUNTIF(Sprint!$G$4:$G$104, "Complete")</f>
        <v>20</v>
      </c>
      <c r="C28" s="181">
        <f ca="1">B28/$B$33</f>
        <v>0.2857142857142857</v>
      </c>
    </row>
    <row r="29" spans="1:3" ht="15">
      <c r="A29" s="174" t="s">
        <v>111</v>
      </c>
      <c r="B29" s="175">
        <f ca="1">COUNTIF(Sprint!$G$4:$G$104, "In Progress")</f>
        <v>3</v>
      </c>
      <c r="C29" s="181">
        <f t="shared" ref="C29:C32" ca="1" si="2">B29/$B$33</f>
        <v>4.2857142857142858E-2</v>
      </c>
    </row>
    <row r="30" spans="1:3" ht="15">
      <c r="A30" s="174" t="s">
        <v>112</v>
      </c>
      <c r="B30" s="175">
        <f ca="1">COUNTIF(Sprint!$G$4:$G$104, "Pending")</f>
        <v>47</v>
      </c>
      <c r="C30" s="181">
        <f t="shared" ca="1" si="2"/>
        <v>0.67142857142857137</v>
      </c>
    </row>
    <row r="31" spans="1:3" ht="15">
      <c r="A31" s="174" t="s">
        <v>107</v>
      </c>
      <c r="B31" s="175">
        <f ca="1">COUNTIF(Sprint!$G$4:$G$104, "Postponed")</f>
        <v>0</v>
      </c>
      <c r="C31" s="181">
        <f t="shared" ca="1" si="2"/>
        <v>0</v>
      </c>
    </row>
    <row r="32" spans="1:3" ht="15">
      <c r="A32" s="179" t="s">
        <v>113</v>
      </c>
      <c r="B32" s="175">
        <f ca="1">COUNTIF(Sprint!$G$4:$G$104, "Cancelled")</f>
        <v>0</v>
      </c>
      <c r="C32" s="181">
        <f t="shared" ca="1" si="2"/>
        <v>0</v>
      </c>
    </row>
    <row r="33" spans="1:3" ht="15">
      <c r="A33" s="184" t="s">
        <v>109</v>
      </c>
      <c r="B33" s="185">
        <f ca="1">SUM(B28:B32)</f>
        <v>70</v>
      </c>
      <c r="C33" s="186">
        <f ca="1">SUM(C28:C32)</f>
        <v>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L503"/>
  <sheetViews>
    <sheetView topLeftCell="A3" workbookViewId="0">
      <selection activeCell="B7" sqref="B7"/>
    </sheetView>
  </sheetViews>
  <sheetFormatPr defaultRowHeight="12.75"/>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c r="F1" s="195" t="s">
        <v>600</v>
      </c>
    </row>
    <row r="2" spans="1:12" hidden="1">
      <c r="F2" s="195" t="s">
        <v>599</v>
      </c>
    </row>
    <row r="3" spans="1:12" s="198" customFormat="1" ht="26.25" thickBot="1">
      <c r="A3" s="216" t="s">
        <v>128</v>
      </c>
      <c r="B3" s="217" t="s">
        <v>598</v>
      </c>
      <c r="C3" s="216" t="s">
        <v>597</v>
      </c>
      <c r="D3" s="216" t="s">
        <v>200</v>
      </c>
      <c r="E3" s="216" t="s">
        <v>611</v>
      </c>
      <c r="F3" s="218" t="s">
        <v>596</v>
      </c>
      <c r="G3" s="213" t="s">
        <v>595</v>
      </c>
      <c r="I3" s="243" t="s">
        <v>134</v>
      </c>
      <c r="J3" s="244"/>
      <c r="K3" s="214"/>
      <c r="L3" s="215"/>
    </row>
    <row r="4" spans="1:12">
      <c r="A4" s="222">
        <v>1</v>
      </c>
      <c r="B4" s="223" t="s">
        <v>129</v>
      </c>
      <c r="C4" s="220">
        <v>1</v>
      </c>
      <c r="D4" s="220">
        <v>13</v>
      </c>
      <c r="E4" s="220">
        <v>1</v>
      </c>
      <c r="F4" s="221">
        <v>40868</v>
      </c>
      <c r="G4" s="196"/>
      <c r="I4" s="190"/>
      <c r="J4" s="192"/>
      <c r="K4" s="191"/>
      <c r="L4" s="191"/>
    </row>
    <row r="5" spans="1:12">
      <c r="A5" s="222">
        <v>2</v>
      </c>
      <c r="B5" s="223" t="s">
        <v>130</v>
      </c>
      <c r="C5" s="220">
        <v>1</v>
      </c>
      <c r="D5" s="220">
        <v>40</v>
      </c>
      <c r="E5" s="220">
        <v>2</v>
      </c>
      <c r="F5" s="221">
        <v>40871</v>
      </c>
      <c r="G5" s="196"/>
      <c r="I5" s="190" t="s">
        <v>135</v>
      </c>
      <c r="J5" s="192" t="s">
        <v>136</v>
      </c>
      <c r="K5" s="191"/>
      <c r="L5" s="191"/>
    </row>
    <row r="6" spans="1:12" ht="13.5" thickBot="1">
      <c r="A6" s="222">
        <v>3</v>
      </c>
      <c r="B6" s="223" t="s">
        <v>131</v>
      </c>
      <c r="C6" s="220">
        <v>1</v>
      </c>
      <c r="D6" s="220">
        <v>40</v>
      </c>
      <c r="E6" s="220">
        <v>2</v>
      </c>
      <c r="F6" s="221">
        <v>40874</v>
      </c>
      <c r="G6" s="196"/>
      <c r="I6" s="193" t="s">
        <v>137</v>
      </c>
      <c r="J6" s="194" t="s">
        <v>138</v>
      </c>
    </row>
    <row r="7" spans="1:12">
      <c r="A7" s="224">
        <v>4</v>
      </c>
      <c r="B7" s="225" t="s">
        <v>132</v>
      </c>
      <c r="C7" s="220">
        <v>3</v>
      </c>
      <c r="D7" s="220"/>
      <c r="E7" s="220">
        <v>3</v>
      </c>
      <c r="F7" s="221"/>
      <c r="G7" s="196"/>
    </row>
    <row r="8" spans="1:12">
      <c r="A8" s="222">
        <v>5</v>
      </c>
      <c r="B8" s="223" t="s">
        <v>133</v>
      </c>
      <c r="C8" s="220">
        <v>3</v>
      </c>
      <c r="D8" s="220"/>
      <c r="E8" s="220">
        <v>3</v>
      </c>
      <c r="F8" s="221"/>
      <c r="G8" s="196"/>
    </row>
    <row r="9" spans="1:12">
      <c r="A9" s="224">
        <v>6</v>
      </c>
      <c r="B9" s="225" t="s">
        <v>622</v>
      </c>
      <c r="C9" s="220">
        <v>4</v>
      </c>
      <c r="D9" s="220"/>
      <c r="E9" s="220">
        <v>4</v>
      </c>
      <c r="F9" s="221"/>
      <c r="G9" s="196"/>
    </row>
    <row r="10" spans="1:12">
      <c r="A10" s="219">
        <v>7</v>
      </c>
      <c r="B10" s="189" t="s">
        <v>623</v>
      </c>
      <c r="C10" s="220">
        <v>4</v>
      </c>
      <c r="D10" s="220"/>
      <c r="E10" s="220">
        <v>4</v>
      </c>
      <c r="F10" s="221"/>
      <c r="G10" s="196"/>
    </row>
    <row r="11" spans="1:12">
      <c r="A11" s="224">
        <v>8</v>
      </c>
      <c r="B11" s="225" t="s">
        <v>610</v>
      </c>
      <c r="C11" s="220">
        <v>4</v>
      </c>
      <c r="D11" s="220"/>
      <c r="E11" s="220">
        <v>4</v>
      </c>
      <c r="F11" s="221"/>
      <c r="G11" s="196"/>
    </row>
    <row r="12" spans="1:12">
      <c r="A12" s="188">
        <v>9</v>
      </c>
      <c r="B12" s="196"/>
      <c r="C12" s="196"/>
      <c r="D12" s="196"/>
      <c r="E12" s="196"/>
      <c r="F12" s="197"/>
      <c r="G12" s="196"/>
    </row>
    <row r="13" spans="1:12">
      <c r="A13" s="188">
        <v>10</v>
      </c>
      <c r="B13" s="196"/>
      <c r="C13" s="196"/>
      <c r="D13" s="196"/>
      <c r="E13" s="196"/>
      <c r="F13" s="197"/>
      <c r="G13" s="196"/>
    </row>
    <row r="14" spans="1:12">
      <c r="A14" s="188">
        <v>11</v>
      </c>
      <c r="B14" s="196"/>
      <c r="C14" s="196"/>
      <c r="D14" s="196"/>
      <c r="E14" s="196"/>
      <c r="F14" s="197"/>
      <c r="G14" s="196"/>
    </row>
    <row r="15" spans="1:12">
      <c r="A15" s="188">
        <v>12</v>
      </c>
      <c r="B15" s="196"/>
      <c r="C15" s="196"/>
      <c r="D15" s="196"/>
      <c r="E15" s="196"/>
      <c r="F15" s="197"/>
      <c r="G15" s="196"/>
    </row>
    <row r="16" spans="1:12">
      <c r="A16" s="188">
        <v>13</v>
      </c>
      <c r="B16" s="196"/>
      <c r="C16" s="196"/>
      <c r="D16" s="196"/>
      <c r="E16" s="196"/>
      <c r="F16" s="197"/>
      <c r="G16" s="196"/>
    </row>
    <row r="17" spans="1:7">
      <c r="A17" s="188">
        <v>14</v>
      </c>
      <c r="B17" s="196"/>
      <c r="C17" s="196"/>
      <c r="D17" s="196"/>
      <c r="E17" s="196"/>
      <c r="F17" s="197"/>
      <c r="G17" s="196"/>
    </row>
    <row r="18" spans="1:7">
      <c r="A18" s="188">
        <v>15</v>
      </c>
      <c r="B18" s="196"/>
      <c r="C18" s="196"/>
      <c r="D18" s="196"/>
      <c r="E18" s="196"/>
      <c r="F18" s="197"/>
      <c r="G18" s="196"/>
    </row>
    <row r="19" spans="1:7">
      <c r="A19" s="188">
        <v>16</v>
      </c>
      <c r="B19" s="196"/>
      <c r="C19" s="196"/>
      <c r="D19" s="196"/>
      <c r="E19" s="196"/>
      <c r="F19" s="197"/>
      <c r="G19" s="196"/>
    </row>
    <row r="20" spans="1:7">
      <c r="A20" s="188">
        <v>17</v>
      </c>
      <c r="B20" s="196"/>
      <c r="C20" s="196"/>
      <c r="D20" s="196"/>
      <c r="E20" s="196"/>
      <c r="F20" s="197"/>
      <c r="G20" s="196"/>
    </row>
    <row r="21" spans="1:7">
      <c r="A21" s="188">
        <v>18</v>
      </c>
      <c r="B21" s="196"/>
      <c r="C21" s="196"/>
      <c r="D21" s="196"/>
      <c r="E21" s="196"/>
      <c r="F21" s="197"/>
      <c r="G21" s="196"/>
    </row>
    <row r="22" spans="1:7">
      <c r="A22" s="188">
        <v>19</v>
      </c>
      <c r="B22" s="196"/>
      <c r="C22" s="196"/>
      <c r="D22" s="196"/>
      <c r="E22" s="196"/>
      <c r="F22" s="197"/>
      <c r="G22" s="196"/>
    </row>
    <row r="23" spans="1:7">
      <c r="A23" s="188">
        <v>20</v>
      </c>
      <c r="B23" s="196"/>
      <c r="C23" s="196"/>
      <c r="D23" s="196"/>
      <c r="E23" s="196"/>
      <c r="F23" s="197"/>
      <c r="G23" s="196"/>
    </row>
    <row r="24" spans="1:7">
      <c r="A24" s="188">
        <v>21</v>
      </c>
      <c r="B24" s="196"/>
      <c r="C24" s="196"/>
      <c r="D24" s="196"/>
      <c r="E24" s="196"/>
      <c r="F24" s="197"/>
      <c r="G24" s="196"/>
    </row>
    <row r="25" spans="1:7">
      <c r="A25" s="188">
        <v>22</v>
      </c>
      <c r="B25" s="196"/>
      <c r="C25" s="196"/>
      <c r="D25" s="196"/>
      <c r="E25" s="196"/>
      <c r="F25" s="197"/>
      <c r="G25" s="196"/>
    </row>
    <row r="26" spans="1:7">
      <c r="A26" s="188">
        <v>23</v>
      </c>
      <c r="B26" s="196"/>
      <c r="C26" s="196"/>
      <c r="D26" s="196"/>
      <c r="E26" s="196"/>
      <c r="F26" s="197"/>
      <c r="G26" s="196"/>
    </row>
    <row r="27" spans="1:7">
      <c r="A27" s="188">
        <v>24</v>
      </c>
      <c r="B27" s="196"/>
      <c r="C27" s="196"/>
      <c r="D27" s="196"/>
      <c r="E27" s="196"/>
      <c r="F27" s="197"/>
      <c r="G27" s="196"/>
    </row>
    <row r="28" spans="1:7">
      <c r="A28" s="188">
        <v>25</v>
      </c>
      <c r="B28" s="196"/>
      <c r="C28" s="196"/>
      <c r="D28" s="196"/>
      <c r="E28" s="196"/>
      <c r="F28" s="197"/>
      <c r="G28" s="196"/>
    </row>
    <row r="29" spans="1:7">
      <c r="A29" s="188">
        <v>26</v>
      </c>
      <c r="B29" s="196"/>
      <c r="C29" s="196"/>
      <c r="D29" s="196"/>
      <c r="E29" s="196"/>
      <c r="F29" s="197"/>
      <c r="G29" s="196"/>
    </row>
    <row r="30" spans="1:7">
      <c r="A30" s="188">
        <v>27</v>
      </c>
      <c r="B30" s="196"/>
      <c r="C30" s="196"/>
      <c r="D30" s="196"/>
      <c r="E30" s="196"/>
      <c r="F30" s="197"/>
      <c r="G30" s="196"/>
    </row>
    <row r="31" spans="1:7">
      <c r="A31" s="188">
        <v>28</v>
      </c>
      <c r="B31" s="196"/>
      <c r="C31" s="196"/>
      <c r="D31" s="196"/>
      <c r="E31" s="196"/>
      <c r="F31" s="197"/>
      <c r="G31" s="196"/>
    </row>
    <row r="32" spans="1:7">
      <c r="A32" s="188">
        <v>29</v>
      </c>
      <c r="B32" s="196"/>
      <c r="C32" s="196"/>
      <c r="D32" s="196"/>
      <c r="E32" s="196"/>
      <c r="F32" s="197"/>
      <c r="G32" s="196"/>
    </row>
    <row r="33" spans="1:7">
      <c r="A33" s="188">
        <v>30</v>
      </c>
      <c r="B33" s="196"/>
      <c r="C33" s="196"/>
      <c r="D33" s="196"/>
      <c r="E33" s="196"/>
      <c r="F33" s="197"/>
      <c r="G33" s="196"/>
    </row>
    <row r="34" spans="1:7">
      <c r="A34" s="188">
        <v>31</v>
      </c>
      <c r="B34" s="196"/>
      <c r="C34" s="196"/>
      <c r="D34" s="196"/>
      <c r="E34" s="196"/>
      <c r="F34" s="197"/>
      <c r="G34" s="196"/>
    </row>
    <row r="35" spans="1:7">
      <c r="A35" s="188">
        <v>32</v>
      </c>
      <c r="B35" s="196"/>
      <c r="C35" s="196"/>
      <c r="D35" s="196"/>
      <c r="E35" s="196"/>
      <c r="F35" s="197"/>
      <c r="G35" s="196"/>
    </row>
    <row r="36" spans="1:7">
      <c r="A36" s="188">
        <v>33</v>
      </c>
      <c r="B36" s="196"/>
      <c r="C36" s="196"/>
      <c r="D36" s="196"/>
      <c r="E36" s="196"/>
      <c r="F36" s="197"/>
      <c r="G36" s="196"/>
    </row>
    <row r="37" spans="1:7">
      <c r="A37" s="188">
        <v>34</v>
      </c>
      <c r="B37" s="196"/>
      <c r="C37" s="196"/>
      <c r="D37" s="196"/>
      <c r="E37" s="196"/>
      <c r="F37" s="197"/>
      <c r="G37" s="196"/>
    </row>
    <row r="38" spans="1:7">
      <c r="A38" s="188">
        <v>35</v>
      </c>
      <c r="B38" s="196"/>
      <c r="C38" s="196"/>
      <c r="D38" s="196"/>
      <c r="E38" s="196"/>
      <c r="F38" s="197"/>
      <c r="G38" s="196"/>
    </row>
    <row r="39" spans="1:7">
      <c r="A39" s="188">
        <v>36</v>
      </c>
      <c r="B39" s="196"/>
      <c r="C39" s="196"/>
      <c r="D39" s="196"/>
      <c r="E39" s="196"/>
      <c r="F39" s="197"/>
      <c r="G39" s="196"/>
    </row>
    <row r="40" spans="1:7">
      <c r="A40" s="188">
        <v>37</v>
      </c>
      <c r="B40" s="196"/>
      <c r="C40" s="196"/>
      <c r="D40" s="196"/>
      <c r="E40" s="196"/>
      <c r="F40" s="197"/>
      <c r="G40" s="196"/>
    </row>
    <row r="41" spans="1:7">
      <c r="A41" s="188">
        <v>38</v>
      </c>
      <c r="B41" s="196"/>
      <c r="C41" s="196"/>
      <c r="D41" s="196"/>
      <c r="E41" s="196"/>
      <c r="F41" s="197"/>
      <c r="G41" s="196"/>
    </row>
    <row r="42" spans="1:7">
      <c r="A42" s="188">
        <v>39</v>
      </c>
      <c r="B42" s="196"/>
      <c r="C42" s="196"/>
      <c r="D42" s="196"/>
      <c r="E42" s="196"/>
      <c r="F42" s="197"/>
      <c r="G42" s="196"/>
    </row>
    <row r="43" spans="1:7">
      <c r="A43" s="188">
        <v>40</v>
      </c>
      <c r="B43" s="196"/>
      <c r="C43" s="196"/>
      <c r="D43" s="196"/>
      <c r="E43" s="196"/>
      <c r="F43" s="197"/>
      <c r="G43" s="196"/>
    </row>
    <row r="44" spans="1:7">
      <c r="A44" s="188">
        <v>41</v>
      </c>
      <c r="B44" s="196"/>
      <c r="C44" s="196"/>
      <c r="D44" s="196"/>
      <c r="E44" s="196"/>
      <c r="F44" s="197"/>
      <c r="G44" s="196"/>
    </row>
    <row r="45" spans="1:7">
      <c r="A45" s="188">
        <v>42</v>
      </c>
      <c r="B45" s="196"/>
      <c r="C45" s="196"/>
      <c r="D45" s="196"/>
      <c r="E45" s="196"/>
      <c r="F45" s="197"/>
      <c r="G45" s="196"/>
    </row>
    <row r="46" spans="1:7">
      <c r="A46" s="188">
        <v>43</v>
      </c>
      <c r="B46" s="196"/>
      <c r="C46" s="196"/>
      <c r="D46" s="196"/>
      <c r="E46" s="196"/>
      <c r="F46" s="197"/>
      <c r="G46" s="196"/>
    </row>
    <row r="47" spans="1:7">
      <c r="A47" s="188">
        <v>44</v>
      </c>
      <c r="B47" s="196"/>
      <c r="C47" s="196"/>
      <c r="D47" s="196"/>
      <c r="E47" s="196"/>
      <c r="F47" s="197"/>
      <c r="G47" s="196"/>
    </row>
    <row r="48" spans="1:7">
      <c r="A48" s="188">
        <v>45</v>
      </c>
      <c r="B48" s="196"/>
      <c r="C48" s="196"/>
      <c r="D48" s="196"/>
      <c r="E48" s="196"/>
      <c r="F48" s="197"/>
      <c r="G48" s="196"/>
    </row>
    <row r="49" spans="1:7">
      <c r="A49" s="188">
        <v>46</v>
      </c>
      <c r="B49" s="196"/>
      <c r="C49" s="196"/>
      <c r="D49" s="196"/>
      <c r="E49" s="196"/>
      <c r="F49" s="197"/>
      <c r="G49" s="196"/>
    </row>
    <row r="50" spans="1:7">
      <c r="A50" s="188">
        <v>47</v>
      </c>
      <c r="B50" s="196"/>
      <c r="C50" s="196"/>
      <c r="D50" s="196"/>
      <c r="E50" s="196"/>
      <c r="F50" s="197"/>
      <c r="G50" s="196"/>
    </row>
    <row r="51" spans="1:7">
      <c r="A51" s="188">
        <v>48</v>
      </c>
      <c r="B51" s="196"/>
      <c r="C51" s="196"/>
      <c r="D51" s="196"/>
      <c r="E51" s="196"/>
      <c r="F51" s="197"/>
      <c r="G51" s="196"/>
    </row>
    <row r="52" spans="1:7">
      <c r="A52" s="188">
        <v>49</v>
      </c>
      <c r="B52" s="196"/>
      <c r="C52" s="196"/>
      <c r="D52" s="196"/>
      <c r="E52" s="196"/>
      <c r="F52" s="197"/>
      <c r="G52" s="196"/>
    </row>
    <row r="53" spans="1:7">
      <c r="A53" s="188">
        <v>50</v>
      </c>
      <c r="B53" s="196"/>
      <c r="C53" s="196"/>
      <c r="D53" s="196"/>
      <c r="E53" s="196"/>
      <c r="F53" s="197"/>
      <c r="G53" s="196"/>
    </row>
    <row r="54" spans="1:7">
      <c r="A54" s="188">
        <v>51</v>
      </c>
      <c r="B54" s="196"/>
      <c r="C54" s="196"/>
      <c r="D54" s="196"/>
      <c r="E54" s="196"/>
      <c r="F54" s="197"/>
      <c r="G54" s="196"/>
    </row>
    <row r="55" spans="1:7">
      <c r="A55" s="188">
        <v>52</v>
      </c>
      <c r="B55" s="196"/>
      <c r="C55" s="196"/>
      <c r="D55" s="196"/>
      <c r="E55" s="196"/>
      <c r="F55" s="197"/>
      <c r="G55" s="196"/>
    </row>
    <row r="56" spans="1:7">
      <c r="A56" s="188">
        <v>53</v>
      </c>
      <c r="B56" s="196"/>
      <c r="C56" s="196"/>
      <c r="D56" s="196"/>
      <c r="E56" s="196"/>
      <c r="F56" s="197"/>
      <c r="G56" s="196"/>
    </row>
    <row r="57" spans="1:7">
      <c r="A57" s="188">
        <v>54</v>
      </c>
      <c r="B57" s="196"/>
      <c r="C57" s="196"/>
      <c r="D57" s="196"/>
      <c r="E57" s="196"/>
      <c r="F57" s="197"/>
      <c r="G57" s="196"/>
    </row>
    <row r="58" spans="1:7">
      <c r="A58" s="188">
        <v>55</v>
      </c>
      <c r="B58" s="196"/>
      <c r="C58" s="196"/>
      <c r="D58" s="196"/>
      <c r="E58" s="196"/>
      <c r="F58" s="197"/>
      <c r="G58" s="196"/>
    </row>
    <row r="59" spans="1:7">
      <c r="A59" s="188">
        <v>56</v>
      </c>
      <c r="B59" s="196"/>
      <c r="C59" s="196"/>
      <c r="D59" s="196"/>
      <c r="E59" s="196"/>
      <c r="F59" s="197"/>
      <c r="G59" s="196"/>
    </row>
    <row r="60" spans="1:7">
      <c r="A60" s="188">
        <v>57</v>
      </c>
      <c r="B60" s="196"/>
      <c r="C60" s="196"/>
      <c r="D60" s="196"/>
      <c r="E60" s="196"/>
      <c r="F60" s="197"/>
      <c r="G60" s="196"/>
    </row>
    <row r="61" spans="1:7">
      <c r="A61" s="188">
        <v>58</v>
      </c>
      <c r="B61" s="196"/>
      <c r="C61" s="196"/>
      <c r="D61" s="196"/>
      <c r="E61" s="196"/>
      <c r="F61" s="197"/>
      <c r="G61" s="196"/>
    </row>
    <row r="62" spans="1:7">
      <c r="A62" s="188">
        <v>59</v>
      </c>
      <c r="B62" s="196"/>
      <c r="C62" s="196"/>
      <c r="D62" s="196"/>
      <c r="E62" s="196"/>
      <c r="F62" s="197"/>
      <c r="G62" s="196"/>
    </row>
    <row r="63" spans="1:7">
      <c r="A63" s="188">
        <v>60</v>
      </c>
      <c r="B63" s="196"/>
      <c r="C63" s="196"/>
      <c r="D63" s="196"/>
      <c r="E63" s="196"/>
      <c r="F63" s="197"/>
      <c r="G63" s="196"/>
    </row>
    <row r="64" spans="1:7">
      <c r="A64" s="188">
        <v>61</v>
      </c>
      <c r="B64" s="196"/>
      <c r="C64" s="196"/>
      <c r="D64" s="196"/>
      <c r="E64" s="196"/>
      <c r="F64" s="197"/>
      <c r="G64" s="196"/>
    </row>
    <row r="65" spans="1:7">
      <c r="A65" s="188">
        <v>62</v>
      </c>
      <c r="B65" s="196"/>
      <c r="C65" s="196"/>
      <c r="D65" s="196"/>
      <c r="E65" s="196"/>
      <c r="F65" s="197"/>
      <c r="G65" s="196"/>
    </row>
    <row r="66" spans="1:7">
      <c r="A66" s="188">
        <v>63</v>
      </c>
      <c r="B66" s="196"/>
      <c r="C66" s="196"/>
      <c r="D66" s="196"/>
      <c r="E66" s="196"/>
      <c r="F66" s="197"/>
      <c r="G66" s="196"/>
    </row>
    <row r="67" spans="1:7">
      <c r="A67" s="188">
        <v>64</v>
      </c>
      <c r="B67" s="196"/>
      <c r="C67" s="196"/>
      <c r="D67" s="196"/>
      <c r="E67" s="196"/>
      <c r="F67" s="197"/>
      <c r="G67" s="196"/>
    </row>
    <row r="68" spans="1:7">
      <c r="A68" s="188">
        <v>65</v>
      </c>
      <c r="B68" s="196"/>
      <c r="C68" s="196"/>
      <c r="D68" s="196"/>
      <c r="E68" s="196"/>
      <c r="F68" s="197"/>
      <c r="G68" s="196"/>
    </row>
    <row r="69" spans="1:7">
      <c r="A69" s="188">
        <v>66</v>
      </c>
      <c r="B69" s="196"/>
      <c r="C69" s="196"/>
      <c r="D69" s="196"/>
      <c r="E69" s="196"/>
      <c r="F69" s="197"/>
      <c r="G69" s="196"/>
    </row>
    <row r="70" spans="1:7">
      <c r="A70" s="188">
        <v>67</v>
      </c>
      <c r="B70" s="196"/>
      <c r="C70" s="196"/>
      <c r="D70" s="196"/>
      <c r="E70" s="196"/>
      <c r="F70" s="197"/>
      <c r="G70" s="196"/>
    </row>
    <row r="71" spans="1:7">
      <c r="A71" s="188">
        <v>68</v>
      </c>
      <c r="B71" s="196"/>
      <c r="C71" s="196"/>
      <c r="D71" s="196"/>
      <c r="E71" s="196"/>
      <c r="F71" s="197"/>
      <c r="G71" s="196"/>
    </row>
    <row r="72" spans="1:7">
      <c r="A72" s="188">
        <v>69</v>
      </c>
      <c r="B72" s="196"/>
      <c r="C72" s="196"/>
      <c r="D72" s="196"/>
      <c r="E72" s="196"/>
      <c r="F72" s="197"/>
      <c r="G72" s="196"/>
    </row>
    <row r="73" spans="1:7">
      <c r="A73" s="188">
        <v>70</v>
      </c>
      <c r="B73" s="196"/>
      <c r="C73" s="196"/>
      <c r="D73" s="196"/>
      <c r="E73" s="196"/>
      <c r="F73" s="197"/>
      <c r="G73" s="196"/>
    </row>
    <row r="74" spans="1:7">
      <c r="A74" s="188">
        <v>71</v>
      </c>
      <c r="B74" s="196"/>
      <c r="C74" s="196"/>
      <c r="D74" s="196"/>
      <c r="E74" s="196"/>
      <c r="F74" s="197"/>
      <c r="G74" s="196"/>
    </row>
    <row r="75" spans="1:7">
      <c r="A75" s="188">
        <v>72</v>
      </c>
      <c r="B75" s="196"/>
      <c r="C75" s="196"/>
      <c r="D75" s="196"/>
      <c r="E75" s="196"/>
      <c r="F75" s="197"/>
      <c r="G75" s="196"/>
    </row>
    <row r="76" spans="1:7">
      <c r="A76" s="188">
        <v>73</v>
      </c>
      <c r="B76" s="196"/>
      <c r="C76" s="196"/>
      <c r="D76" s="196"/>
      <c r="E76" s="196"/>
      <c r="F76" s="197"/>
      <c r="G76" s="196"/>
    </row>
    <row r="77" spans="1:7">
      <c r="A77" s="188">
        <v>74</v>
      </c>
      <c r="B77" s="196"/>
      <c r="C77" s="196"/>
      <c r="D77" s="196"/>
      <c r="E77" s="196"/>
      <c r="F77" s="197"/>
      <c r="G77" s="196"/>
    </row>
    <row r="78" spans="1:7">
      <c r="A78" s="188">
        <v>75</v>
      </c>
      <c r="B78" s="196"/>
      <c r="C78" s="196"/>
      <c r="D78" s="196"/>
      <c r="E78" s="196"/>
      <c r="F78" s="197"/>
      <c r="G78" s="196"/>
    </row>
    <row r="79" spans="1:7">
      <c r="A79" s="188">
        <v>76</v>
      </c>
      <c r="B79" s="196"/>
      <c r="C79" s="196"/>
      <c r="D79" s="196"/>
      <c r="E79" s="196"/>
      <c r="F79" s="197"/>
      <c r="G79" s="196"/>
    </row>
    <row r="80" spans="1:7">
      <c r="A80" s="188">
        <v>77</v>
      </c>
      <c r="B80" s="196"/>
      <c r="C80" s="196"/>
      <c r="D80" s="196"/>
      <c r="E80" s="196"/>
      <c r="F80" s="197"/>
      <c r="G80" s="196"/>
    </row>
    <row r="81" spans="1:7">
      <c r="A81" s="188">
        <v>78</v>
      </c>
      <c r="B81" s="196"/>
      <c r="C81" s="196"/>
      <c r="D81" s="196"/>
      <c r="E81" s="196"/>
      <c r="F81" s="197"/>
      <c r="G81" s="196"/>
    </row>
    <row r="82" spans="1:7">
      <c r="A82" s="188">
        <v>79</v>
      </c>
      <c r="B82" s="196"/>
      <c r="C82" s="196"/>
      <c r="D82" s="196"/>
      <c r="E82" s="196"/>
      <c r="F82" s="197"/>
      <c r="G82" s="196"/>
    </row>
    <row r="83" spans="1:7">
      <c r="A83" s="188">
        <v>80</v>
      </c>
      <c r="B83" s="196"/>
      <c r="C83" s="196"/>
      <c r="D83" s="196"/>
      <c r="E83" s="196"/>
      <c r="F83" s="197"/>
      <c r="G83" s="196"/>
    </row>
    <row r="84" spans="1:7">
      <c r="A84" s="188">
        <v>81</v>
      </c>
      <c r="B84" s="196"/>
      <c r="C84" s="196"/>
      <c r="D84" s="196"/>
      <c r="E84" s="196"/>
      <c r="F84" s="197"/>
      <c r="G84" s="196"/>
    </row>
    <row r="85" spans="1:7">
      <c r="A85" s="188">
        <v>82</v>
      </c>
      <c r="B85" s="196"/>
      <c r="C85" s="196"/>
      <c r="D85" s="196"/>
      <c r="E85" s="196"/>
      <c r="F85" s="197"/>
      <c r="G85" s="196"/>
    </row>
    <row r="86" spans="1:7">
      <c r="A86" s="188">
        <v>83</v>
      </c>
      <c r="B86" s="196"/>
      <c r="C86" s="196"/>
      <c r="D86" s="196"/>
      <c r="E86" s="196"/>
      <c r="F86" s="197"/>
      <c r="G86" s="196"/>
    </row>
    <row r="87" spans="1:7">
      <c r="A87" s="188">
        <v>84</v>
      </c>
      <c r="B87" s="196"/>
      <c r="C87" s="196"/>
      <c r="D87" s="196"/>
      <c r="E87" s="196"/>
      <c r="F87" s="197"/>
      <c r="G87" s="196"/>
    </row>
    <row r="88" spans="1:7">
      <c r="A88" s="188">
        <v>85</v>
      </c>
      <c r="B88" s="196"/>
      <c r="C88" s="196"/>
      <c r="D88" s="196"/>
      <c r="E88" s="196"/>
      <c r="F88" s="197"/>
      <c r="G88" s="196"/>
    </row>
    <row r="89" spans="1:7">
      <c r="A89" s="188">
        <v>86</v>
      </c>
      <c r="B89" s="196"/>
      <c r="C89" s="196"/>
      <c r="D89" s="196"/>
      <c r="E89" s="196"/>
      <c r="F89" s="197"/>
      <c r="G89" s="196"/>
    </row>
    <row r="90" spans="1:7">
      <c r="A90" s="188">
        <v>87</v>
      </c>
      <c r="B90" s="196"/>
      <c r="C90" s="196"/>
      <c r="D90" s="196"/>
      <c r="E90" s="196"/>
      <c r="F90" s="197"/>
      <c r="G90" s="196"/>
    </row>
    <row r="91" spans="1:7">
      <c r="A91" s="188">
        <v>88</v>
      </c>
      <c r="B91" s="196"/>
      <c r="C91" s="196"/>
      <c r="D91" s="196"/>
      <c r="E91" s="196"/>
      <c r="F91" s="197"/>
      <c r="G91" s="196"/>
    </row>
    <row r="92" spans="1:7">
      <c r="A92" s="188">
        <v>89</v>
      </c>
      <c r="B92" s="196"/>
      <c r="C92" s="196"/>
      <c r="D92" s="196"/>
      <c r="E92" s="196"/>
      <c r="F92" s="197"/>
      <c r="G92" s="196"/>
    </row>
    <row r="93" spans="1:7">
      <c r="A93" s="188">
        <v>90</v>
      </c>
      <c r="B93" s="196"/>
      <c r="C93" s="196"/>
      <c r="D93" s="196"/>
      <c r="E93" s="196"/>
      <c r="F93" s="197"/>
      <c r="G93" s="196"/>
    </row>
    <row r="94" spans="1:7">
      <c r="A94" s="188">
        <v>91</v>
      </c>
      <c r="B94" s="196"/>
      <c r="C94" s="196"/>
      <c r="D94" s="196"/>
      <c r="E94" s="196"/>
      <c r="F94" s="197"/>
      <c r="G94" s="196"/>
    </row>
    <row r="95" spans="1:7">
      <c r="A95" s="188">
        <v>92</v>
      </c>
      <c r="B95" s="196"/>
      <c r="C95" s="196"/>
      <c r="D95" s="196"/>
      <c r="E95" s="196"/>
      <c r="F95" s="197"/>
      <c r="G95" s="196"/>
    </row>
    <row r="96" spans="1:7">
      <c r="A96" s="188">
        <v>93</v>
      </c>
      <c r="B96" s="196"/>
      <c r="C96" s="196"/>
      <c r="D96" s="196"/>
      <c r="E96" s="196"/>
      <c r="F96" s="197"/>
      <c r="G96" s="196"/>
    </row>
    <row r="97" spans="1:7">
      <c r="A97" s="188">
        <v>94</v>
      </c>
      <c r="B97" s="196"/>
      <c r="C97" s="196"/>
      <c r="D97" s="196"/>
      <c r="E97" s="196"/>
      <c r="F97" s="197"/>
      <c r="G97" s="196"/>
    </row>
    <row r="98" spans="1:7">
      <c r="A98" s="188">
        <v>95</v>
      </c>
      <c r="B98" s="196"/>
      <c r="C98" s="196"/>
      <c r="D98" s="196"/>
      <c r="E98" s="196"/>
      <c r="F98" s="197"/>
      <c r="G98" s="196"/>
    </row>
    <row r="99" spans="1:7">
      <c r="A99" s="188">
        <v>96</v>
      </c>
      <c r="B99" s="196"/>
      <c r="C99" s="196"/>
      <c r="D99" s="196"/>
      <c r="E99" s="196"/>
      <c r="F99" s="197"/>
      <c r="G99" s="196"/>
    </row>
    <row r="100" spans="1:7">
      <c r="A100" s="188">
        <v>97</v>
      </c>
      <c r="B100" s="196"/>
      <c r="C100" s="196"/>
      <c r="D100" s="196"/>
      <c r="E100" s="196"/>
      <c r="F100" s="197"/>
      <c r="G100" s="196"/>
    </row>
    <row r="101" spans="1:7">
      <c r="A101" s="188">
        <v>98</v>
      </c>
      <c r="B101" s="196"/>
      <c r="C101" s="196"/>
      <c r="D101" s="196"/>
      <c r="E101" s="196"/>
      <c r="F101" s="197"/>
      <c r="G101" s="196"/>
    </row>
    <row r="102" spans="1:7">
      <c r="A102" s="188">
        <v>99</v>
      </c>
      <c r="B102" s="196"/>
      <c r="C102" s="196"/>
      <c r="D102" s="196"/>
      <c r="E102" s="196"/>
      <c r="F102" s="197"/>
      <c r="G102" s="196"/>
    </row>
    <row r="103" spans="1:7">
      <c r="A103" s="188">
        <v>100</v>
      </c>
      <c r="B103" s="196"/>
      <c r="C103" s="196"/>
      <c r="D103" s="196"/>
      <c r="E103" s="196"/>
      <c r="F103" s="197"/>
      <c r="G103" s="196"/>
    </row>
    <row r="104" spans="1:7">
      <c r="A104" s="188">
        <v>101</v>
      </c>
      <c r="B104" s="196"/>
      <c r="C104" s="196"/>
      <c r="D104" s="196"/>
      <c r="E104" s="196"/>
      <c r="F104" s="197"/>
      <c r="G104" s="196"/>
    </row>
    <row r="105" spans="1:7">
      <c r="A105" s="188">
        <v>102</v>
      </c>
      <c r="B105" s="196"/>
      <c r="C105" s="196"/>
      <c r="D105" s="196"/>
      <c r="E105" s="196"/>
      <c r="F105" s="197"/>
      <c r="G105" s="196"/>
    </row>
    <row r="106" spans="1:7">
      <c r="A106" s="188">
        <v>103</v>
      </c>
      <c r="B106" s="196"/>
      <c r="C106" s="196"/>
      <c r="D106" s="196"/>
      <c r="E106" s="196"/>
      <c r="F106" s="197"/>
      <c r="G106" s="196"/>
    </row>
    <row r="107" spans="1:7">
      <c r="A107" s="188">
        <v>104</v>
      </c>
      <c r="B107" s="196"/>
      <c r="C107" s="196"/>
      <c r="D107" s="196"/>
      <c r="E107" s="196"/>
      <c r="F107" s="197"/>
      <c r="G107" s="196"/>
    </row>
    <row r="108" spans="1:7">
      <c r="A108" s="188">
        <v>105</v>
      </c>
      <c r="B108" s="196"/>
      <c r="C108" s="196"/>
      <c r="D108" s="196"/>
      <c r="E108" s="196"/>
      <c r="F108" s="197"/>
      <c r="G108" s="196"/>
    </row>
    <row r="109" spans="1:7">
      <c r="A109" s="188">
        <v>106</v>
      </c>
      <c r="B109" s="196"/>
      <c r="C109" s="196"/>
      <c r="D109" s="196"/>
      <c r="E109" s="196"/>
      <c r="F109" s="197"/>
      <c r="G109" s="196"/>
    </row>
    <row r="110" spans="1:7">
      <c r="A110" s="188">
        <v>107</v>
      </c>
      <c r="B110" s="196" t="s">
        <v>594</v>
      </c>
      <c r="C110" s="196"/>
      <c r="D110" s="196"/>
      <c r="E110" s="196"/>
      <c r="F110" s="197"/>
      <c r="G110" s="196"/>
    </row>
    <row r="111" spans="1:7">
      <c r="A111" s="188">
        <v>108</v>
      </c>
      <c r="B111" s="196" t="s">
        <v>593</v>
      </c>
      <c r="C111" s="196"/>
      <c r="D111" s="196"/>
      <c r="E111" s="196"/>
      <c r="F111" s="197"/>
      <c r="G111" s="196"/>
    </row>
    <row r="112" spans="1:7">
      <c r="A112" s="188">
        <v>109</v>
      </c>
      <c r="B112" s="196" t="s">
        <v>592</v>
      </c>
      <c r="C112" s="196"/>
      <c r="D112" s="196"/>
      <c r="E112" s="196"/>
      <c r="F112" s="197"/>
      <c r="G112" s="196"/>
    </row>
    <row r="113" spans="1:7">
      <c r="A113" s="188">
        <v>110</v>
      </c>
      <c r="B113" s="196" t="s">
        <v>591</v>
      </c>
      <c r="C113" s="196"/>
      <c r="D113" s="196"/>
      <c r="E113" s="196"/>
      <c r="F113" s="197"/>
      <c r="G113" s="196"/>
    </row>
    <row r="114" spans="1:7">
      <c r="A114" s="188">
        <v>111</v>
      </c>
      <c r="B114" s="196" t="s">
        <v>590</v>
      </c>
      <c r="C114" s="196"/>
      <c r="D114" s="196"/>
      <c r="E114" s="196"/>
      <c r="F114" s="197"/>
      <c r="G114" s="196"/>
    </row>
    <row r="115" spans="1:7">
      <c r="A115" s="188">
        <v>112</v>
      </c>
      <c r="B115" s="196" t="s">
        <v>589</v>
      </c>
      <c r="C115" s="196"/>
      <c r="D115" s="196"/>
      <c r="E115" s="196"/>
      <c r="F115" s="197"/>
      <c r="G115" s="196"/>
    </row>
    <row r="116" spans="1:7">
      <c r="A116" s="188">
        <v>113</v>
      </c>
      <c r="B116" s="196" t="s">
        <v>588</v>
      </c>
      <c r="C116" s="196"/>
      <c r="D116" s="196"/>
      <c r="E116" s="196"/>
      <c r="F116" s="197"/>
      <c r="G116" s="196"/>
    </row>
    <row r="117" spans="1:7">
      <c r="A117" s="188">
        <v>114</v>
      </c>
      <c r="B117" s="196" t="s">
        <v>587</v>
      </c>
      <c r="C117" s="196"/>
      <c r="D117" s="196"/>
      <c r="E117" s="196"/>
      <c r="F117" s="197"/>
      <c r="G117" s="196"/>
    </row>
    <row r="118" spans="1:7">
      <c r="A118" s="188">
        <v>115</v>
      </c>
      <c r="B118" s="196" t="s">
        <v>586</v>
      </c>
      <c r="C118" s="196"/>
      <c r="D118" s="196"/>
      <c r="E118" s="196"/>
      <c r="F118" s="197"/>
      <c r="G118" s="196"/>
    </row>
    <row r="119" spans="1:7">
      <c r="A119" s="188">
        <v>116</v>
      </c>
      <c r="B119" s="196" t="s">
        <v>585</v>
      </c>
      <c r="C119" s="196"/>
      <c r="D119" s="196"/>
      <c r="E119" s="196"/>
      <c r="F119" s="197"/>
      <c r="G119" s="196"/>
    </row>
    <row r="120" spans="1:7">
      <c r="A120" s="188">
        <v>117</v>
      </c>
      <c r="B120" s="196" t="s">
        <v>584</v>
      </c>
      <c r="C120" s="196"/>
      <c r="D120" s="196"/>
      <c r="E120" s="196"/>
      <c r="F120" s="197"/>
      <c r="G120" s="196"/>
    </row>
    <row r="121" spans="1:7">
      <c r="A121" s="188">
        <v>118</v>
      </c>
      <c r="B121" s="196" t="s">
        <v>583</v>
      </c>
      <c r="C121" s="196"/>
      <c r="D121" s="196"/>
      <c r="E121" s="196"/>
      <c r="F121" s="197"/>
      <c r="G121" s="196"/>
    </row>
    <row r="122" spans="1:7">
      <c r="A122" s="188">
        <v>119</v>
      </c>
      <c r="B122" s="196" t="s">
        <v>582</v>
      </c>
      <c r="C122" s="196"/>
      <c r="D122" s="196"/>
      <c r="E122" s="196"/>
      <c r="F122" s="197"/>
      <c r="G122" s="196"/>
    </row>
    <row r="123" spans="1:7">
      <c r="A123" s="188">
        <v>120</v>
      </c>
      <c r="B123" s="196" t="s">
        <v>581</v>
      </c>
      <c r="C123" s="196"/>
      <c r="D123" s="196"/>
      <c r="E123" s="196"/>
      <c r="F123" s="197"/>
      <c r="G123" s="196"/>
    </row>
    <row r="124" spans="1:7">
      <c r="A124" s="188">
        <v>121</v>
      </c>
      <c r="B124" s="196" t="s">
        <v>580</v>
      </c>
      <c r="C124" s="196"/>
      <c r="D124" s="196"/>
      <c r="E124" s="196"/>
      <c r="F124" s="197"/>
      <c r="G124" s="196"/>
    </row>
    <row r="125" spans="1:7">
      <c r="A125" s="188">
        <v>122</v>
      </c>
      <c r="B125" s="196" t="s">
        <v>579</v>
      </c>
      <c r="C125" s="196"/>
      <c r="D125" s="196"/>
      <c r="E125" s="196"/>
      <c r="F125" s="197"/>
      <c r="G125" s="196"/>
    </row>
    <row r="126" spans="1:7">
      <c r="A126" s="188">
        <v>123</v>
      </c>
      <c r="B126" s="196" t="s">
        <v>578</v>
      </c>
      <c r="C126" s="196"/>
      <c r="D126" s="196"/>
      <c r="E126" s="196"/>
      <c r="F126" s="197"/>
      <c r="G126" s="196"/>
    </row>
    <row r="127" spans="1:7">
      <c r="A127" s="188">
        <v>124</v>
      </c>
      <c r="B127" s="196" t="s">
        <v>577</v>
      </c>
      <c r="C127" s="196"/>
      <c r="D127" s="196"/>
      <c r="E127" s="196"/>
      <c r="F127" s="197"/>
      <c r="G127" s="196"/>
    </row>
    <row r="128" spans="1:7">
      <c r="A128" s="188">
        <v>125</v>
      </c>
      <c r="B128" s="196" t="s">
        <v>576</v>
      </c>
      <c r="C128" s="196"/>
      <c r="D128" s="196"/>
      <c r="E128" s="196"/>
      <c r="F128" s="197"/>
      <c r="G128" s="196"/>
    </row>
    <row r="129" spans="1:7">
      <c r="A129" s="188">
        <v>126</v>
      </c>
      <c r="B129" s="196" t="s">
        <v>575</v>
      </c>
      <c r="C129" s="196"/>
      <c r="D129" s="196"/>
      <c r="E129" s="196"/>
      <c r="F129" s="197"/>
      <c r="G129" s="196"/>
    </row>
    <row r="130" spans="1:7">
      <c r="A130" s="188">
        <v>127</v>
      </c>
      <c r="B130" s="196" t="s">
        <v>574</v>
      </c>
      <c r="C130" s="196"/>
      <c r="D130" s="196"/>
      <c r="E130" s="196"/>
      <c r="F130" s="197"/>
      <c r="G130" s="196"/>
    </row>
    <row r="131" spans="1:7">
      <c r="A131" s="188">
        <v>128</v>
      </c>
      <c r="B131" s="196" t="s">
        <v>573</v>
      </c>
      <c r="C131" s="196"/>
      <c r="D131" s="196"/>
      <c r="E131" s="196"/>
      <c r="F131" s="197"/>
      <c r="G131" s="196"/>
    </row>
    <row r="132" spans="1:7">
      <c r="A132" s="188">
        <v>129</v>
      </c>
      <c r="B132" s="196" t="s">
        <v>572</v>
      </c>
      <c r="C132" s="196"/>
      <c r="D132" s="196"/>
      <c r="E132" s="196"/>
      <c r="F132" s="197"/>
      <c r="G132" s="196"/>
    </row>
    <row r="133" spans="1:7">
      <c r="A133" s="188">
        <v>130</v>
      </c>
      <c r="B133" s="196" t="s">
        <v>571</v>
      </c>
      <c r="C133" s="196"/>
      <c r="D133" s="196"/>
      <c r="E133" s="196"/>
      <c r="F133" s="197"/>
      <c r="G133" s="196"/>
    </row>
    <row r="134" spans="1:7">
      <c r="A134" s="188">
        <v>131</v>
      </c>
      <c r="B134" s="196" t="s">
        <v>570</v>
      </c>
      <c r="C134" s="196"/>
      <c r="D134" s="196"/>
      <c r="E134" s="196"/>
      <c r="F134" s="197"/>
      <c r="G134" s="196"/>
    </row>
    <row r="135" spans="1:7">
      <c r="A135" s="188">
        <v>132</v>
      </c>
      <c r="B135" s="196" t="s">
        <v>569</v>
      </c>
      <c r="C135" s="196"/>
      <c r="D135" s="196"/>
      <c r="E135" s="196"/>
      <c r="F135" s="197"/>
      <c r="G135" s="196"/>
    </row>
    <row r="136" spans="1:7">
      <c r="A136" s="188">
        <v>133</v>
      </c>
      <c r="B136" s="196" t="s">
        <v>568</v>
      </c>
      <c r="C136" s="196"/>
      <c r="D136" s="196"/>
      <c r="E136" s="196"/>
      <c r="F136" s="197"/>
      <c r="G136" s="196"/>
    </row>
    <row r="137" spans="1:7">
      <c r="A137" s="188">
        <v>134</v>
      </c>
      <c r="B137" s="196" t="s">
        <v>567</v>
      </c>
      <c r="C137" s="196"/>
      <c r="D137" s="196"/>
      <c r="E137" s="196"/>
      <c r="F137" s="197"/>
      <c r="G137" s="196"/>
    </row>
    <row r="138" spans="1:7">
      <c r="A138" s="188">
        <v>135</v>
      </c>
      <c r="B138" s="196" t="s">
        <v>566</v>
      </c>
      <c r="C138" s="196"/>
      <c r="D138" s="196"/>
      <c r="E138" s="196"/>
      <c r="F138" s="197"/>
      <c r="G138" s="196"/>
    </row>
    <row r="139" spans="1:7">
      <c r="A139" s="188">
        <v>136</v>
      </c>
      <c r="B139" s="196" t="s">
        <v>565</v>
      </c>
      <c r="C139" s="196"/>
      <c r="D139" s="196"/>
      <c r="E139" s="196"/>
      <c r="F139" s="197"/>
      <c r="G139" s="196"/>
    </row>
    <row r="140" spans="1:7">
      <c r="A140" s="188">
        <v>137</v>
      </c>
      <c r="B140" s="196" t="s">
        <v>564</v>
      </c>
      <c r="C140" s="196"/>
      <c r="D140" s="196"/>
      <c r="E140" s="196"/>
      <c r="F140" s="197"/>
      <c r="G140" s="196"/>
    </row>
    <row r="141" spans="1:7">
      <c r="A141" s="188">
        <v>138</v>
      </c>
      <c r="B141" s="196" t="s">
        <v>563</v>
      </c>
      <c r="C141" s="196"/>
      <c r="D141" s="196"/>
      <c r="E141" s="196"/>
      <c r="F141" s="197"/>
      <c r="G141" s="196"/>
    </row>
    <row r="142" spans="1:7">
      <c r="A142" s="188">
        <v>139</v>
      </c>
      <c r="B142" s="196" t="s">
        <v>562</v>
      </c>
      <c r="C142" s="196"/>
      <c r="D142" s="196"/>
      <c r="E142" s="196"/>
      <c r="F142" s="197"/>
      <c r="G142" s="196"/>
    </row>
    <row r="143" spans="1:7">
      <c r="A143" s="188">
        <v>140</v>
      </c>
      <c r="B143" s="196" t="s">
        <v>561</v>
      </c>
      <c r="C143" s="196"/>
      <c r="D143" s="196"/>
      <c r="E143" s="196"/>
      <c r="F143" s="197"/>
      <c r="G143" s="196"/>
    </row>
    <row r="144" spans="1:7">
      <c r="A144" s="188">
        <v>141</v>
      </c>
      <c r="B144" s="196" t="s">
        <v>560</v>
      </c>
      <c r="C144" s="196"/>
      <c r="D144" s="196"/>
      <c r="E144" s="196"/>
      <c r="F144" s="197"/>
      <c r="G144" s="196"/>
    </row>
    <row r="145" spans="1:7">
      <c r="A145" s="188">
        <v>142</v>
      </c>
      <c r="B145" s="196" t="s">
        <v>559</v>
      </c>
      <c r="C145" s="196"/>
      <c r="D145" s="196"/>
      <c r="E145" s="196"/>
      <c r="F145" s="197"/>
      <c r="G145" s="196"/>
    </row>
    <row r="146" spans="1:7">
      <c r="A146" s="188">
        <v>143</v>
      </c>
      <c r="B146" s="196" t="s">
        <v>558</v>
      </c>
      <c r="C146" s="196"/>
      <c r="D146" s="196"/>
      <c r="E146" s="196"/>
      <c r="F146" s="197"/>
      <c r="G146" s="196"/>
    </row>
    <row r="147" spans="1:7">
      <c r="A147" s="188">
        <v>144</v>
      </c>
      <c r="B147" s="196" t="s">
        <v>557</v>
      </c>
      <c r="C147" s="196"/>
      <c r="D147" s="196"/>
      <c r="E147" s="196"/>
      <c r="F147" s="197"/>
      <c r="G147" s="196"/>
    </row>
    <row r="148" spans="1:7">
      <c r="A148" s="188">
        <v>145</v>
      </c>
      <c r="B148" s="196" t="s">
        <v>556</v>
      </c>
      <c r="C148" s="196"/>
      <c r="D148" s="196"/>
      <c r="E148" s="196"/>
      <c r="F148" s="197"/>
      <c r="G148" s="196"/>
    </row>
    <row r="149" spans="1:7">
      <c r="A149" s="188">
        <v>146</v>
      </c>
      <c r="B149" s="196" t="s">
        <v>555</v>
      </c>
      <c r="C149" s="196"/>
      <c r="D149" s="196"/>
      <c r="E149" s="196"/>
      <c r="F149" s="197"/>
      <c r="G149" s="196"/>
    </row>
    <row r="150" spans="1:7">
      <c r="A150" s="188">
        <v>147</v>
      </c>
      <c r="B150" s="196" t="s">
        <v>554</v>
      </c>
      <c r="C150" s="196"/>
      <c r="D150" s="196"/>
      <c r="E150" s="196"/>
      <c r="F150" s="197"/>
      <c r="G150" s="196"/>
    </row>
    <row r="151" spans="1:7">
      <c r="A151" s="188">
        <v>148</v>
      </c>
      <c r="B151" s="196" t="s">
        <v>553</v>
      </c>
      <c r="C151" s="196"/>
      <c r="D151" s="196"/>
      <c r="E151" s="196"/>
      <c r="F151" s="197"/>
      <c r="G151" s="196"/>
    </row>
    <row r="152" spans="1:7">
      <c r="A152" s="188">
        <v>149</v>
      </c>
      <c r="B152" s="196" t="s">
        <v>552</v>
      </c>
      <c r="C152" s="196"/>
      <c r="D152" s="196"/>
      <c r="E152" s="196"/>
      <c r="F152" s="197"/>
      <c r="G152" s="196"/>
    </row>
    <row r="153" spans="1:7">
      <c r="A153" s="188">
        <v>150</v>
      </c>
      <c r="B153" s="196" t="s">
        <v>551</v>
      </c>
      <c r="C153" s="196"/>
      <c r="D153" s="196"/>
      <c r="E153" s="196"/>
      <c r="F153" s="197"/>
      <c r="G153" s="196"/>
    </row>
    <row r="154" spans="1:7">
      <c r="A154" s="188">
        <v>151</v>
      </c>
      <c r="B154" s="196" t="s">
        <v>550</v>
      </c>
      <c r="C154" s="196"/>
      <c r="D154" s="196"/>
      <c r="E154" s="196"/>
      <c r="F154" s="197"/>
      <c r="G154" s="196"/>
    </row>
    <row r="155" spans="1:7">
      <c r="A155" s="188">
        <v>152</v>
      </c>
      <c r="B155" s="196" t="s">
        <v>549</v>
      </c>
      <c r="C155" s="196"/>
      <c r="D155" s="196"/>
      <c r="E155" s="196"/>
      <c r="F155" s="197"/>
      <c r="G155" s="196"/>
    </row>
    <row r="156" spans="1:7">
      <c r="A156" s="188">
        <v>153</v>
      </c>
      <c r="B156" s="196" t="s">
        <v>548</v>
      </c>
      <c r="C156" s="196"/>
      <c r="D156" s="196"/>
      <c r="E156" s="196"/>
      <c r="F156" s="197"/>
      <c r="G156" s="196"/>
    </row>
    <row r="157" spans="1:7">
      <c r="A157" s="188">
        <v>154</v>
      </c>
      <c r="B157" s="196" t="s">
        <v>547</v>
      </c>
      <c r="C157" s="196"/>
      <c r="D157" s="196"/>
      <c r="E157" s="196"/>
      <c r="F157" s="197"/>
      <c r="G157" s="196"/>
    </row>
    <row r="158" spans="1:7">
      <c r="A158" s="188">
        <v>155</v>
      </c>
      <c r="B158" s="196" t="s">
        <v>546</v>
      </c>
      <c r="C158" s="196"/>
      <c r="D158" s="196"/>
      <c r="E158" s="196"/>
      <c r="F158" s="197"/>
      <c r="G158" s="196"/>
    </row>
    <row r="159" spans="1:7">
      <c r="A159" s="188">
        <v>156</v>
      </c>
      <c r="B159" s="196" t="s">
        <v>545</v>
      </c>
      <c r="C159" s="196"/>
      <c r="D159" s="196"/>
      <c r="E159" s="196"/>
      <c r="F159" s="197"/>
      <c r="G159" s="196"/>
    </row>
    <row r="160" spans="1:7">
      <c r="A160" s="188">
        <v>157</v>
      </c>
      <c r="B160" s="196" t="s">
        <v>544</v>
      </c>
      <c r="C160" s="196"/>
      <c r="D160" s="196"/>
      <c r="E160" s="196"/>
      <c r="F160" s="197"/>
      <c r="G160" s="196"/>
    </row>
    <row r="161" spans="1:7">
      <c r="A161" s="188">
        <v>158</v>
      </c>
      <c r="B161" s="196" t="s">
        <v>543</v>
      </c>
      <c r="C161" s="196"/>
      <c r="D161" s="196"/>
      <c r="E161" s="196"/>
      <c r="F161" s="197"/>
      <c r="G161" s="196"/>
    </row>
    <row r="162" spans="1:7">
      <c r="A162" s="188">
        <v>159</v>
      </c>
      <c r="B162" s="196" t="s">
        <v>542</v>
      </c>
      <c r="C162" s="196"/>
      <c r="D162" s="196"/>
      <c r="E162" s="196"/>
      <c r="F162" s="197"/>
      <c r="G162" s="196"/>
    </row>
    <row r="163" spans="1:7">
      <c r="A163" s="188">
        <v>160</v>
      </c>
      <c r="B163" s="196" t="s">
        <v>541</v>
      </c>
      <c r="C163" s="196"/>
      <c r="D163" s="196"/>
      <c r="E163" s="196"/>
      <c r="F163" s="197"/>
      <c r="G163" s="196"/>
    </row>
    <row r="164" spans="1:7">
      <c r="A164" s="188">
        <v>161</v>
      </c>
      <c r="B164" s="196" t="s">
        <v>540</v>
      </c>
      <c r="C164" s="196"/>
      <c r="D164" s="196"/>
      <c r="E164" s="196"/>
      <c r="F164" s="197"/>
      <c r="G164" s="196"/>
    </row>
    <row r="165" spans="1:7">
      <c r="A165" s="188">
        <v>162</v>
      </c>
      <c r="B165" s="196" t="s">
        <v>539</v>
      </c>
      <c r="C165" s="196"/>
      <c r="D165" s="196"/>
      <c r="E165" s="196"/>
      <c r="F165" s="197"/>
      <c r="G165" s="196"/>
    </row>
    <row r="166" spans="1:7">
      <c r="A166" s="188">
        <v>163</v>
      </c>
      <c r="B166" s="196" t="s">
        <v>538</v>
      </c>
      <c r="C166" s="196"/>
      <c r="D166" s="196"/>
      <c r="E166" s="196"/>
      <c r="F166" s="197"/>
      <c r="G166" s="196"/>
    </row>
    <row r="167" spans="1:7">
      <c r="A167" s="188">
        <v>164</v>
      </c>
      <c r="B167" s="196" t="s">
        <v>537</v>
      </c>
      <c r="C167" s="196"/>
      <c r="D167" s="196"/>
      <c r="E167" s="196"/>
      <c r="F167" s="197"/>
      <c r="G167" s="196"/>
    </row>
    <row r="168" spans="1:7">
      <c r="A168" s="188">
        <v>165</v>
      </c>
      <c r="B168" s="196" t="s">
        <v>536</v>
      </c>
      <c r="C168" s="196"/>
      <c r="D168" s="196"/>
      <c r="E168" s="196"/>
      <c r="F168" s="197"/>
      <c r="G168" s="196"/>
    </row>
    <row r="169" spans="1:7">
      <c r="A169" s="188">
        <v>166</v>
      </c>
      <c r="B169" s="196" t="s">
        <v>535</v>
      </c>
      <c r="C169" s="196"/>
      <c r="D169" s="196"/>
      <c r="E169" s="196"/>
      <c r="F169" s="197"/>
      <c r="G169" s="196"/>
    </row>
    <row r="170" spans="1:7">
      <c r="A170" s="188">
        <v>167</v>
      </c>
      <c r="B170" s="196" t="s">
        <v>534</v>
      </c>
      <c r="C170" s="196"/>
      <c r="D170" s="196"/>
      <c r="E170" s="196"/>
      <c r="F170" s="197"/>
      <c r="G170" s="196"/>
    </row>
    <row r="171" spans="1:7">
      <c r="A171" s="188">
        <v>168</v>
      </c>
      <c r="B171" s="196" t="s">
        <v>533</v>
      </c>
      <c r="C171" s="196"/>
      <c r="D171" s="196"/>
      <c r="E171" s="196"/>
      <c r="F171" s="197"/>
      <c r="G171" s="196"/>
    </row>
    <row r="172" spans="1:7">
      <c r="A172" s="188">
        <v>169</v>
      </c>
      <c r="B172" s="196" t="s">
        <v>532</v>
      </c>
      <c r="C172" s="196"/>
      <c r="D172" s="196"/>
      <c r="E172" s="196"/>
      <c r="F172" s="197"/>
      <c r="G172" s="196"/>
    </row>
    <row r="173" spans="1:7">
      <c r="A173" s="188">
        <v>170</v>
      </c>
      <c r="B173" s="196" t="s">
        <v>531</v>
      </c>
      <c r="C173" s="196"/>
      <c r="D173" s="196"/>
      <c r="E173" s="196"/>
      <c r="F173" s="197"/>
      <c r="G173" s="196"/>
    </row>
    <row r="174" spans="1:7">
      <c r="A174" s="188">
        <v>171</v>
      </c>
      <c r="B174" s="196" t="s">
        <v>530</v>
      </c>
      <c r="C174" s="196"/>
      <c r="D174" s="196"/>
      <c r="E174" s="196"/>
      <c r="F174" s="197"/>
      <c r="G174" s="196"/>
    </row>
    <row r="175" spans="1:7">
      <c r="A175" s="188">
        <v>172</v>
      </c>
      <c r="B175" s="196" t="s">
        <v>529</v>
      </c>
      <c r="C175" s="196"/>
      <c r="D175" s="196"/>
      <c r="E175" s="196"/>
      <c r="F175" s="197"/>
      <c r="G175" s="196"/>
    </row>
    <row r="176" spans="1:7">
      <c r="A176" s="188">
        <v>173</v>
      </c>
      <c r="B176" s="196" t="s">
        <v>528</v>
      </c>
      <c r="C176" s="196"/>
      <c r="D176" s="196"/>
      <c r="E176" s="196"/>
      <c r="F176" s="197"/>
      <c r="G176" s="196"/>
    </row>
    <row r="177" spans="1:7">
      <c r="A177" s="188">
        <v>174</v>
      </c>
      <c r="B177" s="196" t="s">
        <v>527</v>
      </c>
      <c r="C177" s="196"/>
      <c r="D177" s="196"/>
      <c r="E177" s="196"/>
      <c r="F177" s="197"/>
      <c r="G177" s="196"/>
    </row>
    <row r="178" spans="1:7">
      <c r="A178" s="188">
        <v>175</v>
      </c>
      <c r="B178" s="196" t="s">
        <v>526</v>
      </c>
      <c r="C178" s="196"/>
      <c r="D178" s="196"/>
      <c r="E178" s="196"/>
      <c r="F178" s="197"/>
      <c r="G178" s="196"/>
    </row>
    <row r="179" spans="1:7">
      <c r="A179" s="188">
        <v>176</v>
      </c>
      <c r="B179" s="196" t="s">
        <v>525</v>
      </c>
      <c r="C179" s="196"/>
      <c r="D179" s="196"/>
      <c r="E179" s="196"/>
      <c r="F179" s="197"/>
      <c r="G179" s="196"/>
    </row>
    <row r="180" spans="1:7">
      <c r="A180" s="188">
        <v>177</v>
      </c>
      <c r="B180" s="196" t="s">
        <v>524</v>
      </c>
      <c r="C180" s="196"/>
      <c r="D180" s="196"/>
      <c r="E180" s="196"/>
      <c r="F180" s="197"/>
      <c r="G180" s="196"/>
    </row>
    <row r="181" spans="1:7">
      <c r="A181" s="188">
        <v>178</v>
      </c>
      <c r="B181" s="196" t="s">
        <v>523</v>
      </c>
      <c r="C181" s="196"/>
      <c r="D181" s="196"/>
      <c r="E181" s="196"/>
      <c r="F181" s="197"/>
      <c r="G181" s="196"/>
    </row>
    <row r="182" spans="1:7">
      <c r="A182" s="188">
        <v>179</v>
      </c>
      <c r="B182" s="196" t="s">
        <v>522</v>
      </c>
      <c r="C182" s="196"/>
      <c r="D182" s="196"/>
      <c r="E182" s="196"/>
      <c r="F182" s="197"/>
      <c r="G182" s="196"/>
    </row>
    <row r="183" spans="1:7">
      <c r="A183" s="188">
        <v>180</v>
      </c>
      <c r="B183" s="196" t="s">
        <v>521</v>
      </c>
      <c r="C183" s="196"/>
      <c r="D183" s="196"/>
      <c r="E183" s="196"/>
      <c r="F183" s="197"/>
      <c r="G183" s="196"/>
    </row>
    <row r="184" spans="1:7">
      <c r="A184" s="188">
        <v>181</v>
      </c>
      <c r="B184" s="196" t="s">
        <v>520</v>
      </c>
      <c r="C184" s="196"/>
      <c r="D184" s="196"/>
      <c r="E184" s="196"/>
      <c r="F184" s="197"/>
      <c r="G184" s="196"/>
    </row>
    <row r="185" spans="1:7">
      <c r="A185" s="188">
        <v>182</v>
      </c>
      <c r="B185" s="196" t="s">
        <v>519</v>
      </c>
      <c r="C185" s="196"/>
      <c r="D185" s="196"/>
      <c r="E185" s="196"/>
      <c r="F185" s="197"/>
      <c r="G185" s="196"/>
    </row>
    <row r="186" spans="1:7">
      <c r="A186" s="188">
        <v>183</v>
      </c>
      <c r="B186" s="196" t="s">
        <v>518</v>
      </c>
      <c r="C186" s="196"/>
      <c r="D186" s="196"/>
      <c r="E186" s="196"/>
      <c r="F186" s="197"/>
      <c r="G186" s="196"/>
    </row>
    <row r="187" spans="1:7">
      <c r="A187" s="188">
        <v>184</v>
      </c>
      <c r="B187" s="196" t="s">
        <v>517</v>
      </c>
      <c r="C187" s="196"/>
      <c r="D187" s="196"/>
      <c r="E187" s="196"/>
      <c r="F187" s="197"/>
      <c r="G187" s="196"/>
    </row>
    <row r="188" spans="1:7">
      <c r="A188" s="188">
        <v>185</v>
      </c>
      <c r="B188" s="196" t="s">
        <v>516</v>
      </c>
      <c r="C188" s="196"/>
      <c r="D188" s="196"/>
      <c r="E188" s="196"/>
      <c r="F188" s="197"/>
      <c r="G188" s="196"/>
    </row>
    <row r="189" spans="1:7">
      <c r="A189" s="188">
        <v>186</v>
      </c>
      <c r="B189" s="196" t="s">
        <v>515</v>
      </c>
      <c r="C189" s="196"/>
      <c r="D189" s="196"/>
      <c r="E189" s="196"/>
      <c r="F189" s="197"/>
      <c r="G189" s="196"/>
    </row>
    <row r="190" spans="1:7">
      <c r="A190" s="188">
        <v>187</v>
      </c>
      <c r="B190" s="196" t="s">
        <v>514</v>
      </c>
      <c r="C190" s="196"/>
      <c r="D190" s="196"/>
      <c r="E190" s="196"/>
      <c r="F190" s="197"/>
      <c r="G190" s="196"/>
    </row>
    <row r="191" spans="1:7">
      <c r="A191" s="188">
        <v>188</v>
      </c>
      <c r="B191" s="196" t="s">
        <v>513</v>
      </c>
      <c r="C191" s="196"/>
      <c r="D191" s="196"/>
      <c r="E191" s="196"/>
      <c r="F191" s="197"/>
      <c r="G191" s="196"/>
    </row>
    <row r="192" spans="1:7">
      <c r="A192" s="188">
        <v>189</v>
      </c>
      <c r="B192" s="196" t="s">
        <v>512</v>
      </c>
      <c r="C192" s="196"/>
      <c r="D192" s="196"/>
      <c r="E192" s="196"/>
      <c r="F192" s="197"/>
      <c r="G192" s="196"/>
    </row>
    <row r="193" spans="1:7">
      <c r="A193" s="188">
        <v>190</v>
      </c>
      <c r="B193" s="196" t="s">
        <v>511</v>
      </c>
      <c r="C193" s="196"/>
      <c r="D193" s="196"/>
      <c r="E193" s="196"/>
      <c r="F193" s="197"/>
      <c r="G193" s="196"/>
    </row>
    <row r="194" spans="1:7">
      <c r="A194" s="188">
        <v>191</v>
      </c>
      <c r="B194" s="196" t="s">
        <v>510</v>
      </c>
      <c r="C194" s="196"/>
      <c r="D194" s="196"/>
      <c r="E194" s="196"/>
      <c r="F194" s="197"/>
      <c r="G194" s="196"/>
    </row>
    <row r="195" spans="1:7">
      <c r="A195" s="188">
        <v>192</v>
      </c>
      <c r="B195" s="196" t="s">
        <v>509</v>
      </c>
      <c r="C195" s="196"/>
      <c r="D195" s="196"/>
      <c r="E195" s="196"/>
      <c r="F195" s="197"/>
      <c r="G195" s="196"/>
    </row>
    <row r="196" spans="1:7">
      <c r="A196" s="188">
        <v>193</v>
      </c>
      <c r="B196" s="196" t="s">
        <v>508</v>
      </c>
      <c r="C196" s="196"/>
      <c r="D196" s="196"/>
      <c r="E196" s="196"/>
      <c r="F196" s="197"/>
      <c r="G196" s="196"/>
    </row>
    <row r="197" spans="1:7">
      <c r="A197" s="188">
        <v>194</v>
      </c>
      <c r="B197" s="196" t="s">
        <v>507</v>
      </c>
      <c r="C197" s="196"/>
      <c r="D197" s="196"/>
      <c r="E197" s="196"/>
      <c r="F197" s="197"/>
      <c r="G197" s="196"/>
    </row>
    <row r="198" spans="1:7">
      <c r="A198" s="188">
        <v>195</v>
      </c>
      <c r="B198" s="196" t="s">
        <v>506</v>
      </c>
      <c r="C198" s="196"/>
      <c r="D198" s="196"/>
      <c r="E198" s="196"/>
      <c r="F198" s="197"/>
      <c r="G198" s="196"/>
    </row>
    <row r="199" spans="1:7">
      <c r="A199" s="188">
        <v>196</v>
      </c>
      <c r="B199" s="196" t="s">
        <v>505</v>
      </c>
      <c r="C199" s="196"/>
      <c r="D199" s="196"/>
      <c r="E199" s="196"/>
      <c r="F199" s="197"/>
      <c r="G199" s="196"/>
    </row>
    <row r="200" spans="1:7">
      <c r="A200" s="188">
        <v>197</v>
      </c>
      <c r="B200" s="196" t="s">
        <v>504</v>
      </c>
      <c r="C200" s="196"/>
      <c r="D200" s="196"/>
      <c r="E200" s="196"/>
      <c r="F200" s="197"/>
      <c r="G200" s="196"/>
    </row>
    <row r="201" spans="1:7">
      <c r="A201" s="188">
        <v>198</v>
      </c>
      <c r="B201" s="196" t="s">
        <v>503</v>
      </c>
      <c r="C201" s="196"/>
      <c r="D201" s="196"/>
      <c r="E201" s="196"/>
      <c r="F201" s="197"/>
      <c r="G201" s="196"/>
    </row>
    <row r="202" spans="1:7">
      <c r="A202" s="188">
        <v>199</v>
      </c>
      <c r="B202" s="196" t="s">
        <v>502</v>
      </c>
      <c r="C202" s="196"/>
      <c r="D202" s="196"/>
      <c r="E202" s="196"/>
      <c r="F202" s="197"/>
      <c r="G202" s="196"/>
    </row>
    <row r="203" spans="1:7">
      <c r="A203" s="188">
        <v>200</v>
      </c>
      <c r="B203" s="196" t="s">
        <v>501</v>
      </c>
      <c r="C203" s="196"/>
      <c r="D203" s="196"/>
      <c r="E203" s="196"/>
      <c r="F203" s="197"/>
      <c r="G203" s="196"/>
    </row>
    <row r="204" spans="1:7">
      <c r="A204" s="188">
        <v>201</v>
      </c>
      <c r="B204" s="196" t="s">
        <v>500</v>
      </c>
      <c r="C204" s="196"/>
      <c r="D204" s="196"/>
      <c r="E204" s="196"/>
      <c r="F204" s="197"/>
      <c r="G204" s="196"/>
    </row>
    <row r="205" spans="1:7">
      <c r="A205" s="188">
        <v>202</v>
      </c>
      <c r="B205" s="196" t="s">
        <v>499</v>
      </c>
      <c r="C205" s="196"/>
      <c r="D205" s="196"/>
      <c r="E205" s="196"/>
      <c r="F205" s="197"/>
      <c r="G205" s="196"/>
    </row>
    <row r="206" spans="1:7">
      <c r="A206" s="188">
        <v>203</v>
      </c>
      <c r="B206" s="196" t="s">
        <v>498</v>
      </c>
      <c r="C206" s="196"/>
      <c r="D206" s="196"/>
      <c r="E206" s="196"/>
      <c r="F206" s="197"/>
      <c r="G206" s="196"/>
    </row>
    <row r="207" spans="1:7">
      <c r="A207" s="188">
        <v>204</v>
      </c>
      <c r="B207" s="196" t="s">
        <v>497</v>
      </c>
      <c r="C207" s="196"/>
      <c r="D207" s="196"/>
      <c r="E207" s="196"/>
      <c r="F207" s="197"/>
      <c r="G207" s="196"/>
    </row>
    <row r="208" spans="1:7">
      <c r="A208" s="188">
        <v>205</v>
      </c>
      <c r="B208" s="196" t="s">
        <v>496</v>
      </c>
      <c r="C208" s="196"/>
      <c r="D208" s="196"/>
      <c r="E208" s="196"/>
      <c r="F208" s="197"/>
      <c r="G208" s="196"/>
    </row>
    <row r="209" spans="1:7">
      <c r="A209" s="188">
        <v>206</v>
      </c>
      <c r="B209" s="196" t="s">
        <v>495</v>
      </c>
      <c r="C209" s="196"/>
      <c r="D209" s="196"/>
      <c r="E209" s="196"/>
      <c r="F209" s="197"/>
      <c r="G209" s="196"/>
    </row>
    <row r="210" spans="1:7">
      <c r="A210" s="188">
        <v>207</v>
      </c>
      <c r="B210" s="196" t="s">
        <v>494</v>
      </c>
      <c r="C210" s="196"/>
      <c r="D210" s="196"/>
      <c r="E210" s="196"/>
      <c r="F210" s="197"/>
      <c r="G210" s="196"/>
    </row>
    <row r="211" spans="1:7">
      <c r="A211" s="188">
        <v>208</v>
      </c>
      <c r="B211" s="196" t="s">
        <v>493</v>
      </c>
      <c r="C211" s="196"/>
      <c r="D211" s="196"/>
      <c r="E211" s="196"/>
      <c r="F211" s="197"/>
      <c r="G211" s="196"/>
    </row>
    <row r="212" spans="1:7">
      <c r="A212" s="188">
        <v>209</v>
      </c>
      <c r="B212" s="196" t="s">
        <v>492</v>
      </c>
      <c r="C212" s="196"/>
      <c r="D212" s="196"/>
      <c r="E212" s="196"/>
      <c r="F212" s="197"/>
      <c r="G212" s="196"/>
    </row>
    <row r="213" spans="1:7">
      <c r="A213" s="188">
        <v>210</v>
      </c>
      <c r="B213" s="196" t="s">
        <v>491</v>
      </c>
      <c r="C213" s="196"/>
      <c r="D213" s="196"/>
      <c r="E213" s="196"/>
      <c r="F213" s="197"/>
      <c r="G213" s="196"/>
    </row>
    <row r="214" spans="1:7">
      <c r="A214" s="188">
        <v>211</v>
      </c>
      <c r="B214" s="196" t="s">
        <v>490</v>
      </c>
      <c r="C214" s="196"/>
      <c r="D214" s="196"/>
      <c r="E214" s="196"/>
      <c r="F214" s="197"/>
      <c r="G214" s="196"/>
    </row>
    <row r="215" spans="1:7">
      <c r="A215" s="188">
        <v>212</v>
      </c>
      <c r="B215" s="196" t="s">
        <v>489</v>
      </c>
      <c r="C215" s="196"/>
      <c r="D215" s="196"/>
      <c r="E215" s="196"/>
      <c r="F215" s="197"/>
      <c r="G215" s="196"/>
    </row>
    <row r="216" spans="1:7">
      <c r="A216" s="188">
        <v>213</v>
      </c>
      <c r="B216" s="196" t="s">
        <v>488</v>
      </c>
      <c r="C216" s="196"/>
      <c r="D216" s="196"/>
      <c r="E216" s="196"/>
      <c r="F216" s="197"/>
      <c r="G216" s="196"/>
    </row>
    <row r="217" spans="1:7">
      <c r="A217" s="188">
        <v>214</v>
      </c>
      <c r="B217" s="196" t="s">
        <v>487</v>
      </c>
      <c r="C217" s="196"/>
      <c r="D217" s="196"/>
      <c r="E217" s="196"/>
      <c r="F217" s="197"/>
      <c r="G217" s="196"/>
    </row>
    <row r="218" spans="1:7">
      <c r="A218" s="188">
        <v>215</v>
      </c>
      <c r="B218" s="196" t="s">
        <v>486</v>
      </c>
      <c r="C218" s="196"/>
      <c r="D218" s="196"/>
      <c r="E218" s="196"/>
      <c r="F218" s="197"/>
      <c r="G218" s="196"/>
    </row>
    <row r="219" spans="1:7">
      <c r="A219" s="188">
        <v>216</v>
      </c>
      <c r="B219" s="196" t="s">
        <v>485</v>
      </c>
      <c r="C219" s="196"/>
      <c r="D219" s="196"/>
      <c r="E219" s="196"/>
      <c r="F219" s="197"/>
      <c r="G219" s="196"/>
    </row>
    <row r="220" spans="1:7">
      <c r="A220" s="188">
        <v>217</v>
      </c>
      <c r="B220" s="196" t="s">
        <v>484</v>
      </c>
      <c r="C220" s="196"/>
      <c r="D220" s="196"/>
      <c r="E220" s="196"/>
      <c r="F220" s="197"/>
      <c r="G220" s="196"/>
    </row>
    <row r="221" spans="1:7">
      <c r="A221" s="188">
        <v>218</v>
      </c>
      <c r="B221" s="196" t="s">
        <v>483</v>
      </c>
      <c r="C221" s="196"/>
      <c r="D221" s="196"/>
      <c r="E221" s="196"/>
      <c r="F221" s="197"/>
      <c r="G221" s="196"/>
    </row>
    <row r="222" spans="1:7">
      <c r="A222" s="188">
        <v>219</v>
      </c>
      <c r="B222" s="196" t="s">
        <v>482</v>
      </c>
      <c r="C222" s="196"/>
      <c r="D222" s="196"/>
      <c r="E222" s="196"/>
      <c r="F222" s="197"/>
      <c r="G222" s="196"/>
    </row>
    <row r="223" spans="1:7">
      <c r="A223" s="188">
        <v>220</v>
      </c>
      <c r="B223" s="196" t="s">
        <v>481</v>
      </c>
      <c r="C223" s="196"/>
      <c r="D223" s="196"/>
      <c r="E223" s="196"/>
      <c r="F223" s="197"/>
      <c r="G223" s="196"/>
    </row>
    <row r="224" spans="1:7">
      <c r="A224" s="188">
        <v>221</v>
      </c>
      <c r="B224" s="196" t="s">
        <v>480</v>
      </c>
      <c r="C224" s="196"/>
      <c r="D224" s="196"/>
      <c r="E224" s="196"/>
      <c r="F224" s="197"/>
      <c r="G224" s="196"/>
    </row>
    <row r="225" spans="1:7">
      <c r="A225" s="188">
        <v>222</v>
      </c>
      <c r="B225" s="196" t="s">
        <v>479</v>
      </c>
      <c r="C225" s="196"/>
      <c r="D225" s="196"/>
      <c r="E225" s="196"/>
      <c r="F225" s="197"/>
      <c r="G225" s="196"/>
    </row>
    <row r="226" spans="1:7">
      <c r="A226" s="188">
        <v>223</v>
      </c>
      <c r="B226" s="196" t="s">
        <v>478</v>
      </c>
      <c r="C226" s="196"/>
      <c r="D226" s="196"/>
      <c r="E226" s="196"/>
      <c r="F226" s="197"/>
      <c r="G226" s="196"/>
    </row>
    <row r="227" spans="1:7">
      <c r="A227" s="188">
        <v>224</v>
      </c>
      <c r="B227" s="196" t="s">
        <v>477</v>
      </c>
      <c r="C227" s="196"/>
      <c r="D227" s="196"/>
      <c r="E227" s="196"/>
      <c r="F227" s="197"/>
      <c r="G227" s="196"/>
    </row>
    <row r="228" spans="1:7">
      <c r="A228" s="188">
        <v>225</v>
      </c>
      <c r="B228" s="196" t="s">
        <v>476</v>
      </c>
      <c r="C228" s="196"/>
      <c r="D228" s="196"/>
      <c r="E228" s="196"/>
      <c r="F228" s="197"/>
      <c r="G228" s="196"/>
    </row>
    <row r="229" spans="1:7">
      <c r="A229" s="188">
        <v>226</v>
      </c>
      <c r="B229" s="196" t="s">
        <v>475</v>
      </c>
      <c r="C229" s="196"/>
      <c r="D229" s="196"/>
      <c r="E229" s="196"/>
      <c r="F229" s="197"/>
      <c r="G229" s="196"/>
    </row>
    <row r="230" spans="1:7">
      <c r="A230" s="188">
        <v>227</v>
      </c>
      <c r="B230" s="196" t="s">
        <v>474</v>
      </c>
      <c r="C230" s="196"/>
      <c r="D230" s="196"/>
      <c r="E230" s="196"/>
      <c r="F230" s="197"/>
      <c r="G230" s="196"/>
    </row>
    <row r="231" spans="1:7">
      <c r="A231" s="188">
        <v>228</v>
      </c>
      <c r="B231" s="196" t="s">
        <v>473</v>
      </c>
      <c r="C231" s="196"/>
      <c r="D231" s="196"/>
      <c r="E231" s="196"/>
      <c r="F231" s="197"/>
      <c r="G231" s="196"/>
    </row>
    <row r="232" spans="1:7">
      <c r="A232" s="188">
        <v>229</v>
      </c>
      <c r="B232" s="196" t="s">
        <v>472</v>
      </c>
      <c r="C232" s="196"/>
      <c r="D232" s="196"/>
      <c r="E232" s="196"/>
      <c r="F232" s="197"/>
      <c r="G232" s="196"/>
    </row>
    <row r="233" spans="1:7">
      <c r="A233" s="188">
        <v>230</v>
      </c>
      <c r="B233" s="196" t="s">
        <v>471</v>
      </c>
      <c r="C233" s="196"/>
      <c r="D233" s="196"/>
      <c r="E233" s="196"/>
      <c r="F233" s="197"/>
      <c r="G233" s="196"/>
    </row>
    <row r="234" spans="1:7">
      <c r="A234" s="188">
        <v>231</v>
      </c>
      <c r="B234" s="196" t="s">
        <v>470</v>
      </c>
      <c r="C234" s="196"/>
      <c r="D234" s="196"/>
      <c r="E234" s="196"/>
      <c r="F234" s="197"/>
      <c r="G234" s="196"/>
    </row>
    <row r="235" spans="1:7">
      <c r="A235" s="188">
        <v>232</v>
      </c>
      <c r="B235" s="196" t="s">
        <v>469</v>
      </c>
      <c r="C235" s="196"/>
      <c r="D235" s="196"/>
      <c r="E235" s="196"/>
      <c r="F235" s="197"/>
      <c r="G235" s="196"/>
    </row>
    <row r="236" spans="1:7">
      <c r="A236" s="188">
        <v>233</v>
      </c>
      <c r="B236" s="196" t="s">
        <v>468</v>
      </c>
      <c r="C236" s="196"/>
      <c r="D236" s="196"/>
      <c r="E236" s="196"/>
      <c r="F236" s="197"/>
      <c r="G236" s="196"/>
    </row>
    <row r="237" spans="1:7">
      <c r="A237" s="188">
        <v>234</v>
      </c>
      <c r="B237" s="196" t="s">
        <v>467</v>
      </c>
      <c r="C237" s="196"/>
      <c r="D237" s="196"/>
      <c r="E237" s="196"/>
      <c r="F237" s="197"/>
      <c r="G237" s="196"/>
    </row>
    <row r="238" spans="1:7">
      <c r="A238" s="188">
        <v>235</v>
      </c>
      <c r="B238" s="196" t="s">
        <v>466</v>
      </c>
      <c r="C238" s="196"/>
      <c r="D238" s="196"/>
      <c r="E238" s="196"/>
      <c r="F238" s="197"/>
      <c r="G238" s="196"/>
    </row>
    <row r="239" spans="1:7">
      <c r="A239" s="188">
        <v>236</v>
      </c>
      <c r="B239" s="196" t="s">
        <v>465</v>
      </c>
      <c r="C239" s="196"/>
      <c r="D239" s="196"/>
      <c r="E239" s="196"/>
      <c r="F239" s="197"/>
      <c r="G239" s="196"/>
    </row>
    <row r="240" spans="1:7">
      <c r="A240" s="188">
        <v>237</v>
      </c>
      <c r="B240" s="196" t="s">
        <v>464</v>
      </c>
      <c r="C240" s="196"/>
      <c r="D240" s="196"/>
      <c r="E240" s="196"/>
      <c r="F240" s="197"/>
      <c r="G240" s="196"/>
    </row>
    <row r="241" spans="1:7">
      <c r="A241" s="188">
        <v>238</v>
      </c>
      <c r="B241" s="196" t="s">
        <v>463</v>
      </c>
      <c r="C241" s="196"/>
      <c r="D241" s="196"/>
      <c r="E241" s="196"/>
      <c r="F241" s="197"/>
      <c r="G241" s="196"/>
    </row>
    <row r="242" spans="1:7">
      <c r="A242" s="188">
        <v>239</v>
      </c>
      <c r="B242" s="196" t="s">
        <v>462</v>
      </c>
      <c r="C242" s="196"/>
      <c r="D242" s="196"/>
      <c r="E242" s="196"/>
      <c r="F242" s="197"/>
      <c r="G242" s="196"/>
    </row>
    <row r="243" spans="1:7">
      <c r="A243" s="188">
        <v>240</v>
      </c>
      <c r="B243" s="196" t="s">
        <v>461</v>
      </c>
      <c r="C243" s="196"/>
      <c r="D243" s="196"/>
      <c r="E243" s="196"/>
      <c r="F243" s="197"/>
      <c r="G243" s="196"/>
    </row>
    <row r="244" spans="1:7">
      <c r="A244" s="188">
        <v>241</v>
      </c>
      <c r="B244" s="196" t="s">
        <v>460</v>
      </c>
      <c r="C244" s="196"/>
      <c r="D244" s="196"/>
      <c r="E244" s="196"/>
      <c r="F244" s="197"/>
      <c r="G244" s="196"/>
    </row>
    <row r="245" spans="1:7">
      <c r="A245" s="188">
        <v>242</v>
      </c>
      <c r="B245" s="196" t="s">
        <v>459</v>
      </c>
      <c r="C245" s="196"/>
      <c r="D245" s="196"/>
      <c r="E245" s="196"/>
      <c r="F245" s="197"/>
      <c r="G245" s="196"/>
    </row>
    <row r="246" spans="1:7">
      <c r="A246" s="188">
        <v>243</v>
      </c>
      <c r="B246" s="196" t="s">
        <v>458</v>
      </c>
      <c r="C246" s="196"/>
      <c r="D246" s="196"/>
      <c r="E246" s="196"/>
      <c r="F246" s="197"/>
      <c r="G246" s="196"/>
    </row>
    <row r="247" spans="1:7">
      <c r="A247" s="188">
        <v>244</v>
      </c>
      <c r="B247" s="196" t="s">
        <v>457</v>
      </c>
      <c r="C247" s="196"/>
      <c r="D247" s="196"/>
      <c r="E247" s="196"/>
      <c r="F247" s="197"/>
      <c r="G247" s="196"/>
    </row>
    <row r="248" spans="1:7">
      <c r="A248" s="188">
        <v>245</v>
      </c>
      <c r="B248" s="196" t="s">
        <v>456</v>
      </c>
      <c r="C248" s="196"/>
      <c r="D248" s="196"/>
      <c r="E248" s="196"/>
      <c r="F248" s="197"/>
      <c r="G248" s="196"/>
    </row>
    <row r="249" spans="1:7">
      <c r="A249" s="188">
        <v>246</v>
      </c>
      <c r="B249" s="196" t="s">
        <v>455</v>
      </c>
      <c r="C249" s="196"/>
      <c r="D249" s="196"/>
      <c r="E249" s="196"/>
      <c r="F249" s="197"/>
      <c r="G249" s="196"/>
    </row>
    <row r="250" spans="1:7">
      <c r="A250" s="188">
        <v>247</v>
      </c>
      <c r="B250" s="196" t="s">
        <v>454</v>
      </c>
      <c r="C250" s="196"/>
      <c r="D250" s="196"/>
      <c r="E250" s="196"/>
      <c r="F250" s="197"/>
      <c r="G250" s="196"/>
    </row>
    <row r="251" spans="1:7">
      <c r="A251" s="188">
        <v>248</v>
      </c>
      <c r="B251" s="196" t="s">
        <v>453</v>
      </c>
      <c r="C251" s="196"/>
      <c r="D251" s="196"/>
      <c r="E251" s="196"/>
      <c r="F251" s="197"/>
      <c r="G251" s="196"/>
    </row>
    <row r="252" spans="1:7">
      <c r="A252" s="188">
        <v>249</v>
      </c>
      <c r="B252" s="196" t="s">
        <v>452</v>
      </c>
      <c r="C252" s="196"/>
      <c r="D252" s="196"/>
      <c r="E252" s="196"/>
      <c r="F252" s="197"/>
      <c r="G252" s="196"/>
    </row>
    <row r="253" spans="1:7">
      <c r="A253" s="188">
        <v>250</v>
      </c>
      <c r="B253" s="196" t="s">
        <v>451</v>
      </c>
      <c r="C253" s="196"/>
      <c r="D253" s="196"/>
      <c r="E253" s="196"/>
      <c r="F253" s="197"/>
      <c r="G253" s="196"/>
    </row>
    <row r="254" spans="1:7">
      <c r="A254" s="188">
        <v>251</v>
      </c>
      <c r="B254" s="196" t="s">
        <v>450</v>
      </c>
      <c r="C254" s="196"/>
      <c r="D254" s="196"/>
      <c r="E254" s="196"/>
      <c r="F254" s="197"/>
      <c r="G254" s="196"/>
    </row>
    <row r="255" spans="1:7">
      <c r="A255" s="188">
        <v>252</v>
      </c>
      <c r="B255" s="196" t="s">
        <v>449</v>
      </c>
      <c r="C255" s="196"/>
      <c r="D255" s="196"/>
      <c r="E255" s="196"/>
      <c r="F255" s="197"/>
      <c r="G255" s="196"/>
    </row>
    <row r="256" spans="1:7">
      <c r="A256" s="188">
        <v>253</v>
      </c>
      <c r="B256" s="196" t="s">
        <v>448</v>
      </c>
      <c r="C256" s="196"/>
      <c r="D256" s="196"/>
      <c r="E256" s="196"/>
      <c r="F256" s="197"/>
      <c r="G256" s="196"/>
    </row>
    <row r="257" spans="1:7">
      <c r="A257" s="188">
        <v>254</v>
      </c>
      <c r="B257" s="196" t="s">
        <v>447</v>
      </c>
      <c r="C257" s="196"/>
      <c r="D257" s="196"/>
      <c r="E257" s="196"/>
      <c r="F257" s="197"/>
      <c r="G257" s="196"/>
    </row>
    <row r="258" spans="1:7">
      <c r="A258" s="188">
        <v>255</v>
      </c>
      <c r="B258" s="196" t="s">
        <v>446</v>
      </c>
      <c r="C258" s="196"/>
      <c r="D258" s="196"/>
      <c r="E258" s="196"/>
      <c r="F258" s="197"/>
      <c r="G258" s="196"/>
    </row>
    <row r="259" spans="1:7">
      <c r="A259" s="188">
        <v>256</v>
      </c>
      <c r="B259" s="196" t="s">
        <v>445</v>
      </c>
      <c r="C259" s="196"/>
      <c r="D259" s="196"/>
      <c r="E259" s="196"/>
      <c r="F259" s="197"/>
      <c r="G259" s="196"/>
    </row>
    <row r="260" spans="1:7">
      <c r="A260" s="188">
        <v>257</v>
      </c>
      <c r="B260" s="196" t="s">
        <v>444</v>
      </c>
      <c r="C260" s="196"/>
      <c r="D260" s="196"/>
      <c r="E260" s="196"/>
      <c r="F260" s="197"/>
      <c r="G260" s="196"/>
    </row>
    <row r="261" spans="1:7">
      <c r="A261" s="188">
        <v>258</v>
      </c>
      <c r="B261" s="196" t="s">
        <v>443</v>
      </c>
      <c r="C261" s="196"/>
      <c r="D261" s="196"/>
      <c r="E261" s="196"/>
      <c r="F261" s="197"/>
      <c r="G261" s="196"/>
    </row>
    <row r="262" spans="1:7">
      <c r="A262" s="188">
        <v>259</v>
      </c>
      <c r="B262" s="196" t="s">
        <v>442</v>
      </c>
      <c r="C262" s="196"/>
      <c r="D262" s="196"/>
      <c r="E262" s="196"/>
      <c r="F262" s="197"/>
      <c r="G262" s="196"/>
    </row>
    <row r="263" spans="1:7">
      <c r="A263" s="188">
        <v>260</v>
      </c>
      <c r="B263" s="196" t="s">
        <v>441</v>
      </c>
      <c r="C263" s="196"/>
      <c r="D263" s="196"/>
      <c r="E263" s="196"/>
      <c r="F263" s="197"/>
      <c r="G263" s="196"/>
    </row>
    <row r="264" spans="1:7">
      <c r="A264" s="188">
        <v>261</v>
      </c>
      <c r="B264" s="196" t="s">
        <v>440</v>
      </c>
      <c r="C264" s="196"/>
      <c r="D264" s="196"/>
      <c r="E264" s="196"/>
      <c r="F264" s="197"/>
      <c r="G264" s="196"/>
    </row>
    <row r="265" spans="1:7">
      <c r="A265" s="188">
        <v>262</v>
      </c>
      <c r="B265" s="196" t="s">
        <v>439</v>
      </c>
      <c r="C265" s="196"/>
      <c r="D265" s="196"/>
      <c r="E265" s="196"/>
      <c r="F265" s="197"/>
      <c r="G265" s="196"/>
    </row>
    <row r="266" spans="1:7">
      <c r="A266" s="188">
        <v>263</v>
      </c>
      <c r="B266" s="196" t="s">
        <v>438</v>
      </c>
      <c r="C266" s="196"/>
      <c r="D266" s="196"/>
      <c r="E266" s="196"/>
      <c r="F266" s="197"/>
      <c r="G266" s="196"/>
    </row>
    <row r="267" spans="1:7">
      <c r="A267" s="188">
        <v>264</v>
      </c>
      <c r="B267" s="196" t="s">
        <v>437</v>
      </c>
      <c r="C267" s="196"/>
      <c r="D267" s="196"/>
      <c r="E267" s="196"/>
      <c r="F267" s="197"/>
      <c r="G267" s="196"/>
    </row>
    <row r="268" spans="1:7">
      <c r="A268" s="188">
        <v>265</v>
      </c>
      <c r="B268" s="196" t="s">
        <v>436</v>
      </c>
      <c r="C268" s="196"/>
      <c r="D268" s="196"/>
      <c r="E268" s="196"/>
      <c r="F268" s="197"/>
      <c r="G268" s="196"/>
    </row>
    <row r="269" spans="1:7">
      <c r="A269" s="188">
        <v>266</v>
      </c>
      <c r="B269" s="196" t="s">
        <v>435</v>
      </c>
      <c r="C269" s="196"/>
      <c r="D269" s="196"/>
      <c r="E269" s="196"/>
      <c r="F269" s="197"/>
      <c r="G269" s="196"/>
    </row>
    <row r="270" spans="1:7">
      <c r="A270" s="188">
        <v>267</v>
      </c>
      <c r="B270" s="196" t="s">
        <v>434</v>
      </c>
      <c r="C270" s="196"/>
      <c r="D270" s="196"/>
      <c r="E270" s="196"/>
      <c r="F270" s="197"/>
      <c r="G270" s="196"/>
    </row>
    <row r="271" spans="1:7">
      <c r="A271" s="188">
        <v>268</v>
      </c>
      <c r="B271" s="196" t="s">
        <v>433</v>
      </c>
      <c r="C271" s="196"/>
      <c r="D271" s="196"/>
      <c r="E271" s="196"/>
      <c r="F271" s="197"/>
      <c r="G271" s="196"/>
    </row>
    <row r="272" spans="1:7">
      <c r="A272" s="188">
        <v>269</v>
      </c>
      <c r="B272" s="196" t="s">
        <v>432</v>
      </c>
      <c r="C272" s="196"/>
      <c r="D272" s="196"/>
      <c r="E272" s="196"/>
      <c r="F272" s="197"/>
      <c r="G272" s="196"/>
    </row>
    <row r="273" spans="1:7">
      <c r="A273" s="188">
        <v>270</v>
      </c>
      <c r="B273" s="196" t="s">
        <v>431</v>
      </c>
      <c r="C273" s="196"/>
      <c r="D273" s="196"/>
      <c r="E273" s="196"/>
      <c r="F273" s="197"/>
      <c r="G273" s="196"/>
    </row>
    <row r="274" spans="1:7">
      <c r="A274" s="188">
        <v>271</v>
      </c>
      <c r="B274" s="196" t="s">
        <v>430</v>
      </c>
      <c r="C274" s="196"/>
      <c r="D274" s="196"/>
      <c r="E274" s="196"/>
      <c r="F274" s="197"/>
      <c r="G274" s="196"/>
    </row>
    <row r="275" spans="1:7">
      <c r="A275" s="188">
        <v>272</v>
      </c>
      <c r="B275" s="196" t="s">
        <v>429</v>
      </c>
      <c r="C275" s="196"/>
      <c r="D275" s="196"/>
      <c r="E275" s="196"/>
      <c r="F275" s="197"/>
      <c r="G275" s="196"/>
    </row>
    <row r="276" spans="1:7">
      <c r="A276" s="188">
        <v>273</v>
      </c>
      <c r="B276" s="196" t="s">
        <v>428</v>
      </c>
      <c r="C276" s="196"/>
      <c r="D276" s="196"/>
      <c r="E276" s="196"/>
      <c r="F276" s="197"/>
      <c r="G276" s="196"/>
    </row>
    <row r="277" spans="1:7">
      <c r="A277" s="188">
        <v>274</v>
      </c>
      <c r="B277" s="196" t="s">
        <v>427</v>
      </c>
      <c r="C277" s="196"/>
      <c r="D277" s="196"/>
      <c r="E277" s="196"/>
      <c r="F277" s="197"/>
      <c r="G277" s="196"/>
    </row>
    <row r="278" spans="1:7">
      <c r="A278" s="188">
        <v>275</v>
      </c>
      <c r="B278" s="196" t="s">
        <v>426</v>
      </c>
      <c r="C278" s="196"/>
      <c r="D278" s="196"/>
      <c r="E278" s="196"/>
      <c r="F278" s="197"/>
      <c r="G278" s="196"/>
    </row>
    <row r="279" spans="1:7">
      <c r="A279" s="188">
        <v>276</v>
      </c>
      <c r="B279" s="196" t="s">
        <v>425</v>
      </c>
      <c r="C279" s="196"/>
      <c r="D279" s="196"/>
      <c r="E279" s="196"/>
      <c r="F279" s="197"/>
      <c r="G279" s="196"/>
    </row>
    <row r="280" spans="1:7">
      <c r="A280" s="188">
        <v>277</v>
      </c>
      <c r="B280" s="196" t="s">
        <v>424</v>
      </c>
      <c r="C280" s="196"/>
      <c r="D280" s="196"/>
      <c r="E280" s="196"/>
      <c r="F280" s="197"/>
      <c r="G280" s="196"/>
    </row>
    <row r="281" spans="1:7">
      <c r="A281" s="188">
        <v>278</v>
      </c>
      <c r="B281" s="196" t="s">
        <v>423</v>
      </c>
      <c r="C281" s="196"/>
      <c r="D281" s="196"/>
      <c r="E281" s="196"/>
      <c r="F281" s="197"/>
      <c r="G281" s="196"/>
    </row>
    <row r="282" spans="1:7">
      <c r="A282" s="188">
        <v>279</v>
      </c>
      <c r="B282" s="196" t="s">
        <v>422</v>
      </c>
      <c r="C282" s="196"/>
      <c r="D282" s="196"/>
      <c r="E282" s="196"/>
      <c r="F282" s="197"/>
      <c r="G282" s="196"/>
    </row>
    <row r="283" spans="1:7">
      <c r="A283" s="188">
        <v>280</v>
      </c>
      <c r="B283" s="196" t="s">
        <v>421</v>
      </c>
      <c r="C283" s="196"/>
      <c r="D283" s="196"/>
      <c r="E283" s="196"/>
      <c r="F283" s="197"/>
      <c r="G283" s="196"/>
    </row>
    <row r="284" spans="1:7">
      <c r="A284" s="188">
        <v>281</v>
      </c>
      <c r="B284" s="196" t="s">
        <v>420</v>
      </c>
      <c r="C284" s="196"/>
      <c r="D284" s="196"/>
      <c r="E284" s="196"/>
      <c r="F284" s="197"/>
      <c r="G284" s="196"/>
    </row>
    <row r="285" spans="1:7">
      <c r="A285" s="188">
        <v>282</v>
      </c>
      <c r="B285" s="196" t="s">
        <v>419</v>
      </c>
      <c r="C285" s="196"/>
      <c r="D285" s="196"/>
      <c r="E285" s="196"/>
      <c r="F285" s="197"/>
      <c r="G285" s="196"/>
    </row>
    <row r="286" spans="1:7">
      <c r="A286" s="188">
        <v>283</v>
      </c>
      <c r="B286" s="196" t="s">
        <v>418</v>
      </c>
      <c r="C286" s="196"/>
      <c r="D286" s="196"/>
      <c r="E286" s="196"/>
      <c r="F286" s="197"/>
      <c r="G286" s="196"/>
    </row>
    <row r="287" spans="1:7">
      <c r="A287" s="188">
        <v>284</v>
      </c>
      <c r="B287" s="196" t="s">
        <v>417</v>
      </c>
      <c r="C287" s="196"/>
      <c r="D287" s="196"/>
      <c r="E287" s="196"/>
      <c r="F287" s="197"/>
      <c r="G287" s="196"/>
    </row>
    <row r="288" spans="1:7">
      <c r="A288" s="188">
        <v>285</v>
      </c>
      <c r="B288" s="196" t="s">
        <v>416</v>
      </c>
      <c r="C288" s="196"/>
      <c r="D288" s="196"/>
      <c r="E288" s="196"/>
      <c r="F288" s="197"/>
      <c r="G288" s="196"/>
    </row>
    <row r="289" spans="1:7">
      <c r="A289" s="188">
        <v>286</v>
      </c>
      <c r="B289" s="196" t="s">
        <v>415</v>
      </c>
      <c r="C289" s="196"/>
      <c r="D289" s="196"/>
      <c r="E289" s="196"/>
      <c r="F289" s="197"/>
      <c r="G289" s="196"/>
    </row>
    <row r="290" spans="1:7">
      <c r="A290" s="188">
        <v>287</v>
      </c>
      <c r="B290" s="196" t="s">
        <v>414</v>
      </c>
      <c r="C290" s="196"/>
      <c r="D290" s="196"/>
      <c r="E290" s="196"/>
      <c r="F290" s="197"/>
      <c r="G290" s="196"/>
    </row>
    <row r="291" spans="1:7">
      <c r="A291" s="188">
        <v>288</v>
      </c>
      <c r="B291" s="196" t="s">
        <v>413</v>
      </c>
      <c r="C291" s="196"/>
      <c r="D291" s="196"/>
      <c r="E291" s="196"/>
      <c r="F291" s="197"/>
      <c r="G291" s="196"/>
    </row>
    <row r="292" spans="1:7">
      <c r="A292" s="188">
        <v>289</v>
      </c>
      <c r="B292" s="196" t="s">
        <v>412</v>
      </c>
      <c r="C292" s="196"/>
      <c r="D292" s="196"/>
      <c r="E292" s="196"/>
      <c r="F292" s="197"/>
      <c r="G292" s="196"/>
    </row>
    <row r="293" spans="1:7">
      <c r="A293" s="188">
        <v>290</v>
      </c>
      <c r="B293" s="196" t="s">
        <v>411</v>
      </c>
      <c r="C293" s="196"/>
      <c r="D293" s="196"/>
      <c r="E293" s="196"/>
      <c r="F293" s="197"/>
      <c r="G293" s="196"/>
    </row>
    <row r="294" spans="1:7">
      <c r="A294" s="188">
        <v>291</v>
      </c>
      <c r="B294" s="196" t="s">
        <v>410</v>
      </c>
      <c r="C294" s="196"/>
      <c r="D294" s="196"/>
      <c r="E294" s="196"/>
      <c r="F294" s="197"/>
      <c r="G294" s="196"/>
    </row>
    <row r="295" spans="1:7">
      <c r="A295" s="188">
        <v>292</v>
      </c>
      <c r="B295" s="196" t="s">
        <v>409</v>
      </c>
      <c r="C295" s="196"/>
      <c r="D295" s="196"/>
      <c r="E295" s="196"/>
      <c r="F295" s="197"/>
      <c r="G295" s="196"/>
    </row>
    <row r="296" spans="1:7">
      <c r="A296" s="188">
        <v>293</v>
      </c>
      <c r="B296" s="196" t="s">
        <v>408</v>
      </c>
      <c r="C296" s="196"/>
      <c r="D296" s="196"/>
      <c r="E296" s="196"/>
      <c r="F296" s="197"/>
      <c r="G296" s="196"/>
    </row>
    <row r="297" spans="1:7">
      <c r="A297" s="188">
        <v>294</v>
      </c>
      <c r="B297" s="196" t="s">
        <v>407</v>
      </c>
      <c r="C297" s="196"/>
      <c r="D297" s="196"/>
      <c r="E297" s="196"/>
      <c r="F297" s="197"/>
      <c r="G297" s="196"/>
    </row>
    <row r="298" spans="1:7">
      <c r="A298" s="188">
        <v>295</v>
      </c>
      <c r="B298" s="196" t="s">
        <v>406</v>
      </c>
      <c r="C298" s="196"/>
      <c r="D298" s="196"/>
      <c r="E298" s="196"/>
      <c r="F298" s="197"/>
      <c r="G298" s="196"/>
    </row>
    <row r="299" spans="1:7">
      <c r="A299" s="188">
        <v>296</v>
      </c>
      <c r="B299" s="196" t="s">
        <v>405</v>
      </c>
      <c r="C299" s="196"/>
      <c r="D299" s="196"/>
      <c r="E299" s="196"/>
      <c r="F299" s="197"/>
      <c r="G299" s="196"/>
    </row>
    <row r="300" spans="1:7">
      <c r="A300" s="188">
        <v>297</v>
      </c>
      <c r="B300" s="196" t="s">
        <v>404</v>
      </c>
      <c r="C300" s="196"/>
      <c r="D300" s="196"/>
      <c r="E300" s="196"/>
      <c r="F300" s="197"/>
      <c r="G300" s="196"/>
    </row>
    <row r="301" spans="1:7">
      <c r="A301" s="188">
        <v>298</v>
      </c>
      <c r="B301" s="196" t="s">
        <v>403</v>
      </c>
      <c r="C301" s="196"/>
      <c r="D301" s="196"/>
      <c r="E301" s="196"/>
      <c r="F301" s="197"/>
      <c r="G301" s="196"/>
    </row>
    <row r="302" spans="1:7">
      <c r="A302" s="188">
        <v>299</v>
      </c>
      <c r="B302" s="196" t="s">
        <v>402</v>
      </c>
      <c r="C302" s="196"/>
      <c r="D302" s="196"/>
      <c r="E302" s="196"/>
      <c r="F302" s="197"/>
      <c r="G302" s="196"/>
    </row>
    <row r="303" spans="1:7">
      <c r="A303" s="188">
        <v>300</v>
      </c>
      <c r="B303" s="196" t="s">
        <v>401</v>
      </c>
      <c r="C303" s="196"/>
      <c r="D303" s="196"/>
      <c r="E303" s="196"/>
      <c r="F303" s="197"/>
      <c r="G303" s="196"/>
    </row>
    <row r="304" spans="1:7">
      <c r="A304" s="188">
        <v>301</v>
      </c>
      <c r="B304" s="196" t="s">
        <v>400</v>
      </c>
      <c r="C304" s="196"/>
      <c r="D304" s="196"/>
      <c r="E304" s="196"/>
      <c r="F304" s="197"/>
      <c r="G304" s="196"/>
    </row>
    <row r="305" spans="1:7">
      <c r="A305" s="188">
        <v>302</v>
      </c>
      <c r="B305" s="196" t="s">
        <v>399</v>
      </c>
      <c r="C305" s="196"/>
      <c r="D305" s="196"/>
      <c r="E305" s="196"/>
      <c r="F305" s="197"/>
      <c r="G305" s="196"/>
    </row>
    <row r="306" spans="1:7">
      <c r="A306" s="188">
        <v>303</v>
      </c>
      <c r="B306" s="196" t="s">
        <v>398</v>
      </c>
      <c r="C306" s="196"/>
      <c r="D306" s="196"/>
      <c r="E306" s="196"/>
      <c r="F306" s="197"/>
      <c r="G306" s="196"/>
    </row>
    <row r="307" spans="1:7">
      <c r="A307" s="188">
        <v>304</v>
      </c>
      <c r="B307" s="196" t="s">
        <v>397</v>
      </c>
      <c r="C307" s="196"/>
      <c r="D307" s="196"/>
      <c r="E307" s="196"/>
      <c r="F307" s="197"/>
      <c r="G307" s="196"/>
    </row>
    <row r="308" spans="1:7">
      <c r="A308" s="188">
        <v>305</v>
      </c>
      <c r="B308" s="196" t="s">
        <v>396</v>
      </c>
      <c r="C308" s="196"/>
      <c r="D308" s="196"/>
      <c r="E308" s="196"/>
      <c r="F308" s="197"/>
      <c r="G308" s="196"/>
    </row>
    <row r="309" spans="1:7">
      <c r="A309" s="188">
        <v>306</v>
      </c>
      <c r="B309" s="196" t="s">
        <v>395</v>
      </c>
      <c r="C309" s="196"/>
      <c r="D309" s="196"/>
      <c r="E309" s="196"/>
      <c r="F309" s="197"/>
      <c r="G309" s="196"/>
    </row>
    <row r="310" spans="1:7">
      <c r="A310" s="188">
        <v>307</v>
      </c>
      <c r="B310" s="196" t="s">
        <v>394</v>
      </c>
      <c r="C310" s="196"/>
      <c r="D310" s="196"/>
      <c r="E310" s="196"/>
      <c r="F310" s="197"/>
      <c r="G310" s="196"/>
    </row>
    <row r="311" spans="1:7">
      <c r="A311" s="188">
        <v>308</v>
      </c>
      <c r="B311" s="196" t="s">
        <v>393</v>
      </c>
      <c r="C311" s="196"/>
      <c r="D311" s="196"/>
      <c r="E311" s="196"/>
      <c r="F311" s="197"/>
      <c r="G311" s="196"/>
    </row>
    <row r="312" spans="1:7">
      <c r="A312" s="188">
        <v>309</v>
      </c>
      <c r="B312" s="196" t="s">
        <v>392</v>
      </c>
      <c r="C312" s="196"/>
      <c r="D312" s="196"/>
      <c r="E312" s="196"/>
      <c r="F312" s="197"/>
      <c r="G312" s="196"/>
    </row>
    <row r="313" spans="1:7">
      <c r="A313" s="188">
        <v>310</v>
      </c>
      <c r="B313" s="196" t="s">
        <v>391</v>
      </c>
      <c r="C313" s="196"/>
      <c r="D313" s="196"/>
      <c r="E313" s="196"/>
      <c r="F313" s="197"/>
      <c r="G313" s="196"/>
    </row>
    <row r="314" spans="1:7">
      <c r="A314" s="188">
        <v>311</v>
      </c>
      <c r="B314" s="196" t="s">
        <v>390</v>
      </c>
      <c r="C314" s="196"/>
      <c r="D314" s="196"/>
      <c r="E314" s="196"/>
      <c r="F314" s="197"/>
      <c r="G314" s="196"/>
    </row>
    <row r="315" spans="1:7">
      <c r="A315" s="188">
        <v>312</v>
      </c>
      <c r="B315" s="196" t="s">
        <v>389</v>
      </c>
      <c r="C315" s="196"/>
      <c r="D315" s="196"/>
      <c r="E315" s="196"/>
      <c r="F315" s="197"/>
      <c r="G315" s="196"/>
    </row>
    <row r="316" spans="1:7">
      <c r="A316" s="188">
        <v>313</v>
      </c>
      <c r="B316" s="196" t="s">
        <v>388</v>
      </c>
      <c r="C316" s="196"/>
      <c r="D316" s="196"/>
      <c r="E316" s="196"/>
      <c r="F316" s="197"/>
      <c r="G316" s="196"/>
    </row>
    <row r="317" spans="1:7">
      <c r="A317" s="188">
        <v>314</v>
      </c>
      <c r="B317" s="196" t="s">
        <v>387</v>
      </c>
      <c r="C317" s="196"/>
      <c r="D317" s="196"/>
      <c r="E317" s="196"/>
      <c r="F317" s="197"/>
      <c r="G317" s="196"/>
    </row>
    <row r="318" spans="1:7">
      <c r="A318" s="188">
        <v>315</v>
      </c>
      <c r="B318" s="196" t="s">
        <v>386</v>
      </c>
      <c r="C318" s="196"/>
      <c r="D318" s="196"/>
      <c r="E318" s="196"/>
      <c r="F318" s="197"/>
      <c r="G318" s="196"/>
    </row>
    <row r="319" spans="1:7">
      <c r="A319" s="188">
        <v>316</v>
      </c>
      <c r="B319" s="196" t="s">
        <v>385</v>
      </c>
      <c r="C319" s="196"/>
      <c r="D319" s="196"/>
      <c r="E319" s="196"/>
      <c r="F319" s="197"/>
      <c r="G319" s="196"/>
    </row>
    <row r="320" spans="1:7">
      <c r="A320" s="188">
        <v>317</v>
      </c>
      <c r="B320" s="196" t="s">
        <v>384</v>
      </c>
      <c r="C320" s="196"/>
      <c r="D320" s="196"/>
      <c r="E320" s="196"/>
      <c r="F320" s="197"/>
      <c r="G320" s="196"/>
    </row>
    <row r="321" spans="1:7">
      <c r="A321" s="188">
        <v>318</v>
      </c>
      <c r="B321" s="196" t="s">
        <v>383</v>
      </c>
      <c r="C321" s="196"/>
      <c r="D321" s="196"/>
      <c r="E321" s="196"/>
      <c r="F321" s="197"/>
      <c r="G321" s="196"/>
    </row>
    <row r="322" spans="1:7">
      <c r="A322" s="188">
        <v>319</v>
      </c>
      <c r="B322" s="196" t="s">
        <v>382</v>
      </c>
      <c r="C322" s="196"/>
      <c r="D322" s="196"/>
      <c r="E322" s="196"/>
      <c r="F322" s="197"/>
      <c r="G322" s="196"/>
    </row>
    <row r="323" spans="1:7">
      <c r="A323" s="188">
        <v>320</v>
      </c>
      <c r="B323" s="196" t="s">
        <v>381</v>
      </c>
      <c r="C323" s="196"/>
      <c r="D323" s="196"/>
      <c r="E323" s="196"/>
      <c r="F323" s="197"/>
      <c r="G323" s="196"/>
    </row>
    <row r="324" spans="1:7">
      <c r="A324" s="188">
        <v>321</v>
      </c>
      <c r="B324" s="196" t="s">
        <v>380</v>
      </c>
      <c r="C324" s="196"/>
      <c r="D324" s="196"/>
      <c r="E324" s="196"/>
      <c r="F324" s="197"/>
      <c r="G324" s="196"/>
    </row>
    <row r="325" spans="1:7">
      <c r="A325" s="188">
        <v>322</v>
      </c>
      <c r="B325" s="196" t="s">
        <v>379</v>
      </c>
      <c r="C325" s="196"/>
      <c r="D325" s="196"/>
      <c r="E325" s="196"/>
      <c r="F325" s="197"/>
      <c r="G325" s="196"/>
    </row>
    <row r="326" spans="1:7">
      <c r="A326" s="188">
        <v>323</v>
      </c>
      <c r="B326" s="196" t="s">
        <v>378</v>
      </c>
      <c r="C326" s="196"/>
      <c r="D326" s="196"/>
      <c r="E326" s="196"/>
      <c r="F326" s="197"/>
      <c r="G326" s="196"/>
    </row>
    <row r="327" spans="1:7">
      <c r="A327" s="188">
        <v>324</v>
      </c>
      <c r="B327" s="196" t="s">
        <v>377</v>
      </c>
      <c r="C327" s="196"/>
      <c r="D327" s="196"/>
      <c r="E327" s="196"/>
      <c r="F327" s="197"/>
      <c r="G327" s="196"/>
    </row>
    <row r="328" spans="1:7">
      <c r="A328" s="188">
        <v>325</v>
      </c>
      <c r="B328" s="196" t="s">
        <v>376</v>
      </c>
      <c r="C328" s="196"/>
      <c r="D328" s="196"/>
      <c r="E328" s="196"/>
      <c r="F328" s="197"/>
      <c r="G328" s="196"/>
    </row>
    <row r="329" spans="1:7">
      <c r="A329" s="188">
        <v>326</v>
      </c>
      <c r="B329" s="196" t="s">
        <v>375</v>
      </c>
      <c r="C329" s="196"/>
      <c r="D329" s="196"/>
      <c r="E329" s="196"/>
      <c r="F329" s="197"/>
      <c r="G329" s="196"/>
    </row>
    <row r="330" spans="1:7">
      <c r="A330" s="188">
        <v>327</v>
      </c>
      <c r="B330" s="196" t="s">
        <v>374</v>
      </c>
      <c r="C330" s="196"/>
      <c r="D330" s="196"/>
      <c r="E330" s="196"/>
      <c r="F330" s="197"/>
      <c r="G330" s="196"/>
    </row>
    <row r="331" spans="1:7">
      <c r="A331" s="188">
        <v>328</v>
      </c>
      <c r="B331" s="196" t="s">
        <v>373</v>
      </c>
      <c r="C331" s="196"/>
      <c r="D331" s="196"/>
      <c r="E331" s="196"/>
      <c r="F331" s="197"/>
      <c r="G331" s="196"/>
    </row>
    <row r="332" spans="1:7">
      <c r="A332" s="188">
        <v>329</v>
      </c>
      <c r="B332" s="196" t="s">
        <v>372</v>
      </c>
      <c r="C332" s="196"/>
      <c r="D332" s="196"/>
      <c r="E332" s="196"/>
      <c r="F332" s="197"/>
      <c r="G332" s="196"/>
    </row>
    <row r="333" spans="1:7">
      <c r="A333" s="188">
        <v>330</v>
      </c>
      <c r="B333" s="196" t="s">
        <v>371</v>
      </c>
      <c r="C333" s="196"/>
      <c r="D333" s="196"/>
      <c r="E333" s="196"/>
      <c r="F333" s="197"/>
      <c r="G333" s="196"/>
    </row>
    <row r="334" spans="1:7">
      <c r="A334" s="188">
        <v>331</v>
      </c>
      <c r="B334" s="196" t="s">
        <v>370</v>
      </c>
      <c r="C334" s="196"/>
      <c r="D334" s="196"/>
      <c r="E334" s="196"/>
      <c r="F334" s="197"/>
      <c r="G334" s="196"/>
    </row>
    <row r="335" spans="1:7">
      <c r="A335" s="188">
        <v>332</v>
      </c>
      <c r="B335" s="196" t="s">
        <v>369</v>
      </c>
      <c r="C335" s="196"/>
      <c r="D335" s="196"/>
      <c r="E335" s="196"/>
      <c r="F335" s="197"/>
      <c r="G335" s="196"/>
    </row>
    <row r="336" spans="1:7">
      <c r="A336" s="188">
        <v>333</v>
      </c>
      <c r="B336" s="196" t="s">
        <v>368</v>
      </c>
      <c r="C336" s="196"/>
      <c r="D336" s="196"/>
      <c r="E336" s="196"/>
      <c r="F336" s="197"/>
      <c r="G336" s="196"/>
    </row>
    <row r="337" spans="1:7">
      <c r="A337" s="188">
        <v>334</v>
      </c>
      <c r="B337" s="196" t="s">
        <v>367</v>
      </c>
      <c r="C337" s="196"/>
      <c r="D337" s="196"/>
      <c r="E337" s="196"/>
      <c r="F337" s="197"/>
      <c r="G337" s="196"/>
    </row>
    <row r="338" spans="1:7">
      <c r="A338" s="188">
        <v>335</v>
      </c>
      <c r="B338" s="196" t="s">
        <v>366</v>
      </c>
      <c r="C338" s="196"/>
      <c r="D338" s="196"/>
      <c r="E338" s="196"/>
      <c r="F338" s="197"/>
      <c r="G338" s="196"/>
    </row>
    <row r="339" spans="1:7">
      <c r="A339" s="188">
        <v>336</v>
      </c>
      <c r="B339" s="196" t="s">
        <v>365</v>
      </c>
      <c r="C339" s="196"/>
      <c r="D339" s="196"/>
      <c r="E339" s="196"/>
      <c r="F339" s="197"/>
      <c r="G339" s="196"/>
    </row>
    <row r="340" spans="1:7">
      <c r="A340" s="188">
        <v>337</v>
      </c>
      <c r="B340" s="196" t="s">
        <v>364</v>
      </c>
      <c r="C340" s="196"/>
      <c r="D340" s="196"/>
      <c r="E340" s="196"/>
      <c r="F340" s="197"/>
      <c r="G340" s="196"/>
    </row>
    <row r="341" spans="1:7">
      <c r="A341" s="188">
        <v>338</v>
      </c>
      <c r="B341" s="196" t="s">
        <v>363</v>
      </c>
      <c r="C341" s="196"/>
      <c r="D341" s="196"/>
      <c r="E341" s="196"/>
      <c r="F341" s="197"/>
      <c r="G341" s="196"/>
    </row>
    <row r="342" spans="1:7">
      <c r="A342" s="188">
        <v>339</v>
      </c>
      <c r="B342" s="196" t="s">
        <v>362</v>
      </c>
      <c r="C342" s="196"/>
      <c r="D342" s="196"/>
      <c r="E342" s="196"/>
      <c r="F342" s="197"/>
      <c r="G342" s="196"/>
    </row>
    <row r="343" spans="1:7">
      <c r="A343" s="188">
        <v>340</v>
      </c>
      <c r="B343" s="196" t="s">
        <v>361</v>
      </c>
      <c r="C343" s="196"/>
      <c r="D343" s="196"/>
      <c r="E343" s="196"/>
      <c r="F343" s="197"/>
      <c r="G343" s="196"/>
    </row>
    <row r="344" spans="1:7">
      <c r="A344" s="188">
        <v>341</v>
      </c>
      <c r="B344" s="196" t="s">
        <v>360</v>
      </c>
      <c r="C344" s="196"/>
      <c r="D344" s="196"/>
      <c r="E344" s="196"/>
      <c r="F344" s="197"/>
      <c r="G344" s="196"/>
    </row>
    <row r="345" spans="1:7">
      <c r="A345" s="188">
        <v>342</v>
      </c>
      <c r="B345" s="196" t="s">
        <v>359</v>
      </c>
      <c r="C345" s="196"/>
      <c r="D345" s="196"/>
      <c r="E345" s="196"/>
      <c r="F345" s="197"/>
      <c r="G345" s="196"/>
    </row>
    <row r="346" spans="1:7">
      <c r="A346" s="188">
        <v>343</v>
      </c>
      <c r="B346" s="196" t="s">
        <v>358</v>
      </c>
      <c r="C346" s="196"/>
      <c r="D346" s="196"/>
      <c r="E346" s="196"/>
      <c r="F346" s="197"/>
      <c r="G346" s="196"/>
    </row>
    <row r="347" spans="1:7">
      <c r="A347" s="188">
        <v>344</v>
      </c>
      <c r="B347" s="196" t="s">
        <v>357</v>
      </c>
      <c r="C347" s="196"/>
      <c r="D347" s="196"/>
      <c r="E347" s="196"/>
      <c r="F347" s="197"/>
      <c r="G347" s="196"/>
    </row>
    <row r="348" spans="1:7">
      <c r="A348" s="188">
        <v>345</v>
      </c>
      <c r="B348" s="196" t="s">
        <v>356</v>
      </c>
      <c r="C348" s="196"/>
      <c r="D348" s="196"/>
      <c r="E348" s="196"/>
      <c r="F348" s="197"/>
      <c r="G348" s="196"/>
    </row>
    <row r="349" spans="1:7">
      <c r="A349" s="188">
        <v>346</v>
      </c>
      <c r="B349" s="196" t="s">
        <v>355</v>
      </c>
      <c r="C349" s="196"/>
      <c r="D349" s="196"/>
      <c r="E349" s="196"/>
      <c r="F349" s="197"/>
      <c r="G349" s="196"/>
    </row>
    <row r="350" spans="1:7">
      <c r="A350" s="188">
        <v>347</v>
      </c>
      <c r="B350" s="196" t="s">
        <v>354</v>
      </c>
      <c r="C350" s="196"/>
      <c r="D350" s="196"/>
      <c r="E350" s="196"/>
      <c r="F350" s="197"/>
      <c r="G350" s="196"/>
    </row>
    <row r="351" spans="1:7">
      <c r="A351" s="188">
        <v>348</v>
      </c>
      <c r="B351" s="196" t="s">
        <v>353</v>
      </c>
      <c r="C351" s="196"/>
      <c r="D351" s="196"/>
      <c r="E351" s="196"/>
      <c r="F351" s="197"/>
      <c r="G351" s="196"/>
    </row>
    <row r="352" spans="1:7">
      <c r="A352" s="188">
        <v>349</v>
      </c>
      <c r="B352" s="196" t="s">
        <v>352</v>
      </c>
      <c r="C352" s="196"/>
      <c r="D352" s="196"/>
      <c r="E352" s="196"/>
      <c r="F352" s="197"/>
      <c r="G352" s="196"/>
    </row>
    <row r="353" spans="1:7">
      <c r="A353" s="188">
        <v>350</v>
      </c>
      <c r="B353" s="196" t="s">
        <v>351</v>
      </c>
      <c r="C353" s="196"/>
      <c r="D353" s="196"/>
      <c r="E353" s="196"/>
      <c r="F353" s="197"/>
      <c r="G353" s="196"/>
    </row>
    <row r="354" spans="1:7">
      <c r="A354" s="188">
        <v>351</v>
      </c>
      <c r="B354" s="196" t="s">
        <v>350</v>
      </c>
      <c r="C354" s="196"/>
      <c r="D354" s="196"/>
      <c r="E354" s="196"/>
      <c r="F354" s="197"/>
      <c r="G354" s="196"/>
    </row>
    <row r="355" spans="1:7">
      <c r="A355" s="188">
        <v>352</v>
      </c>
      <c r="B355" s="196" t="s">
        <v>349</v>
      </c>
      <c r="C355" s="196"/>
      <c r="D355" s="196"/>
      <c r="E355" s="196"/>
      <c r="F355" s="197"/>
      <c r="G355" s="196"/>
    </row>
    <row r="356" spans="1:7">
      <c r="A356" s="188">
        <v>353</v>
      </c>
      <c r="B356" s="196" t="s">
        <v>348</v>
      </c>
      <c r="C356" s="196"/>
      <c r="D356" s="196"/>
      <c r="E356" s="196"/>
      <c r="F356" s="197"/>
      <c r="G356" s="196"/>
    </row>
    <row r="357" spans="1:7">
      <c r="A357" s="188">
        <v>354</v>
      </c>
      <c r="B357" s="196" t="s">
        <v>347</v>
      </c>
      <c r="C357" s="196"/>
      <c r="D357" s="196"/>
      <c r="E357" s="196"/>
      <c r="F357" s="197"/>
      <c r="G357" s="196"/>
    </row>
    <row r="358" spans="1:7">
      <c r="A358" s="188">
        <v>355</v>
      </c>
      <c r="B358" s="196" t="s">
        <v>346</v>
      </c>
      <c r="C358" s="196"/>
      <c r="D358" s="196"/>
      <c r="E358" s="196"/>
      <c r="F358" s="197"/>
      <c r="G358" s="196"/>
    </row>
    <row r="359" spans="1:7">
      <c r="A359" s="188">
        <v>356</v>
      </c>
      <c r="B359" s="196" t="s">
        <v>345</v>
      </c>
      <c r="C359" s="196"/>
      <c r="D359" s="196"/>
      <c r="E359" s="196"/>
      <c r="F359" s="197"/>
      <c r="G359" s="196"/>
    </row>
    <row r="360" spans="1:7">
      <c r="A360" s="188">
        <v>357</v>
      </c>
      <c r="B360" s="196" t="s">
        <v>344</v>
      </c>
      <c r="C360" s="196"/>
      <c r="D360" s="196"/>
      <c r="E360" s="196"/>
      <c r="F360" s="197"/>
      <c r="G360" s="196"/>
    </row>
    <row r="361" spans="1:7">
      <c r="A361" s="188">
        <v>358</v>
      </c>
      <c r="B361" s="196" t="s">
        <v>343</v>
      </c>
      <c r="C361" s="196"/>
      <c r="D361" s="196"/>
      <c r="E361" s="196"/>
      <c r="F361" s="197"/>
      <c r="G361" s="196"/>
    </row>
    <row r="362" spans="1:7">
      <c r="A362" s="188">
        <v>359</v>
      </c>
      <c r="B362" s="196" t="s">
        <v>342</v>
      </c>
      <c r="C362" s="196"/>
      <c r="D362" s="196"/>
      <c r="E362" s="196"/>
      <c r="F362" s="197"/>
      <c r="G362" s="196"/>
    </row>
    <row r="363" spans="1:7">
      <c r="A363" s="188">
        <v>360</v>
      </c>
      <c r="B363" s="196" t="s">
        <v>341</v>
      </c>
      <c r="C363" s="196"/>
      <c r="D363" s="196"/>
      <c r="E363" s="196"/>
      <c r="F363" s="197"/>
      <c r="G363" s="196"/>
    </row>
    <row r="364" spans="1:7">
      <c r="A364" s="188">
        <v>361</v>
      </c>
      <c r="B364" s="196" t="s">
        <v>340</v>
      </c>
      <c r="C364" s="196"/>
      <c r="D364" s="196"/>
      <c r="E364" s="196"/>
      <c r="F364" s="197"/>
      <c r="G364" s="196"/>
    </row>
    <row r="365" spans="1:7">
      <c r="A365" s="188">
        <v>362</v>
      </c>
      <c r="B365" s="196" t="s">
        <v>339</v>
      </c>
      <c r="C365" s="196"/>
      <c r="D365" s="196"/>
      <c r="E365" s="196"/>
      <c r="F365" s="197"/>
      <c r="G365" s="196"/>
    </row>
    <row r="366" spans="1:7">
      <c r="A366" s="188">
        <v>363</v>
      </c>
      <c r="B366" s="196" t="s">
        <v>338</v>
      </c>
      <c r="C366" s="196"/>
      <c r="D366" s="196"/>
      <c r="E366" s="196"/>
      <c r="F366" s="197"/>
      <c r="G366" s="196"/>
    </row>
    <row r="367" spans="1:7">
      <c r="A367" s="188">
        <v>364</v>
      </c>
      <c r="B367" s="196" t="s">
        <v>337</v>
      </c>
      <c r="C367" s="196"/>
      <c r="D367" s="196"/>
      <c r="E367" s="196"/>
      <c r="F367" s="197"/>
      <c r="G367" s="196"/>
    </row>
    <row r="368" spans="1:7">
      <c r="A368" s="188">
        <v>365</v>
      </c>
      <c r="B368" s="196" t="s">
        <v>336</v>
      </c>
      <c r="C368" s="196"/>
      <c r="D368" s="196"/>
      <c r="E368" s="196"/>
      <c r="F368" s="197"/>
      <c r="G368" s="196"/>
    </row>
    <row r="369" spans="1:7">
      <c r="A369" s="188">
        <v>366</v>
      </c>
      <c r="B369" s="196" t="s">
        <v>335</v>
      </c>
      <c r="C369" s="196"/>
      <c r="D369" s="196"/>
      <c r="E369" s="196"/>
      <c r="F369" s="197"/>
      <c r="G369" s="196"/>
    </row>
    <row r="370" spans="1:7">
      <c r="A370" s="188">
        <v>367</v>
      </c>
      <c r="B370" s="196" t="s">
        <v>334</v>
      </c>
      <c r="C370" s="196"/>
      <c r="D370" s="196"/>
      <c r="E370" s="196"/>
      <c r="F370" s="197"/>
      <c r="G370" s="196"/>
    </row>
    <row r="371" spans="1:7">
      <c r="A371" s="188">
        <v>368</v>
      </c>
      <c r="B371" s="196" t="s">
        <v>333</v>
      </c>
      <c r="C371" s="196"/>
      <c r="D371" s="196"/>
      <c r="E371" s="196"/>
      <c r="F371" s="197"/>
      <c r="G371" s="196"/>
    </row>
    <row r="372" spans="1:7">
      <c r="A372" s="188">
        <v>369</v>
      </c>
      <c r="B372" s="196" t="s">
        <v>332</v>
      </c>
      <c r="C372" s="196"/>
      <c r="D372" s="196"/>
      <c r="E372" s="196"/>
      <c r="F372" s="197"/>
      <c r="G372" s="196"/>
    </row>
    <row r="373" spans="1:7">
      <c r="A373" s="188">
        <v>370</v>
      </c>
      <c r="B373" s="196" t="s">
        <v>331</v>
      </c>
      <c r="C373" s="196"/>
      <c r="D373" s="196"/>
      <c r="E373" s="196"/>
      <c r="F373" s="197"/>
      <c r="G373" s="196"/>
    </row>
    <row r="374" spans="1:7">
      <c r="A374" s="188">
        <v>371</v>
      </c>
      <c r="B374" s="196" t="s">
        <v>330</v>
      </c>
      <c r="C374" s="196"/>
      <c r="D374" s="196"/>
      <c r="E374" s="196"/>
      <c r="F374" s="197"/>
      <c r="G374" s="196"/>
    </row>
    <row r="375" spans="1:7">
      <c r="A375" s="188">
        <v>372</v>
      </c>
      <c r="B375" s="196" t="s">
        <v>329</v>
      </c>
      <c r="C375" s="196"/>
      <c r="D375" s="196"/>
      <c r="E375" s="196"/>
      <c r="F375" s="197"/>
      <c r="G375" s="196"/>
    </row>
    <row r="376" spans="1:7">
      <c r="A376" s="188">
        <v>373</v>
      </c>
      <c r="B376" s="196" t="s">
        <v>328</v>
      </c>
      <c r="C376" s="196"/>
      <c r="D376" s="196"/>
      <c r="E376" s="196"/>
      <c r="F376" s="197"/>
      <c r="G376" s="196"/>
    </row>
    <row r="377" spans="1:7">
      <c r="A377" s="188">
        <v>374</v>
      </c>
      <c r="B377" s="196" t="s">
        <v>327</v>
      </c>
      <c r="C377" s="196"/>
      <c r="D377" s="196"/>
      <c r="E377" s="196"/>
      <c r="F377" s="197"/>
      <c r="G377" s="196"/>
    </row>
    <row r="378" spans="1:7">
      <c r="A378" s="188">
        <v>375</v>
      </c>
      <c r="B378" s="196" t="s">
        <v>326</v>
      </c>
      <c r="C378" s="196"/>
      <c r="D378" s="196"/>
      <c r="E378" s="196"/>
      <c r="F378" s="197"/>
      <c r="G378" s="196"/>
    </row>
    <row r="379" spans="1:7">
      <c r="A379" s="188">
        <v>376</v>
      </c>
      <c r="B379" s="196" t="s">
        <v>325</v>
      </c>
      <c r="C379" s="196"/>
      <c r="D379" s="196"/>
      <c r="E379" s="196"/>
      <c r="F379" s="197"/>
      <c r="G379" s="196"/>
    </row>
    <row r="380" spans="1:7">
      <c r="A380" s="188">
        <v>377</v>
      </c>
      <c r="B380" s="196" t="s">
        <v>324</v>
      </c>
      <c r="C380" s="196"/>
      <c r="D380" s="196"/>
      <c r="E380" s="196"/>
      <c r="F380" s="197"/>
      <c r="G380" s="196"/>
    </row>
    <row r="381" spans="1:7">
      <c r="A381" s="188">
        <v>378</v>
      </c>
      <c r="B381" s="196" t="s">
        <v>323</v>
      </c>
      <c r="C381" s="196"/>
      <c r="D381" s="196"/>
      <c r="E381" s="196"/>
      <c r="F381" s="197"/>
      <c r="G381" s="196"/>
    </row>
    <row r="382" spans="1:7">
      <c r="A382" s="188">
        <v>379</v>
      </c>
      <c r="B382" s="196" t="s">
        <v>322</v>
      </c>
      <c r="C382" s="196"/>
      <c r="D382" s="196"/>
      <c r="E382" s="196"/>
      <c r="F382" s="197"/>
      <c r="G382" s="196"/>
    </row>
    <row r="383" spans="1:7">
      <c r="A383" s="188">
        <v>380</v>
      </c>
      <c r="B383" s="196" t="s">
        <v>321</v>
      </c>
      <c r="C383" s="196"/>
      <c r="D383" s="196"/>
      <c r="E383" s="196"/>
      <c r="F383" s="197"/>
      <c r="G383" s="196"/>
    </row>
    <row r="384" spans="1:7">
      <c r="A384" s="188">
        <v>381</v>
      </c>
      <c r="B384" s="196" t="s">
        <v>320</v>
      </c>
      <c r="C384" s="196"/>
      <c r="D384" s="196"/>
      <c r="E384" s="196"/>
      <c r="F384" s="197"/>
      <c r="G384" s="196"/>
    </row>
    <row r="385" spans="1:7">
      <c r="A385" s="188">
        <v>382</v>
      </c>
      <c r="B385" s="196" t="s">
        <v>319</v>
      </c>
      <c r="C385" s="196"/>
      <c r="D385" s="196"/>
      <c r="E385" s="196"/>
      <c r="F385" s="197"/>
      <c r="G385" s="196"/>
    </row>
    <row r="386" spans="1:7">
      <c r="A386" s="188">
        <v>383</v>
      </c>
      <c r="B386" s="196" t="s">
        <v>318</v>
      </c>
      <c r="C386" s="196"/>
      <c r="D386" s="196"/>
      <c r="E386" s="196"/>
      <c r="F386" s="197"/>
      <c r="G386" s="196"/>
    </row>
    <row r="387" spans="1:7">
      <c r="A387" s="188">
        <v>384</v>
      </c>
      <c r="B387" s="196" t="s">
        <v>317</v>
      </c>
      <c r="C387" s="196"/>
      <c r="D387" s="196"/>
      <c r="E387" s="196"/>
      <c r="F387" s="197"/>
      <c r="G387" s="196"/>
    </row>
    <row r="388" spans="1:7">
      <c r="A388" s="188">
        <v>385</v>
      </c>
      <c r="B388" s="196" t="s">
        <v>316</v>
      </c>
      <c r="C388" s="196"/>
      <c r="D388" s="196"/>
      <c r="E388" s="196"/>
      <c r="F388" s="197"/>
      <c r="G388" s="196"/>
    </row>
    <row r="389" spans="1:7">
      <c r="A389" s="188">
        <v>386</v>
      </c>
      <c r="B389" s="196" t="s">
        <v>315</v>
      </c>
      <c r="C389" s="196"/>
      <c r="D389" s="196"/>
      <c r="E389" s="196"/>
      <c r="F389" s="197"/>
      <c r="G389" s="196"/>
    </row>
    <row r="390" spans="1:7">
      <c r="A390" s="188">
        <v>387</v>
      </c>
      <c r="B390" s="196" t="s">
        <v>314</v>
      </c>
      <c r="C390" s="196"/>
      <c r="D390" s="196"/>
      <c r="E390" s="196"/>
      <c r="F390" s="197"/>
      <c r="G390" s="196"/>
    </row>
    <row r="391" spans="1:7">
      <c r="A391" s="188">
        <v>388</v>
      </c>
      <c r="B391" s="196" t="s">
        <v>313</v>
      </c>
      <c r="C391" s="196"/>
      <c r="D391" s="196"/>
      <c r="E391" s="196"/>
      <c r="F391" s="197"/>
      <c r="G391" s="196"/>
    </row>
    <row r="392" spans="1:7">
      <c r="A392" s="188">
        <v>389</v>
      </c>
      <c r="B392" s="196" t="s">
        <v>312</v>
      </c>
      <c r="C392" s="196"/>
      <c r="D392" s="196"/>
      <c r="E392" s="196"/>
      <c r="F392" s="197"/>
      <c r="G392" s="196"/>
    </row>
    <row r="393" spans="1:7">
      <c r="A393" s="188">
        <v>390</v>
      </c>
      <c r="B393" s="196" t="s">
        <v>311</v>
      </c>
      <c r="C393" s="196"/>
      <c r="D393" s="196"/>
      <c r="E393" s="196"/>
      <c r="F393" s="197"/>
      <c r="G393" s="196"/>
    </row>
    <row r="394" spans="1:7">
      <c r="A394" s="188">
        <v>391</v>
      </c>
      <c r="B394" s="196" t="s">
        <v>310</v>
      </c>
      <c r="C394" s="196"/>
      <c r="D394" s="196"/>
      <c r="E394" s="196"/>
      <c r="F394" s="197"/>
      <c r="G394" s="196"/>
    </row>
    <row r="395" spans="1:7">
      <c r="A395" s="188">
        <v>392</v>
      </c>
      <c r="B395" s="196" t="s">
        <v>309</v>
      </c>
      <c r="C395" s="196"/>
      <c r="D395" s="196"/>
      <c r="E395" s="196"/>
      <c r="F395" s="197"/>
      <c r="G395" s="196"/>
    </row>
    <row r="396" spans="1:7">
      <c r="A396" s="188">
        <v>393</v>
      </c>
      <c r="B396" s="196" t="s">
        <v>308</v>
      </c>
      <c r="C396" s="196"/>
      <c r="D396" s="196"/>
      <c r="E396" s="196"/>
      <c r="F396" s="197"/>
      <c r="G396" s="196"/>
    </row>
    <row r="397" spans="1:7">
      <c r="A397" s="188">
        <v>394</v>
      </c>
      <c r="B397" s="196" t="s">
        <v>307</v>
      </c>
      <c r="C397" s="196"/>
      <c r="D397" s="196"/>
      <c r="E397" s="196"/>
      <c r="F397" s="197"/>
      <c r="G397" s="196"/>
    </row>
    <row r="398" spans="1:7">
      <c r="A398" s="188">
        <v>395</v>
      </c>
      <c r="B398" s="196" t="s">
        <v>306</v>
      </c>
      <c r="C398" s="196"/>
      <c r="D398" s="196"/>
      <c r="E398" s="196"/>
      <c r="F398" s="197"/>
      <c r="G398" s="196"/>
    </row>
    <row r="399" spans="1:7">
      <c r="A399" s="188">
        <v>396</v>
      </c>
      <c r="B399" s="196" t="s">
        <v>305</v>
      </c>
      <c r="C399" s="196"/>
      <c r="D399" s="196"/>
      <c r="E399" s="196"/>
      <c r="F399" s="197"/>
      <c r="G399" s="196"/>
    </row>
    <row r="400" spans="1:7">
      <c r="A400" s="188">
        <v>397</v>
      </c>
      <c r="B400" s="196" t="s">
        <v>304</v>
      </c>
      <c r="C400" s="196"/>
      <c r="D400" s="196"/>
      <c r="E400" s="196"/>
      <c r="F400" s="197"/>
      <c r="G400" s="196"/>
    </row>
    <row r="401" spans="1:7">
      <c r="A401" s="188">
        <v>398</v>
      </c>
      <c r="B401" s="196" t="s">
        <v>303</v>
      </c>
      <c r="C401" s="196"/>
      <c r="D401" s="196"/>
      <c r="E401" s="196"/>
      <c r="F401" s="197"/>
      <c r="G401" s="196"/>
    </row>
    <row r="402" spans="1:7">
      <c r="A402" s="188">
        <v>399</v>
      </c>
      <c r="B402" s="196" t="s">
        <v>302</v>
      </c>
      <c r="C402" s="196"/>
      <c r="D402" s="196"/>
      <c r="E402" s="196"/>
      <c r="F402" s="197"/>
      <c r="G402" s="196"/>
    </row>
    <row r="403" spans="1:7">
      <c r="A403" s="188">
        <v>400</v>
      </c>
      <c r="B403" s="196" t="s">
        <v>301</v>
      </c>
      <c r="C403" s="196"/>
      <c r="D403" s="196"/>
      <c r="E403" s="196"/>
      <c r="F403" s="197"/>
      <c r="G403" s="196"/>
    </row>
    <row r="404" spans="1:7">
      <c r="A404" s="188">
        <v>401</v>
      </c>
      <c r="B404" s="196" t="s">
        <v>300</v>
      </c>
      <c r="C404" s="196"/>
      <c r="D404" s="196"/>
      <c r="E404" s="196"/>
      <c r="F404" s="197"/>
      <c r="G404" s="196"/>
    </row>
    <row r="405" spans="1:7">
      <c r="A405" s="188">
        <v>402</v>
      </c>
      <c r="B405" s="196" t="s">
        <v>299</v>
      </c>
      <c r="C405" s="196"/>
      <c r="D405" s="196"/>
      <c r="E405" s="196"/>
      <c r="F405" s="197"/>
      <c r="G405" s="196"/>
    </row>
    <row r="406" spans="1:7">
      <c r="A406" s="188">
        <v>403</v>
      </c>
      <c r="B406" s="196" t="s">
        <v>298</v>
      </c>
      <c r="C406" s="196"/>
      <c r="D406" s="196"/>
      <c r="E406" s="196"/>
      <c r="F406" s="197"/>
      <c r="G406" s="196"/>
    </row>
    <row r="407" spans="1:7">
      <c r="A407" s="188">
        <v>404</v>
      </c>
      <c r="B407" s="196" t="s">
        <v>297</v>
      </c>
      <c r="C407" s="196"/>
      <c r="D407" s="196"/>
      <c r="E407" s="196"/>
      <c r="F407" s="197"/>
      <c r="G407" s="196"/>
    </row>
    <row r="408" spans="1:7">
      <c r="A408" s="188">
        <v>405</v>
      </c>
      <c r="B408" s="196" t="s">
        <v>296</v>
      </c>
      <c r="C408" s="196"/>
      <c r="D408" s="196"/>
      <c r="E408" s="196"/>
      <c r="F408" s="197"/>
      <c r="G408" s="196"/>
    </row>
    <row r="409" spans="1:7">
      <c r="A409" s="188">
        <v>406</v>
      </c>
      <c r="B409" s="196" t="s">
        <v>295</v>
      </c>
      <c r="C409" s="196"/>
      <c r="D409" s="196"/>
      <c r="E409" s="196"/>
      <c r="F409" s="197"/>
      <c r="G409" s="196"/>
    </row>
    <row r="410" spans="1:7">
      <c r="A410" s="188">
        <v>407</v>
      </c>
      <c r="B410" s="196" t="s">
        <v>294</v>
      </c>
      <c r="C410" s="196"/>
      <c r="D410" s="196"/>
      <c r="E410" s="196"/>
      <c r="F410" s="197"/>
      <c r="G410" s="196"/>
    </row>
    <row r="411" spans="1:7">
      <c r="A411" s="188">
        <v>408</v>
      </c>
      <c r="B411" s="196" t="s">
        <v>293</v>
      </c>
      <c r="C411" s="196"/>
      <c r="D411" s="196"/>
      <c r="E411" s="196"/>
      <c r="F411" s="197"/>
      <c r="G411" s="196"/>
    </row>
    <row r="412" spans="1:7">
      <c r="A412" s="188">
        <v>409</v>
      </c>
      <c r="B412" s="196" t="s">
        <v>292</v>
      </c>
      <c r="C412" s="196"/>
      <c r="D412" s="196"/>
      <c r="E412" s="196"/>
      <c r="F412" s="197"/>
      <c r="G412" s="196"/>
    </row>
    <row r="413" spans="1:7">
      <c r="A413" s="188">
        <v>410</v>
      </c>
      <c r="B413" s="196" t="s">
        <v>291</v>
      </c>
      <c r="C413" s="196"/>
      <c r="D413" s="196"/>
      <c r="E413" s="196"/>
      <c r="F413" s="197"/>
      <c r="G413" s="196"/>
    </row>
    <row r="414" spans="1:7">
      <c r="A414" s="188">
        <v>411</v>
      </c>
      <c r="B414" s="196" t="s">
        <v>290</v>
      </c>
      <c r="C414" s="196"/>
      <c r="D414" s="196"/>
      <c r="E414" s="196"/>
      <c r="F414" s="197"/>
      <c r="G414" s="196"/>
    </row>
    <row r="415" spans="1:7">
      <c r="A415" s="188">
        <v>412</v>
      </c>
      <c r="B415" s="196" t="s">
        <v>289</v>
      </c>
      <c r="C415" s="196"/>
      <c r="D415" s="196"/>
      <c r="E415" s="196"/>
      <c r="F415" s="197"/>
      <c r="G415" s="196"/>
    </row>
    <row r="416" spans="1:7">
      <c r="A416" s="188">
        <v>413</v>
      </c>
      <c r="B416" s="196" t="s">
        <v>288</v>
      </c>
      <c r="C416" s="196"/>
      <c r="D416" s="196"/>
      <c r="E416" s="196"/>
      <c r="F416" s="197"/>
      <c r="G416" s="196"/>
    </row>
    <row r="417" spans="1:7">
      <c r="A417" s="188">
        <v>414</v>
      </c>
      <c r="B417" s="196" t="s">
        <v>287</v>
      </c>
      <c r="C417" s="196"/>
      <c r="D417" s="196"/>
      <c r="E417" s="196"/>
      <c r="F417" s="197"/>
      <c r="G417" s="196"/>
    </row>
    <row r="418" spans="1:7">
      <c r="A418" s="188">
        <v>415</v>
      </c>
      <c r="B418" s="196" t="s">
        <v>286</v>
      </c>
      <c r="C418" s="196"/>
      <c r="D418" s="196"/>
      <c r="E418" s="196"/>
      <c r="F418" s="197"/>
      <c r="G418" s="196"/>
    </row>
    <row r="419" spans="1:7">
      <c r="A419" s="188">
        <v>416</v>
      </c>
      <c r="B419" s="196" t="s">
        <v>285</v>
      </c>
      <c r="C419" s="196"/>
      <c r="D419" s="196"/>
      <c r="E419" s="196"/>
      <c r="F419" s="197"/>
      <c r="G419" s="196"/>
    </row>
    <row r="420" spans="1:7">
      <c r="A420" s="188">
        <v>417</v>
      </c>
      <c r="B420" s="196" t="s">
        <v>284</v>
      </c>
      <c r="C420" s="196"/>
      <c r="D420" s="196"/>
      <c r="E420" s="196"/>
      <c r="F420" s="197"/>
      <c r="G420" s="196"/>
    </row>
    <row r="421" spans="1:7">
      <c r="A421" s="188">
        <v>418</v>
      </c>
      <c r="B421" s="196" t="s">
        <v>283</v>
      </c>
      <c r="C421" s="196"/>
      <c r="D421" s="196"/>
      <c r="E421" s="196"/>
      <c r="F421" s="197"/>
      <c r="G421" s="196"/>
    </row>
    <row r="422" spans="1:7">
      <c r="A422" s="188">
        <v>419</v>
      </c>
      <c r="B422" s="196" t="s">
        <v>282</v>
      </c>
      <c r="C422" s="196"/>
      <c r="D422" s="196"/>
      <c r="E422" s="196"/>
      <c r="F422" s="197"/>
      <c r="G422" s="196"/>
    </row>
    <row r="423" spans="1:7">
      <c r="A423" s="188">
        <v>420</v>
      </c>
      <c r="B423" s="196" t="s">
        <v>281</v>
      </c>
      <c r="C423" s="196"/>
      <c r="D423" s="196"/>
      <c r="E423" s="196"/>
      <c r="F423" s="197"/>
      <c r="G423" s="196"/>
    </row>
    <row r="424" spans="1:7">
      <c r="A424" s="188">
        <v>421</v>
      </c>
      <c r="B424" s="196" t="s">
        <v>280</v>
      </c>
      <c r="C424" s="196"/>
      <c r="D424" s="196"/>
      <c r="E424" s="196"/>
      <c r="F424" s="197"/>
      <c r="G424" s="196"/>
    </row>
    <row r="425" spans="1:7">
      <c r="A425" s="188">
        <v>422</v>
      </c>
      <c r="B425" s="196" t="s">
        <v>279</v>
      </c>
      <c r="C425" s="196"/>
      <c r="D425" s="196"/>
      <c r="E425" s="196"/>
      <c r="F425" s="197"/>
      <c r="G425" s="196"/>
    </row>
    <row r="426" spans="1:7">
      <c r="A426" s="188">
        <v>423</v>
      </c>
      <c r="B426" s="196" t="s">
        <v>278</v>
      </c>
      <c r="C426" s="196"/>
      <c r="D426" s="196"/>
      <c r="E426" s="196"/>
      <c r="F426" s="197"/>
      <c r="G426" s="196"/>
    </row>
    <row r="427" spans="1:7">
      <c r="A427" s="188">
        <v>424</v>
      </c>
      <c r="B427" s="196" t="s">
        <v>277</v>
      </c>
      <c r="C427" s="196"/>
      <c r="D427" s="196"/>
      <c r="E427" s="196"/>
      <c r="F427" s="197"/>
      <c r="G427" s="196"/>
    </row>
    <row r="428" spans="1:7">
      <c r="A428" s="188">
        <v>425</v>
      </c>
      <c r="B428" s="196" t="s">
        <v>276</v>
      </c>
      <c r="C428" s="196"/>
      <c r="D428" s="196"/>
      <c r="E428" s="196"/>
      <c r="F428" s="197"/>
      <c r="G428" s="196"/>
    </row>
    <row r="429" spans="1:7">
      <c r="A429" s="188">
        <v>426</v>
      </c>
      <c r="B429" s="196" t="s">
        <v>275</v>
      </c>
      <c r="C429" s="196"/>
      <c r="D429" s="196"/>
      <c r="E429" s="196"/>
      <c r="F429" s="197"/>
      <c r="G429" s="196"/>
    </row>
    <row r="430" spans="1:7">
      <c r="A430" s="188">
        <v>427</v>
      </c>
      <c r="B430" s="196" t="s">
        <v>274</v>
      </c>
      <c r="C430" s="196"/>
      <c r="D430" s="196"/>
      <c r="E430" s="196"/>
      <c r="F430" s="197"/>
      <c r="G430" s="196"/>
    </row>
    <row r="431" spans="1:7">
      <c r="A431" s="188">
        <v>428</v>
      </c>
      <c r="B431" s="196" t="s">
        <v>273</v>
      </c>
      <c r="C431" s="196"/>
      <c r="D431" s="196"/>
      <c r="E431" s="196"/>
      <c r="F431" s="197"/>
      <c r="G431" s="196"/>
    </row>
    <row r="432" spans="1:7">
      <c r="A432" s="188">
        <v>429</v>
      </c>
      <c r="B432" s="196" t="s">
        <v>272</v>
      </c>
      <c r="C432" s="196"/>
      <c r="D432" s="196"/>
      <c r="E432" s="196"/>
      <c r="F432" s="197"/>
      <c r="G432" s="196"/>
    </row>
    <row r="433" spans="1:7">
      <c r="A433" s="188">
        <v>430</v>
      </c>
      <c r="B433" s="196" t="s">
        <v>271</v>
      </c>
      <c r="C433" s="196"/>
      <c r="D433" s="196"/>
      <c r="E433" s="196"/>
      <c r="F433" s="197"/>
      <c r="G433" s="196"/>
    </row>
    <row r="434" spans="1:7">
      <c r="A434" s="188">
        <v>431</v>
      </c>
      <c r="B434" s="196" t="s">
        <v>270</v>
      </c>
      <c r="C434" s="196"/>
      <c r="D434" s="196"/>
      <c r="E434" s="196"/>
      <c r="F434" s="197"/>
      <c r="G434" s="196"/>
    </row>
    <row r="435" spans="1:7">
      <c r="A435" s="188">
        <v>432</v>
      </c>
      <c r="B435" s="196" t="s">
        <v>269</v>
      </c>
      <c r="C435" s="196"/>
      <c r="D435" s="196"/>
      <c r="E435" s="196"/>
      <c r="F435" s="197"/>
      <c r="G435" s="196"/>
    </row>
    <row r="436" spans="1:7">
      <c r="A436" s="188">
        <v>433</v>
      </c>
      <c r="B436" s="196" t="s">
        <v>268</v>
      </c>
      <c r="C436" s="196"/>
      <c r="D436" s="196"/>
      <c r="E436" s="196"/>
      <c r="F436" s="197"/>
      <c r="G436" s="196"/>
    </row>
    <row r="437" spans="1:7">
      <c r="A437" s="188">
        <v>434</v>
      </c>
      <c r="B437" s="196" t="s">
        <v>267</v>
      </c>
      <c r="C437" s="196"/>
      <c r="D437" s="196"/>
      <c r="E437" s="196"/>
      <c r="F437" s="197"/>
      <c r="G437" s="196"/>
    </row>
    <row r="438" spans="1:7">
      <c r="A438" s="188">
        <v>435</v>
      </c>
      <c r="B438" s="196" t="s">
        <v>266</v>
      </c>
      <c r="C438" s="196"/>
      <c r="D438" s="196"/>
      <c r="E438" s="196"/>
      <c r="F438" s="197"/>
      <c r="G438" s="196"/>
    </row>
    <row r="439" spans="1:7">
      <c r="A439" s="188">
        <v>436</v>
      </c>
      <c r="B439" s="196" t="s">
        <v>265</v>
      </c>
      <c r="C439" s="196"/>
      <c r="D439" s="196"/>
      <c r="E439" s="196"/>
      <c r="F439" s="197"/>
      <c r="G439" s="196"/>
    </row>
    <row r="440" spans="1:7">
      <c r="A440" s="188">
        <v>437</v>
      </c>
      <c r="B440" s="196" t="s">
        <v>264</v>
      </c>
      <c r="C440" s="196"/>
      <c r="D440" s="196"/>
      <c r="E440" s="196"/>
      <c r="F440" s="197"/>
      <c r="G440" s="196"/>
    </row>
    <row r="441" spans="1:7">
      <c r="A441" s="188">
        <v>438</v>
      </c>
      <c r="B441" s="196" t="s">
        <v>263</v>
      </c>
      <c r="C441" s="196"/>
      <c r="D441" s="196"/>
      <c r="E441" s="196"/>
      <c r="F441" s="197"/>
      <c r="G441" s="196"/>
    </row>
    <row r="442" spans="1:7">
      <c r="A442" s="188">
        <v>439</v>
      </c>
      <c r="B442" s="196" t="s">
        <v>262</v>
      </c>
      <c r="C442" s="196"/>
      <c r="D442" s="196"/>
      <c r="E442" s="196"/>
      <c r="F442" s="197"/>
      <c r="G442" s="196"/>
    </row>
    <row r="443" spans="1:7">
      <c r="A443" s="188">
        <v>440</v>
      </c>
      <c r="B443" s="196" t="s">
        <v>261</v>
      </c>
      <c r="C443" s="196"/>
      <c r="D443" s="196"/>
      <c r="E443" s="196"/>
      <c r="F443" s="197"/>
      <c r="G443" s="196"/>
    </row>
    <row r="444" spans="1:7">
      <c r="A444" s="188">
        <v>441</v>
      </c>
      <c r="B444" s="196" t="s">
        <v>260</v>
      </c>
      <c r="C444" s="196"/>
      <c r="D444" s="196"/>
      <c r="E444" s="196"/>
      <c r="F444" s="197"/>
      <c r="G444" s="196"/>
    </row>
    <row r="445" spans="1:7">
      <c r="A445" s="188">
        <v>442</v>
      </c>
      <c r="B445" s="196" t="s">
        <v>259</v>
      </c>
      <c r="C445" s="196"/>
      <c r="D445" s="196"/>
      <c r="E445" s="196"/>
      <c r="F445" s="197"/>
      <c r="G445" s="196"/>
    </row>
    <row r="446" spans="1:7">
      <c r="A446" s="188">
        <v>443</v>
      </c>
      <c r="B446" s="196" t="s">
        <v>258</v>
      </c>
      <c r="C446" s="196"/>
      <c r="D446" s="196"/>
      <c r="E446" s="196"/>
      <c r="F446" s="197"/>
      <c r="G446" s="196"/>
    </row>
    <row r="447" spans="1:7">
      <c r="A447" s="188">
        <v>444</v>
      </c>
      <c r="B447" s="196" t="s">
        <v>257</v>
      </c>
      <c r="C447" s="196"/>
      <c r="D447" s="196"/>
      <c r="E447" s="196"/>
      <c r="F447" s="197"/>
      <c r="G447" s="196"/>
    </row>
    <row r="448" spans="1:7">
      <c r="A448" s="188">
        <v>445</v>
      </c>
      <c r="B448" s="196" t="s">
        <v>256</v>
      </c>
      <c r="C448" s="196"/>
      <c r="D448" s="196"/>
      <c r="E448" s="196"/>
      <c r="F448" s="197"/>
      <c r="G448" s="196"/>
    </row>
    <row r="449" spans="1:7">
      <c r="A449" s="188">
        <v>446</v>
      </c>
      <c r="B449" s="196" t="s">
        <v>255</v>
      </c>
      <c r="C449" s="196"/>
      <c r="D449" s="196"/>
      <c r="E449" s="196"/>
      <c r="F449" s="197"/>
      <c r="G449" s="196"/>
    </row>
    <row r="450" spans="1:7">
      <c r="A450" s="188">
        <v>447</v>
      </c>
      <c r="B450" s="196" t="s">
        <v>254</v>
      </c>
      <c r="C450" s="196"/>
      <c r="D450" s="196"/>
      <c r="E450" s="196"/>
      <c r="F450" s="197"/>
      <c r="G450" s="196"/>
    </row>
    <row r="451" spans="1:7">
      <c r="A451" s="188">
        <v>448</v>
      </c>
      <c r="B451" s="196" t="s">
        <v>253</v>
      </c>
      <c r="C451" s="196"/>
      <c r="D451" s="196"/>
      <c r="E451" s="196"/>
      <c r="F451" s="197"/>
      <c r="G451" s="196"/>
    </row>
    <row r="452" spans="1:7">
      <c r="A452" s="188">
        <v>449</v>
      </c>
      <c r="B452" s="196" t="s">
        <v>252</v>
      </c>
      <c r="C452" s="196"/>
      <c r="D452" s="196"/>
      <c r="E452" s="196"/>
      <c r="F452" s="197"/>
      <c r="G452" s="196"/>
    </row>
    <row r="453" spans="1:7">
      <c r="A453" s="188">
        <v>450</v>
      </c>
      <c r="B453" s="196" t="s">
        <v>251</v>
      </c>
      <c r="C453" s="196"/>
      <c r="D453" s="196"/>
      <c r="E453" s="196"/>
      <c r="F453" s="197"/>
      <c r="G453" s="196"/>
    </row>
    <row r="454" spans="1:7">
      <c r="A454" s="188">
        <v>451</v>
      </c>
      <c r="B454" s="196" t="s">
        <v>250</v>
      </c>
      <c r="C454" s="196"/>
      <c r="D454" s="196"/>
      <c r="E454" s="196"/>
      <c r="F454" s="197"/>
      <c r="G454" s="196"/>
    </row>
    <row r="455" spans="1:7">
      <c r="A455" s="188">
        <v>452</v>
      </c>
      <c r="B455" s="196" t="s">
        <v>249</v>
      </c>
      <c r="C455" s="196"/>
      <c r="D455" s="196"/>
      <c r="E455" s="196"/>
      <c r="F455" s="197"/>
      <c r="G455" s="196"/>
    </row>
    <row r="456" spans="1:7">
      <c r="A456" s="188">
        <v>453</v>
      </c>
      <c r="B456" s="196" t="s">
        <v>248</v>
      </c>
      <c r="C456" s="196"/>
      <c r="D456" s="196"/>
      <c r="E456" s="196"/>
      <c r="F456" s="197"/>
      <c r="G456" s="196"/>
    </row>
    <row r="457" spans="1:7">
      <c r="A457" s="188">
        <v>454</v>
      </c>
      <c r="B457" s="196" t="s">
        <v>247</v>
      </c>
      <c r="C457" s="196"/>
      <c r="D457" s="196"/>
      <c r="E457" s="196"/>
      <c r="F457" s="197"/>
      <c r="G457" s="196"/>
    </row>
    <row r="458" spans="1:7">
      <c r="A458" s="188">
        <v>455</v>
      </c>
      <c r="B458" s="196" t="s">
        <v>246</v>
      </c>
      <c r="C458" s="196"/>
      <c r="D458" s="196"/>
      <c r="E458" s="196"/>
      <c r="F458" s="197"/>
      <c r="G458" s="196"/>
    </row>
    <row r="459" spans="1:7">
      <c r="A459" s="188">
        <v>456</v>
      </c>
      <c r="B459" s="196" t="s">
        <v>245</v>
      </c>
      <c r="C459" s="196"/>
      <c r="D459" s="196"/>
      <c r="E459" s="196"/>
      <c r="F459" s="197"/>
      <c r="G459" s="196"/>
    </row>
    <row r="460" spans="1:7">
      <c r="A460" s="188">
        <v>457</v>
      </c>
      <c r="B460" s="196" t="s">
        <v>244</v>
      </c>
      <c r="C460" s="196"/>
      <c r="D460" s="196"/>
      <c r="E460" s="196"/>
      <c r="F460" s="197"/>
      <c r="G460" s="196"/>
    </row>
    <row r="461" spans="1:7">
      <c r="A461" s="188">
        <v>458</v>
      </c>
      <c r="B461" s="196" t="s">
        <v>243</v>
      </c>
      <c r="C461" s="196"/>
      <c r="D461" s="196"/>
      <c r="E461" s="196"/>
      <c r="F461" s="197"/>
      <c r="G461" s="196"/>
    </row>
    <row r="462" spans="1:7">
      <c r="A462" s="188">
        <v>459</v>
      </c>
      <c r="B462" s="196" t="s">
        <v>242</v>
      </c>
      <c r="C462" s="196"/>
      <c r="D462" s="196"/>
      <c r="E462" s="196"/>
      <c r="F462" s="197"/>
      <c r="G462" s="196"/>
    </row>
    <row r="463" spans="1:7">
      <c r="A463" s="188">
        <v>460</v>
      </c>
      <c r="B463" s="196" t="s">
        <v>241</v>
      </c>
      <c r="C463" s="196"/>
      <c r="D463" s="196"/>
      <c r="E463" s="196"/>
      <c r="F463" s="197"/>
      <c r="G463" s="196"/>
    </row>
    <row r="464" spans="1:7">
      <c r="A464" s="188">
        <v>461</v>
      </c>
      <c r="B464" s="196" t="s">
        <v>240</v>
      </c>
      <c r="C464" s="196"/>
      <c r="D464" s="196"/>
      <c r="E464" s="196"/>
      <c r="F464" s="197"/>
      <c r="G464" s="196"/>
    </row>
    <row r="465" spans="1:7">
      <c r="A465" s="188">
        <v>462</v>
      </c>
      <c r="B465" s="196" t="s">
        <v>239</v>
      </c>
      <c r="C465" s="196"/>
      <c r="D465" s="196"/>
      <c r="E465" s="196"/>
      <c r="F465" s="197"/>
      <c r="G465" s="196"/>
    </row>
    <row r="466" spans="1:7">
      <c r="A466" s="188">
        <v>463</v>
      </c>
      <c r="B466" s="196" t="s">
        <v>238</v>
      </c>
      <c r="C466" s="196"/>
      <c r="D466" s="196"/>
      <c r="E466" s="196"/>
      <c r="F466" s="197"/>
      <c r="G466" s="196"/>
    </row>
    <row r="467" spans="1:7">
      <c r="A467" s="188">
        <v>464</v>
      </c>
      <c r="B467" s="196" t="s">
        <v>237</v>
      </c>
      <c r="C467" s="196"/>
      <c r="D467" s="196"/>
      <c r="E467" s="196"/>
      <c r="F467" s="197"/>
      <c r="G467" s="196"/>
    </row>
    <row r="468" spans="1:7">
      <c r="A468" s="188">
        <v>465</v>
      </c>
      <c r="B468" s="196" t="s">
        <v>236</v>
      </c>
      <c r="C468" s="196"/>
      <c r="D468" s="196"/>
      <c r="E468" s="196"/>
      <c r="F468" s="197"/>
      <c r="G468" s="196"/>
    </row>
    <row r="469" spans="1:7">
      <c r="A469" s="188">
        <v>466</v>
      </c>
      <c r="B469" s="196" t="s">
        <v>235</v>
      </c>
      <c r="C469" s="196"/>
      <c r="D469" s="196"/>
      <c r="E469" s="196"/>
      <c r="F469" s="197"/>
      <c r="G469" s="196"/>
    </row>
    <row r="470" spans="1:7">
      <c r="A470" s="188">
        <v>467</v>
      </c>
      <c r="B470" s="196" t="s">
        <v>234</v>
      </c>
      <c r="C470" s="196"/>
      <c r="D470" s="196"/>
      <c r="E470" s="196"/>
      <c r="F470" s="197"/>
      <c r="G470" s="196"/>
    </row>
    <row r="471" spans="1:7">
      <c r="A471" s="188">
        <v>468</v>
      </c>
      <c r="B471" s="196" t="s">
        <v>233</v>
      </c>
      <c r="C471" s="196"/>
      <c r="D471" s="196"/>
      <c r="E471" s="196"/>
      <c r="F471" s="197"/>
      <c r="G471" s="196"/>
    </row>
    <row r="472" spans="1:7">
      <c r="A472" s="188">
        <v>469</v>
      </c>
      <c r="B472" s="196" t="s">
        <v>232</v>
      </c>
      <c r="C472" s="196"/>
      <c r="D472" s="196"/>
      <c r="E472" s="196"/>
      <c r="F472" s="197"/>
      <c r="G472" s="196"/>
    </row>
    <row r="473" spans="1:7">
      <c r="A473" s="188">
        <v>470</v>
      </c>
      <c r="B473" s="196" t="s">
        <v>231</v>
      </c>
      <c r="C473" s="196"/>
      <c r="D473" s="196"/>
      <c r="E473" s="196"/>
      <c r="F473" s="197"/>
      <c r="G473" s="196"/>
    </row>
    <row r="474" spans="1:7">
      <c r="A474" s="188">
        <v>471</v>
      </c>
      <c r="B474" s="196" t="s">
        <v>230</v>
      </c>
      <c r="C474" s="196"/>
      <c r="D474" s="196"/>
      <c r="E474" s="196"/>
      <c r="F474" s="197"/>
      <c r="G474" s="196"/>
    </row>
    <row r="475" spans="1:7">
      <c r="A475" s="188">
        <v>472</v>
      </c>
      <c r="B475" s="196" t="s">
        <v>229</v>
      </c>
      <c r="C475" s="196"/>
      <c r="D475" s="196"/>
      <c r="E475" s="196"/>
      <c r="F475" s="197"/>
      <c r="G475" s="196"/>
    </row>
    <row r="476" spans="1:7">
      <c r="A476" s="188">
        <v>473</v>
      </c>
      <c r="B476" s="196" t="s">
        <v>228</v>
      </c>
      <c r="C476" s="196"/>
      <c r="D476" s="196"/>
      <c r="E476" s="196"/>
      <c r="F476" s="197"/>
      <c r="G476" s="196"/>
    </row>
    <row r="477" spans="1:7">
      <c r="A477" s="188">
        <v>474</v>
      </c>
      <c r="B477" s="196" t="s">
        <v>227</v>
      </c>
      <c r="C477" s="196"/>
      <c r="D477" s="196"/>
      <c r="E477" s="196"/>
      <c r="F477" s="197"/>
      <c r="G477" s="196"/>
    </row>
    <row r="478" spans="1:7">
      <c r="A478" s="188">
        <v>475</v>
      </c>
      <c r="B478" s="196" t="s">
        <v>226</v>
      </c>
      <c r="C478" s="196"/>
      <c r="D478" s="196"/>
      <c r="E478" s="196"/>
      <c r="F478" s="197"/>
      <c r="G478" s="196"/>
    </row>
    <row r="479" spans="1:7">
      <c r="A479" s="188">
        <v>476</v>
      </c>
      <c r="B479" s="196" t="s">
        <v>225</v>
      </c>
      <c r="C479" s="196"/>
      <c r="D479" s="196"/>
      <c r="E479" s="196"/>
      <c r="F479" s="197"/>
      <c r="G479" s="196"/>
    </row>
    <row r="480" spans="1:7">
      <c r="A480" s="188">
        <v>477</v>
      </c>
      <c r="B480" s="196" t="s">
        <v>224</v>
      </c>
      <c r="C480" s="196"/>
      <c r="D480" s="196"/>
      <c r="E480" s="196"/>
      <c r="F480" s="197"/>
      <c r="G480" s="196"/>
    </row>
    <row r="481" spans="1:7">
      <c r="A481" s="188">
        <v>478</v>
      </c>
      <c r="B481" s="196" t="s">
        <v>223</v>
      </c>
      <c r="C481" s="196"/>
      <c r="D481" s="196"/>
      <c r="E481" s="196"/>
      <c r="F481" s="197"/>
      <c r="G481" s="196"/>
    </row>
    <row r="482" spans="1:7">
      <c r="A482" s="188">
        <v>479</v>
      </c>
      <c r="B482" s="196" t="s">
        <v>222</v>
      </c>
      <c r="C482" s="196"/>
      <c r="D482" s="196"/>
      <c r="E482" s="196"/>
      <c r="F482" s="197"/>
      <c r="G482" s="196"/>
    </row>
    <row r="483" spans="1:7">
      <c r="A483" s="188">
        <v>480</v>
      </c>
      <c r="B483" s="196" t="s">
        <v>221</v>
      </c>
      <c r="C483" s="196"/>
      <c r="D483" s="196"/>
      <c r="E483" s="196"/>
      <c r="F483" s="197"/>
      <c r="G483" s="196"/>
    </row>
    <row r="484" spans="1:7">
      <c r="A484" s="188">
        <v>481</v>
      </c>
      <c r="B484" s="196" t="s">
        <v>220</v>
      </c>
      <c r="C484" s="196"/>
      <c r="D484" s="196"/>
      <c r="E484" s="196"/>
      <c r="F484" s="197"/>
      <c r="G484" s="196"/>
    </row>
    <row r="485" spans="1:7">
      <c r="A485" s="188">
        <v>482</v>
      </c>
      <c r="B485" s="196" t="s">
        <v>219</v>
      </c>
      <c r="C485" s="196"/>
      <c r="D485" s="196"/>
      <c r="E485" s="196"/>
      <c r="F485" s="197"/>
      <c r="G485" s="196"/>
    </row>
    <row r="486" spans="1:7">
      <c r="A486" s="188">
        <v>483</v>
      </c>
      <c r="B486" s="196" t="s">
        <v>218</v>
      </c>
      <c r="C486" s="196"/>
      <c r="D486" s="196"/>
      <c r="E486" s="196"/>
      <c r="F486" s="197"/>
      <c r="G486" s="196"/>
    </row>
    <row r="487" spans="1:7">
      <c r="A487" s="188">
        <v>484</v>
      </c>
      <c r="B487" s="196" t="s">
        <v>217</v>
      </c>
      <c r="C487" s="196"/>
      <c r="D487" s="196"/>
      <c r="E487" s="196"/>
      <c r="F487" s="197"/>
      <c r="G487" s="196"/>
    </row>
    <row r="488" spans="1:7">
      <c r="A488" s="188">
        <v>485</v>
      </c>
      <c r="B488" s="196" t="s">
        <v>216</v>
      </c>
      <c r="C488" s="196"/>
      <c r="D488" s="196"/>
      <c r="E488" s="196"/>
      <c r="F488" s="197"/>
      <c r="G488" s="196"/>
    </row>
    <row r="489" spans="1:7">
      <c r="A489" s="188">
        <v>486</v>
      </c>
      <c r="B489" s="196" t="s">
        <v>215</v>
      </c>
      <c r="C489" s="196"/>
      <c r="D489" s="196"/>
      <c r="E489" s="196"/>
      <c r="F489" s="197"/>
      <c r="G489" s="196"/>
    </row>
    <row r="490" spans="1:7">
      <c r="A490" s="188">
        <v>487</v>
      </c>
      <c r="B490" s="196" t="s">
        <v>214</v>
      </c>
      <c r="C490" s="196"/>
      <c r="D490" s="196"/>
      <c r="E490" s="196"/>
      <c r="F490" s="197"/>
      <c r="G490" s="196"/>
    </row>
    <row r="491" spans="1:7">
      <c r="A491" s="188">
        <v>488</v>
      </c>
      <c r="B491" s="196" t="s">
        <v>213</v>
      </c>
      <c r="C491" s="196"/>
      <c r="D491" s="196"/>
      <c r="E491" s="196"/>
      <c r="F491" s="197"/>
      <c r="G491" s="196"/>
    </row>
    <row r="492" spans="1:7">
      <c r="A492" s="188">
        <v>489</v>
      </c>
      <c r="B492" s="196" t="s">
        <v>212</v>
      </c>
      <c r="C492" s="196"/>
      <c r="D492" s="196"/>
      <c r="E492" s="196"/>
      <c r="F492" s="197"/>
      <c r="G492" s="196"/>
    </row>
    <row r="493" spans="1:7">
      <c r="A493" s="188">
        <v>490</v>
      </c>
      <c r="B493" s="196" t="s">
        <v>211</v>
      </c>
      <c r="C493" s="196"/>
      <c r="D493" s="196"/>
      <c r="E493" s="196"/>
      <c r="F493" s="197"/>
      <c r="G493" s="196"/>
    </row>
    <row r="494" spans="1:7">
      <c r="A494" s="188">
        <v>491</v>
      </c>
      <c r="B494" s="196" t="s">
        <v>210</v>
      </c>
      <c r="C494" s="196"/>
      <c r="D494" s="196"/>
      <c r="E494" s="196"/>
      <c r="F494" s="197"/>
      <c r="G494" s="196"/>
    </row>
    <row r="495" spans="1:7">
      <c r="A495" s="188">
        <v>492</v>
      </c>
      <c r="B495" s="196" t="s">
        <v>209</v>
      </c>
      <c r="C495" s="196"/>
      <c r="D495" s="196"/>
      <c r="E495" s="196"/>
      <c r="F495" s="197"/>
      <c r="G495" s="196"/>
    </row>
    <row r="496" spans="1:7">
      <c r="A496" s="188">
        <v>493</v>
      </c>
      <c r="B496" s="196" t="s">
        <v>208</v>
      </c>
      <c r="C496" s="196"/>
      <c r="D496" s="196"/>
      <c r="E496" s="196"/>
      <c r="F496" s="197"/>
      <c r="G496" s="196"/>
    </row>
    <row r="497" spans="1:7">
      <c r="A497" s="188">
        <v>494</v>
      </c>
      <c r="B497" s="196" t="s">
        <v>207</v>
      </c>
      <c r="C497" s="196"/>
      <c r="D497" s="196"/>
      <c r="E497" s="196"/>
      <c r="F497" s="197"/>
      <c r="G497" s="196"/>
    </row>
    <row r="498" spans="1:7">
      <c r="A498" s="188">
        <v>495</v>
      </c>
      <c r="B498" s="196" t="s">
        <v>206</v>
      </c>
      <c r="C498" s="196"/>
      <c r="D498" s="196"/>
      <c r="E498" s="196"/>
      <c r="F498" s="197"/>
      <c r="G498" s="196"/>
    </row>
    <row r="499" spans="1:7">
      <c r="A499" s="188">
        <v>496</v>
      </c>
      <c r="B499" s="196" t="s">
        <v>205</v>
      </c>
      <c r="C499" s="196"/>
      <c r="D499" s="196"/>
      <c r="E499" s="196"/>
      <c r="F499" s="197"/>
      <c r="G499" s="196"/>
    </row>
    <row r="500" spans="1:7">
      <c r="A500" s="188">
        <v>497</v>
      </c>
      <c r="B500" s="196" t="s">
        <v>204</v>
      </c>
      <c r="C500" s="196"/>
      <c r="D500" s="196"/>
      <c r="E500" s="196"/>
      <c r="F500" s="197"/>
      <c r="G500" s="196"/>
    </row>
    <row r="501" spans="1:7">
      <c r="A501" s="188">
        <v>498</v>
      </c>
      <c r="B501" s="196" t="s">
        <v>203</v>
      </c>
      <c r="C501" s="196"/>
      <c r="D501" s="196"/>
      <c r="E501" s="196"/>
      <c r="F501" s="197"/>
      <c r="G501" s="196"/>
    </row>
    <row r="502" spans="1:7">
      <c r="A502" s="188">
        <v>499</v>
      </c>
      <c r="B502" s="196" t="s">
        <v>202</v>
      </c>
      <c r="C502" s="196"/>
      <c r="D502" s="196"/>
      <c r="E502" s="196"/>
      <c r="F502" s="197"/>
      <c r="G502" s="196"/>
    </row>
    <row r="503" spans="1:7">
      <c r="A503" s="188">
        <v>500</v>
      </c>
      <c r="B503" s="196" t="s">
        <v>201</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dimension ref="A1:IV45"/>
  <sheetViews>
    <sheetView topLeftCell="A8" workbookViewId="0">
      <selection activeCell="K29" sqref="K29"/>
    </sheetView>
  </sheetViews>
  <sheetFormatPr defaultColWidth="12.28515625" defaultRowHeight="12.75"/>
  <sheetData>
    <row r="1" spans="1:256" ht="25.5" customHeight="1">
      <c r="A1" s="245" t="s">
        <v>612</v>
      </c>
      <c r="B1" s="245"/>
      <c r="C1" s="245"/>
      <c r="D1" s="245"/>
      <c r="E1" s="245"/>
      <c r="F1" s="245"/>
      <c r="G1" s="245"/>
      <c r="H1" s="245"/>
      <c r="I1" s="245"/>
      <c r="J1" s="245"/>
      <c r="K1" s="245"/>
    </row>
    <row r="3" spans="1:256">
      <c r="A3" t="s">
        <v>609</v>
      </c>
      <c r="B3" s="212">
        <v>40868</v>
      </c>
    </row>
    <row r="4" spans="1:256">
      <c r="A4" t="s">
        <v>608</v>
      </c>
      <c r="B4" s="212">
        <v>40875</v>
      </c>
      <c r="C4" s="200">
        <f>+IV39</f>
        <v>41122</v>
      </c>
    </row>
    <row r="5" spans="1:256">
      <c r="A5" t="s">
        <v>607</v>
      </c>
      <c r="B5" s="211">
        <f>+B4-B3</f>
        <v>7</v>
      </c>
    </row>
    <row r="6" spans="1:256">
      <c r="A6" t="s">
        <v>606</v>
      </c>
      <c r="B6" s="210">
        <f>SUM(estimativa)</f>
        <v>93</v>
      </c>
    </row>
    <row r="7" spans="1:256">
      <c r="A7" t="s">
        <v>605</v>
      </c>
      <c r="B7" s="199">
        <f>+B6/B5</f>
        <v>13.285714285714286</v>
      </c>
    </row>
    <row r="8" spans="1:256" s="209" customFormat="1"/>
    <row r="9" spans="1:256" hidden="1">
      <c r="B9" t="s">
        <v>596</v>
      </c>
      <c r="C9" t="s">
        <v>596</v>
      </c>
      <c r="D9" t="s">
        <v>596</v>
      </c>
      <c r="E9" t="s">
        <v>596</v>
      </c>
      <c r="F9" t="s">
        <v>596</v>
      </c>
      <c r="G9" t="s">
        <v>596</v>
      </c>
      <c r="H9" t="s">
        <v>596</v>
      </c>
      <c r="I9" t="s">
        <v>596</v>
      </c>
      <c r="J9" t="s">
        <v>596</v>
      </c>
      <c r="K9" t="s">
        <v>596</v>
      </c>
      <c r="L9" t="s">
        <v>596</v>
      </c>
      <c r="M9" t="s">
        <v>596</v>
      </c>
      <c r="N9" t="s">
        <v>596</v>
      </c>
      <c r="O9" t="s">
        <v>596</v>
      </c>
      <c r="P9" t="s">
        <v>596</v>
      </c>
      <c r="Q9" t="s">
        <v>596</v>
      </c>
      <c r="R9" t="s">
        <v>596</v>
      </c>
      <c r="S9" t="s">
        <v>596</v>
      </c>
      <c r="T9" t="s">
        <v>596</v>
      </c>
      <c r="U9" t="s">
        <v>596</v>
      </c>
      <c r="V9" t="s">
        <v>596</v>
      </c>
      <c r="W9" t="s">
        <v>596</v>
      </c>
      <c r="X9" t="s">
        <v>596</v>
      </c>
      <c r="Y9" t="s">
        <v>596</v>
      </c>
      <c r="Z9" t="s">
        <v>596</v>
      </c>
      <c r="AA9" t="s">
        <v>596</v>
      </c>
      <c r="AB9" t="s">
        <v>596</v>
      </c>
      <c r="AC9" t="s">
        <v>596</v>
      </c>
      <c r="AD9" t="s">
        <v>596</v>
      </c>
      <c r="AE9" t="s">
        <v>596</v>
      </c>
      <c r="AF9" t="s">
        <v>596</v>
      </c>
      <c r="AG9" t="s">
        <v>596</v>
      </c>
      <c r="AH9" t="s">
        <v>596</v>
      </c>
      <c r="AI9" t="s">
        <v>596</v>
      </c>
      <c r="AJ9" t="s">
        <v>596</v>
      </c>
      <c r="AK9" t="s">
        <v>596</v>
      </c>
      <c r="AL9" t="s">
        <v>596</v>
      </c>
      <c r="AM9" t="s">
        <v>596</v>
      </c>
      <c r="AN9" t="s">
        <v>596</v>
      </c>
      <c r="AO9" t="s">
        <v>596</v>
      </c>
      <c r="AP9" t="s">
        <v>596</v>
      </c>
      <c r="AQ9" t="s">
        <v>596</v>
      </c>
      <c r="AR9" t="s">
        <v>596</v>
      </c>
      <c r="AS9" t="s">
        <v>596</v>
      </c>
      <c r="AT9" t="s">
        <v>596</v>
      </c>
      <c r="AU9" t="s">
        <v>596</v>
      </c>
      <c r="AV9" t="s">
        <v>596</v>
      </c>
      <c r="AW9" t="s">
        <v>596</v>
      </c>
      <c r="AX9" t="s">
        <v>596</v>
      </c>
      <c r="AY9" t="s">
        <v>596</v>
      </c>
      <c r="AZ9" t="s">
        <v>596</v>
      </c>
      <c r="BA9" t="s">
        <v>596</v>
      </c>
      <c r="BB9" t="s">
        <v>596</v>
      </c>
      <c r="BC9" t="s">
        <v>596</v>
      </c>
      <c r="BD9" t="s">
        <v>596</v>
      </c>
      <c r="BE9" t="s">
        <v>596</v>
      </c>
      <c r="BF9" t="s">
        <v>596</v>
      </c>
      <c r="BG9" t="s">
        <v>596</v>
      </c>
      <c r="BH9" t="s">
        <v>596</v>
      </c>
      <c r="BI9" t="s">
        <v>596</v>
      </c>
      <c r="BJ9" t="s">
        <v>596</v>
      </c>
      <c r="BK9" t="s">
        <v>596</v>
      </c>
      <c r="BL9" t="s">
        <v>596</v>
      </c>
      <c r="BM9" t="s">
        <v>596</v>
      </c>
      <c r="BN9" t="s">
        <v>596</v>
      </c>
      <c r="BO9" t="s">
        <v>596</v>
      </c>
      <c r="BP9" t="s">
        <v>596</v>
      </c>
      <c r="BQ9" t="s">
        <v>596</v>
      </c>
      <c r="BR9" t="s">
        <v>596</v>
      </c>
      <c r="BS9" t="s">
        <v>596</v>
      </c>
      <c r="BT9" t="s">
        <v>596</v>
      </c>
      <c r="BU9" t="s">
        <v>596</v>
      </c>
      <c r="BV9" t="s">
        <v>596</v>
      </c>
      <c r="BW9" t="s">
        <v>596</v>
      </c>
      <c r="BX9" t="s">
        <v>596</v>
      </c>
      <c r="BY9" t="s">
        <v>596</v>
      </c>
      <c r="BZ9" t="s">
        <v>596</v>
      </c>
      <c r="CA9" t="s">
        <v>596</v>
      </c>
      <c r="CB9" t="s">
        <v>596</v>
      </c>
      <c r="CC9" t="s">
        <v>596</v>
      </c>
      <c r="CD9" t="s">
        <v>596</v>
      </c>
      <c r="CE9" t="s">
        <v>596</v>
      </c>
      <c r="CF9" t="s">
        <v>596</v>
      </c>
      <c r="CG9" t="s">
        <v>596</v>
      </c>
      <c r="CH9" t="s">
        <v>596</v>
      </c>
      <c r="CI9" t="s">
        <v>596</v>
      </c>
      <c r="CJ9" t="s">
        <v>596</v>
      </c>
      <c r="CK9" t="s">
        <v>596</v>
      </c>
      <c r="CL9" t="s">
        <v>596</v>
      </c>
      <c r="CM9" t="s">
        <v>596</v>
      </c>
      <c r="CN9" t="s">
        <v>596</v>
      </c>
      <c r="CO9" t="s">
        <v>596</v>
      </c>
      <c r="CP9" t="s">
        <v>596</v>
      </c>
      <c r="CQ9" t="s">
        <v>596</v>
      </c>
      <c r="CR9" t="s">
        <v>596</v>
      </c>
      <c r="CS9" t="s">
        <v>596</v>
      </c>
      <c r="CT9" t="s">
        <v>596</v>
      </c>
      <c r="CU9" t="s">
        <v>596</v>
      </c>
      <c r="CV9" t="s">
        <v>596</v>
      </c>
      <c r="CW9" t="s">
        <v>596</v>
      </c>
      <c r="CX9" t="s">
        <v>596</v>
      </c>
      <c r="CY9" t="s">
        <v>596</v>
      </c>
      <c r="CZ9" t="s">
        <v>596</v>
      </c>
      <c r="DA9" t="s">
        <v>596</v>
      </c>
      <c r="DB9" t="s">
        <v>596</v>
      </c>
      <c r="DC9" t="s">
        <v>596</v>
      </c>
      <c r="DD9" t="s">
        <v>596</v>
      </c>
      <c r="DE9" t="s">
        <v>596</v>
      </c>
      <c r="DF9" t="s">
        <v>596</v>
      </c>
      <c r="DG9" t="s">
        <v>596</v>
      </c>
      <c r="DH9" t="s">
        <v>596</v>
      </c>
      <c r="DI9" t="s">
        <v>596</v>
      </c>
      <c r="DJ9" t="s">
        <v>596</v>
      </c>
      <c r="DK9" t="s">
        <v>596</v>
      </c>
      <c r="DL9" t="s">
        <v>596</v>
      </c>
      <c r="DM9" t="s">
        <v>596</v>
      </c>
      <c r="DN9" t="s">
        <v>596</v>
      </c>
      <c r="DO9" t="s">
        <v>596</v>
      </c>
      <c r="DP9" t="s">
        <v>596</v>
      </c>
      <c r="DQ9" t="s">
        <v>596</v>
      </c>
      <c r="DR9" t="s">
        <v>596</v>
      </c>
      <c r="DS9" t="s">
        <v>596</v>
      </c>
      <c r="DT9" t="s">
        <v>596</v>
      </c>
      <c r="DU9" t="s">
        <v>596</v>
      </c>
      <c r="DV9" t="s">
        <v>596</v>
      </c>
      <c r="DW9" t="s">
        <v>596</v>
      </c>
      <c r="DX9" t="s">
        <v>596</v>
      </c>
      <c r="DY9" t="s">
        <v>596</v>
      </c>
      <c r="DZ9" t="s">
        <v>596</v>
      </c>
      <c r="EA9" t="s">
        <v>596</v>
      </c>
      <c r="EB9" t="s">
        <v>596</v>
      </c>
      <c r="EC9" t="s">
        <v>596</v>
      </c>
      <c r="ED9" t="s">
        <v>596</v>
      </c>
      <c r="EE9" t="s">
        <v>596</v>
      </c>
      <c r="EF9" t="s">
        <v>596</v>
      </c>
      <c r="EG9" t="s">
        <v>596</v>
      </c>
      <c r="EH9" t="s">
        <v>596</v>
      </c>
      <c r="EI9" t="s">
        <v>596</v>
      </c>
      <c r="EJ9" t="s">
        <v>596</v>
      </c>
      <c r="EK9" t="s">
        <v>596</v>
      </c>
      <c r="EL9" t="s">
        <v>596</v>
      </c>
      <c r="EM9" t="s">
        <v>596</v>
      </c>
      <c r="EN9" t="s">
        <v>596</v>
      </c>
      <c r="EO9" t="s">
        <v>596</v>
      </c>
      <c r="EP9" t="s">
        <v>596</v>
      </c>
      <c r="EQ9" t="s">
        <v>596</v>
      </c>
      <c r="ER9" t="s">
        <v>596</v>
      </c>
      <c r="ES9" t="s">
        <v>596</v>
      </c>
      <c r="ET9" t="s">
        <v>596</v>
      </c>
      <c r="EU9" t="s">
        <v>596</v>
      </c>
      <c r="EV9" t="s">
        <v>596</v>
      </c>
      <c r="EW9" t="s">
        <v>596</v>
      </c>
      <c r="EX9" t="s">
        <v>596</v>
      </c>
      <c r="EY9" t="s">
        <v>596</v>
      </c>
      <c r="EZ9" t="s">
        <v>596</v>
      </c>
      <c r="FA9" t="s">
        <v>596</v>
      </c>
      <c r="FB9" t="s">
        <v>596</v>
      </c>
      <c r="FC9" t="s">
        <v>596</v>
      </c>
      <c r="FD9" t="s">
        <v>596</v>
      </c>
      <c r="FE9" t="s">
        <v>596</v>
      </c>
      <c r="FF9" t="s">
        <v>596</v>
      </c>
      <c r="FG9" t="s">
        <v>596</v>
      </c>
      <c r="FH9" t="s">
        <v>596</v>
      </c>
      <c r="FI9" t="s">
        <v>596</v>
      </c>
      <c r="FJ9" t="s">
        <v>596</v>
      </c>
      <c r="FK9" t="s">
        <v>596</v>
      </c>
      <c r="FL9" t="s">
        <v>596</v>
      </c>
      <c r="FM9" t="s">
        <v>596</v>
      </c>
      <c r="FN9" t="s">
        <v>596</v>
      </c>
      <c r="FO9" t="s">
        <v>596</v>
      </c>
      <c r="FP9" t="s">
        <v>596</v>
      </c>
      <c r="FQ9" t="s">
        <v>596</v>
      </c>
      <c r="FR9" t="s">
        <v>596</v>
      </c>
      <c r="FS9" t="s">
        <v>596</v>
      </c>
      <c r="FT9" t="s">
        <v>596</v>
      </c>
      <c r="FU9" t="s">
        <v>596</v>
      </c>
      <c r="FV9" t="s">
        <v>596</v>
      </c>
      <c r="FW9" t="s">
        <v>596</v>
      </c>
      <c r="FX9" t="s">
        <v>596</v>
      </c>
      <c r="FY9" t="s">
        <v>596</v>
      </c>
      <c r="FZ9" t="s">
        <v>596</v>
      </c>
      <c r="GA9" t="s">
        <v>596</v>
      </c>
      <c r="GB9" t="s">
        <v>596</v>
      </c>
      <c r="GC9" t="s">
        <v>596</v>
      </c>
      <c r="GD9" t="s">
        <v>596</v>
      </c>
      <c r="GE9" t="s">
        <v>596</v>
      </c>
      <c r="GF9" t="s">
        <v>596</v>
      </c>
      <c r="GG9" t="s">
        <v>596</v>
      </c>
      <c r="GH9" t="s">
        <v>596</v>
      </c>
      <c r="GI9" t="s">
        <v>596</v>
      </c>
      <c r="GJ9" t="s">
        <v>596</v>
      </c>
      <c r="GK9" t="s">
        <v>596</v>
      </c>
      <c r="GL9" t="s">
        <v>596</v>
      </c>
      <c r="GM9" t="s">
        <v>596</v>
      </c>
      <c r="GN9" t="s">
        <v>596</v>
      </c>
      <c r="GO9" t="s">
        <v>596</v>
      </c>
      <c r="GP9" t="s">
        <v>596</v>
      </c>
      <c r="GQ9" t="s">
        <v>596</v>
      </c>
      <c r="GR9" t="s">
        <v>596</v>
      </c>
      <c r="GS9" t="s">
        <v>596</v>
      </c>
      <c r="GT9" t="s">
        <v>596</v>
      </c>
      <c r="GU9" t="s">
        <v>596</v>
      </c>
      <c r="GV9" t="s">
        <v>596</v>
      </c>
      <c r="GW9" t="s">
        <v>596</v>
      </c>
      <c r="GX9" t="s">
        <v>596</v>
      </c>
      <c r="GY9" t="s">
        <v>596</v>
      </c>
      <c r="GZ9" t="s">
        <v>596</v>
      </c>
      <c r="HA9" t="s">
        <v>596</v>
      </c>
      <c r="HB9" t="s">
        <v>596</v>
      </c>
      <c r="HC9" t="s">
        <v>596</v>
      </c>
      <c r="HD9" t="s">
        <v>596</v>
      </c>
      <c r="HE9" t="s">
        <v>596</v>
      </c>
      <c r="HF9" t="s">
        <v>596</v>
      </c>
      <c r="HG9" t="s">
        <v>596</v>
      </c>
      <c r="HH9" t="s">
        <v>596</v>
      </c>
      <c r="HI9" t="s">
        <v>596</v>
      </c>
      <c r="HJ9" t="s">
        <v>596</v>
      </c>
      <c r="HK9" t="s">
        <v>596</v>
      </c>
      <c r="HL9" t="s">
        <v>596</v>
      </c>
      <c r="HM9" t="s">
        <v>596</v>
      </c>
      <c r="HN9" t="s">
        <v>596</v>
      </c>
      <c r="HO9" t="s">
        <v>596</v>
      </c>
      <c r="HP9" t="s">
        <v>596</v>
      </c>
      <c r="HQ9" t="s">
        <v>596</v>
      </c>
      <c r="HR9" t="s">
        <v>596</v>
      </c>
      <c r="HS9" t="s">
        <v>596</v>
      </c>
      <c r="HT9" t="s">
        <v>596</v>
      </c>
      <c r="HU9" t="s">
        <v>596</v>
      </c>
      <c r="HV9" t="s">
        <v>596</v>
      </c>
      <c r="HW9" t="s">
        <v>596</v>
      </c>
      <c r="HX9" t="s">
        <v>596</v>
      </c>
      <c r="HY9" t="s">
        <v>596</v>
      </c>
      <c r="HZ9" t="s">
        <v>596</v>
      </c>
      <c r="IA9" t="s">
        <v>596</v>
      </c>
      <c r="IB9" t="s">
        <v>596</v>
      </c>
      <c r="IC9" t="s">
        <v>596</v>
      </c>
      <c r="ID9" t="s">
        <v>596</v>
      </c>
      <c r="IE9" t="s">
        <v>596</v>
      </c>
      <c r="IF9" t="s">
        <v>596</v>
      </c>
      <c r="IG9" t="s">
        <v>596</v>
      </c>
      <c r="IH9" t="s">
        <v>596</v>
      </c>
      <c r="II9" t="s">
        <v>596</v>
      </c>
      <c r="IJ9" t="s">
        <v>596</v>
      </c>
      <c r="IK9" t="s">
        <v>596</v>
      </c>
      <c r="IL9" t="s">
        <v>596</v>
      </c>
      <c r="IM9" t="s">
        <v>596</v>
      </c>
      <c r="IN9" t="s">
        <v>596</v>
      </c>
      <c r="IO9" t="s">
        <v>596</v>
      </c>
      <c r="IP9" t="s">
        <v>596</v>
      </c>
      <c r="IQ9" t="s">
        <v>596</v>
      </c>
      <c r="IR9" t="s">
        <v>596</v>
      </c>
      <c r="IS9" t="s">
        <v>596</v>
      </c>
      <c r="IT9" t="s">
        <v>596</v>
      </c>
      <c r="IU9" t="s">
        <v>596</v>
      </c>
      <c r="IV9" t="s">
        <v>596</v>
      </c>
    </row>
    <row r="10" spans="1:256" hidden="1">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c r="A15" s="200"/>
      <c r="B15" s="199"/>
    </row>
    <row r="16" spans="1:256">
      <c r="A16" s="200"/>
      <c r="B16" s="199"/>
    </row>
    <row r="17" spans="1:2">
      <c r="A17" s="200"/>
      <c r="B17" s="199"/>
    </row>
    <row r="18" spans="1:2">
      <c r="A18" s="200"/>
      <c r="B18" s="199"/>
    </row>
    <row r="19" spans="1:2">
      <c r="A19" s="200"/>
      <c r="B19" s="199"/>
    </row>
    <row r="28" spans="1:2">
      <c r="A28" s="200"/>
      <c r="B28" s="199"/>
    </row>
    <row r="29" spans="1:2">
      <c r="A29" s="200"/>
      <c r="B29" s="199"/>
    </row>
    <row r="30" spans="1:2">
      <c r="A30" s="200"/>
      <c r="B30" s="199"/>
    </row>
    <row r="31" spans="1:2">
      <c r="A31" s="200"/>
      <c r="B31" s="199"/>
    </row>
    <row r="32" spans="1:2">
      <c r="A32" s="200"/>
      <c r="B32" s="199"/>
    </row>
    <row r="37" spans="1:256">
      <c r="A37" s="200"/>
      <c r="B37" s="199"/>
    </row>
    <row r="38" spans="1:256">
      <c r="A38" s="200"/>
      <c r="B38" s="199"/>
    </row>
    <row r="39" spans="1:256" s="200" customFormat="1">
      <c r="A39" s="200" t="s">
        <v>604</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c r="A40" s="208" t="s">
        <v>603</v>
      </c>
      <c r="B40" s="207">
        <f>+B6</f>
        <v>93</v>
      </c>
      <c r="C40" s="206">
        <f t="shared" ref="C40:BN40" si="8">+B40-$B7</f>
        <v>79.714285714285708</v>
      </c>
      <c r="D40" s="206">
        <f t="shared" si="8"/>
        <v>66.428571428571416</v>
      </c>
      <c r="E40" s="206">
        <f t="shared" si="8"/>
        <v>53.142857142857132</v>
      </c>
      <c r="F40" s="206">
        <f t="shared" si="8"/>
        <v>39.857142857142847</v>
      </c>
      <c r="G40" s="206">
        <f t="shared" si="8"/>
        <v>26.571428571428562</v>
      </c>
      <c r="H40" s="206">
        <f t="shared" si="8"/>
        <v>13.285714285714276</v>
      </c>
      <c r="I40" s="206">
        <f t="shared" si="8"/>
        <v>0</v>
      </c>
      <c r="J40" s="206">
        <f t="shared" si="8"/>
        <v>-13.285714285714286</v>
      </c>
      <c r="K40" s="206">
        <f t="shared" si="8"/>
        <v>-26.571428571428573</v>
      </c>
      <c r="L40" s="206">
        <f t="shared" si="8"/>
        <v>-39.857142857142861</v>
      </c>
      <c r="M40" s="206">
        <f t="shared" si="8"/>
        <v>-53.142857142857146</v>
      </c>
      <c r="N40" s="206">
        <f t="shared" si="8"/>
        <v>-66.428571428571431</v>
      </c>
      <c r="O40" s="206">
        <f t="shared" si="8"/>
        <v>-79.714285714285722</v>
      </c>
      <c r="P40" s="206">
        <f t="shared" si="8"/>
        <v>-93.000000000000014</v>
      </c>
      <c r="Q40" s="206">
        <f t="shared" si="8"/>
        <v>-106.28571428571431</v>
      </c>
      <c r="R40" s="206">
        <f t="shared" si="8"/>
        <v>-119.5714285714286</v>
      </c>
      <c r="S40" s="206">
        <f t="shared" si="8"/>
        <v>-132.85714285714289</v>
      </c>
      <c r="T40" s="206">
        <f t="shared" si="8"/>
        <v>-146.14285714285717</v>
      </c>
      <c r="U40" s="206">
        <f t="shared" si="8"/>
        <v>-159.42857142857144</v>
      </c>
      <c r="V40" s="206">
        <f t="shared" si="8"/>
        <v>-172.71428571428572</v>
      </c>
      <c r="W40" s="206">
        <f t="shared" si="8"/>
        <v>-186</v>
      </c>
      <c r="X40" s="206">
        <f t="shared" si="8"/>
        <v>-199.28571428571428</v>
      </c>
      <c r="Y40" s="206">
        <f t="shared" si="8"/>
        <v>-212.57142857142856</v>
      </c>
      <c r="Z40" s="206">
        <f t="shared" si="8"/>
        <v>-225.85714285714283</v>
      </c>
      <c r="AA40" s="206">
        <f t="shared" si="8"/>
        <v>-239.14285714285711</v>
      </c>
      <c r="AB40" s="206">
        <f t="shared" si="8"/>
        <v>-252.42857142857139</v>
      </c>
      <c r="AC40" s="206">
        <f t="shared" si="8"/>
        <v>-265.71428571428567</v>
      </c>
      <c r="AD40" s="206">
        <f t="shared" si="8"/>
        <v>-278.99999999999994</v>
      </c>
      <c r="AE40" s="206">
        <f t="shared" si="8"/>
        <v>-292.28571428571422</v>
      </c>
      <c r="AF40" s="206">
        <f t="shared" si="8"/>
        <v>-305.5714285714285</v>
      </c>
      <c r="AG40" s="206">
        <f t="shared" si="8"/>
        <v>-318.85714285714278</v>
      </c>
      <c r="AH40" s="206">
        <f t="shared" si="8"/>
        <v>-332.14285714285705</v>
      </c>
      <c r="AI40" s="206">
        <f t="shared" si="8"/>
        <v>-345.42857142857133</v>
      </c>
      <c r="AJ40" s="206">
        <f t="shared" si="8"/>
        <v>-358.71428571428561</v>
      </c>
      <c r="AK40" s="206">
        <f t="shared" si="8"/>
        <v>-371.99999999999989</v>
      </c>
      <c r="AL40" s="206">
        <f t="shared" si="8"/>
        <v>-385.28571428571416</v>
      </c>
      <c r="AM40" s="206">
        <f t="shared" si="8"/>
        <v>-398.57142857142844</v>
      </c>
      <c r="AN40" s="206">
        <f t="shared" si="8"/>
        <v>-411.85714285714272</v>
      </c>
      <c r="AO40" s="206">
        <f t="shared" si="8"/>
        <v>-425.142857142857</v>
      </c>
      <c r="AP40" s="206">
        <f t="shared" si="8"/>
        <v>-438.42857142857127</v>
      </c>
      <c r="AQ40" s="206">
        <f t="shared" si="8"/>
        <v>-451.71428571428555</v>
      </c>
      <c r="AR40" s="206">
        <f t="shared" si="8"/>
        <v>-464.99999999999983</v>
      </c>
      <c r="AS40" s="206">
        <f t="shared" si="8"/>
        <v>-478.28571428571411</v>
      </c>
      <c r="AT40" s="206">
        <f t="shared" si="8"/>
        <v>-491.57142857142838</v>
      </c>
      <c r="AU40" s="206">
        <f t="shared" si="8"/>
        <v>-504.85714285714266</v>
      </c>
      <c r="AV40" s="206">
        <f t="shared" si="8"/>
        <v>-518.142857142857</v>
      </c>
      <c r="AW40" s="206">
        <f t="shared" si="8"/>
        <v>-531.42857142857133</v>
      </c>
      <c r="AX40" s="206">
        <f t="shared" si="8"/>
        <v>-544.71428571428567</v>
      </c>
      <c r="AY40" s="206">
        <f t="shared" si="8"/>
        <v>-558</v>
      </c>
      <c r="AZ40" s="206">
        <f t="shared" si="8"/>
        <v>-571.28571428571433</v>
      </c>
      <c r="BA40" s="206">
        <f t="shared" si="8"/>
        <v>-584.57142857142867</v>
      </c>
      <c r="BB40" s="206">
        <f t="shared" si="8"/>
        <v>-597.857142857143</v>
      </c>
      <c r="BC40" s="206">
        <f t="shared" si="8"/>
        <v>-611.14285714285734</v>
      </c>
      <c r="BD40" s="206">
        <f t="shared" si="8"/>
        <v>-624.42857142857167</v>
      </c>
      <c r="BE40" s="206">
        <f t="shared" si="8"/>
        <v>-637.71428571428601</v>
      </c>
      <c r="BF40" s="206">
        <f t="shared" si="8"/>
        <v>-651.00000000000034</v>
      </c>
      <c r="BG40" s="206">
        <f t="shared" si="8"/>
        <v>-664.28571428571468</v>
      </c>
      <c r="BH40" s="206">
        <f t="shared" si="8"/>
        <v>-677.57142857142901</v>
      </c>
      <c r="BI40" s="206">
        <f t="shared" si="8"/>
        <v>-690.85714285714334</v>
      </c>
      <c r="BJ40" s="206">
        <f t="shared" si="8"/>
        <v>-704.14285714285768</v>
      </c>
      <c r="BK40" s="206">
        <f t="shared" si="8"/>
        <v>-717.42857142857201</v>
      </c>
      <c r="BL40" s="206">
        <f t="shared" si="8"/>
        <v>-730.71428571428635</v>
      </c>
      <c r="BM40" s="206">
        <f t="shared" si="8"/>
        <v>-744.00000000000068</v>
      </c>
      <c r="BN40" s="206">
        <f t="shared" si="8"/>
        <v>-757.28571428571502</v>
      </c>
      <c r="BO40" s="206">
        <f t="shared" ref="BO40:DZ40" si="9">+BN40-$B7</f>
        <v>-770.57142857142935</v>
      </c>
      <c r="BP40" s="206">
        <f t="shared" si="9"/>
        <v>-783.85714285714369</v>
      </c>
      <c r="BQ40" s="206">
        <f t="shared" si="9"/>
        <v>-797.14285714285802</v>
      </c>
      <c r="BR40" s="206">
        <f t="shared" si="9"/>
        <v>-810.42857142857235</v>
      </c>
      <c r="BS40" s="206">
        <f t="shared" si="9"/>
        <v>-823.71428571428669</v>
      </c>
      <c r="BT40" s="206">
        <f t="shared" si="9"/>
        <v>-837.00000000000102</v>
      </c>
      <c r="BU40" s="206">
        <f t="shared" si="9"/>
        <v>-850.28571428571536</v>
      </c>
      <c r="BV40" s="206">
        <f t="shared" si="9"/>
        <v>-863.57142857142969</v>
      </c>
      <c r="BW40" s="206">
        <f t="shared" si="9"/>
        <v>-876.85714285714403</v>
      </c>
      <c r="BX40" s="206">
        <f t="shared" si="9"/>
        <v>-890.14285714285836</v>
      </c>
      <c r="BY40" s="206">
        <f t="shared" si="9"/>
        <v>-903.4285714285727</v>
      </c>
      <c r="BZ40" s="206">
        <f t="shared" si="9"/>
        <v>-916.71428571428703</v>
      </c>
      <c r="CA40" s="206">
        <f t="shared" si="9"/>
        <v>-930.00000000000136</v>
      </c>
      <c r="CB40" s="206">
        <f t="shared" si="9"/>
        <v>-943.2857142857157</v>
      </c>
      <c r="CC40" s="206">
        <f t="shared" si="9"/>
        <v>-956.57142857143003</v>
      </c>
      <c r="CD40" s="206">
        <f t="shared" si="9"/>
        <v>-969.85714285714437</v>
      </c>
      <c r="CE40" s="206">
        <f t="shared" si="9"/>
        <v>-983.1428571428587</v>
      </c>
      <c r="CF40" s="206">
        <f t="shared" si="9"/>
        <v>-996.42857142857304</v>
      </c>
      <c r="CG40" s="206">
        <f t="shared" si="9"/>
        <v>-1009.7142857142874</v>
      </c>
      <c r="CH40" s="206">
        <f t="shared" si="9"/>
        <v>-1023.0000000000017</v>
      </c>
      <c r="CI40" s="206">
        <f t="shared" si="9"/>
        <v>-1036.285714285716</v>
      </c>
      <c r="CJ40" s="206">
        <f t="shared" si="9"/>
        <v>-1049.5714285714303</v>
      </c>
      <c r="CK40" s="206">
        <f t="shared" si="9"/>
        <v>-1062.8571428571445</v>
      </c>
      <c r="CL40" s="206">
        <f t="shared" si="9"/>
        <v>-1076.1428571428587</v>
      </c>
      <c r="CM40" s="206">
        <f t="shared" si="9"/>
        <v>-1089.4285714285729</v>
      </c>
      <c r="CN40" s="206">
        <f t="shared" si="9"/>
        <v>-1102.7142857142871</v>
      </c>
      <c r="CO40" s="206">
        <f t="shared" si="9"/>
        <v>-1116.0000000000014</v>
      </c>
      <c r="CP40" s="206">
        <f t="shared" si="9"/>
        <v>-1129.2857142857156</v>
      </c>
      <c r="CQ40" s="206">
        <f t="shared" si="9"/>
        <v>-1142.5714285714298</v>
      </c>
      <c r="CR40" s="206">
        <f t="shared" si="9"/>
        <v>-1155.857142857144</v>
      </c>
      <c r="CS40" s="206">
        <f t="shared" si="9"/>
        <v>-1169.1428571428582</v>
      </c>
      <c r="CT40" s="206">
        <f t="shared" si="9"/>
        <v>-1182.4285714285725</v>
      </c>
      <c r="CU40" s="206">
        <f t="shared" si="9"/>
        <v>-1195.7142857142867</v>
      </c>
      <c r="CV40" s="206">
        <f t="shared" si="9"/>
        <v>-1209.0000000000009</v>
      </c>
      <c r="CW40" s="206">
        <f t="shared" si="9"/>
        <v>-1222.2857142857151</v>
      </c>
      <c r="CX40" s="206">
        <f t="shared" si="9"/>
        <v>-1235.5714285714294</v>
      </c>
      <c r="CY40" s="206">
        <f t="shared" si="9"/>
        <v>-1248.8571428571436</v>
      </c>
      <c r="CZ40" s="206">
        <f t="shared" si="9"/>
        <v>-1262.1428571428578</v>
      </c>
      <c r="DA40" s="206">
        <f t="shared" si="9"/>
        <v>-1275.428571428572</v>
      </c>
      <c r="DB40" s="206">
        <f t="shared" si="9"/>
        <v>-1288.7142857142862</v>
      </c>
      <c r="DC40" s="206">
        <f t="shared" si="9"/>
        <v>-1302.0000000000005</v>
      </c>
      <c r="DD40" s="206">
        <f t="shared" si="9"/>
        <v>-1315.2857142857147</v>
      </c>
      <c r="DE40" s="206">
        <f t="shared" si="9"/>
        <v>-1328.5714285714289</v>
      </c>
      <c r="DF40" s="206">
        <f t="shared" si="9"/>
        <v>-1341.8571428571431</v>
      </c>
      <c r="DG40" s="206">
        <f t="shared" si="9"/>
        <v>-1355.1428571428573</v>
      </c>
      <c r="DH40" s="206">
        <f t="shared" si="9"/>
        <v>-1368.4285714285716</v>
      </c>
      <c r="DI40" s="206">
        <f t="shared" si="9"/>
        <v>-1381.7142857142858</v>
      </c>
      <c r="DJ40" s="206">
        <f t="shared" si="9"/>
        <v>-1395</v>
      </c>
      <c r="DK40" s="206">
        <f t="shared" si="9"/>
        <v>-1408.2857142857142</v>
      </c>
      <c r="DL40" s="206">
        <f t="shared" si="9"/>
        <v>-1421.5714285714284</v>
      </c>
      <c r="DM40" s="206">
        <f t="shared" si="9"/>
        <v>-1434.8571428571427</v>
      </c>
      <c r="DN40" s="206">
        <f t="shared" si="9"/>
        <v>-1448.1428571428569</v>
      </c>
      <c r="DO40" s="206">
        <f t="shared" si="9"/>
        <v>-1461.4285714285711</v>
      </c>
      <c r="DP40" s="206">
        <f t="shared" si="9"/>
        <v>-1474.7142857142853</v>
      </c>
      <c r="DQ40" s="206">
        <f t="shared" si="9"/>
        <v>-1487.9999999999995</v>
      </c>
      <c r="DR40" s="206">
        <f t="shared" si="9"/>
        <v>-1501.2857142857138</v>
      </c>
      <c r="DS40" s="206">
        <f t="shared" si="9"/>
        <v>-1514.571428571428</v>
      </c>
      <c r="DT40" s="206">
        <f t="shared" si="9"/>
        <v>-1527.8571428571422</v>
      </c>
      <c r="DU40" s="206">
        <f t="shared" si="9"/>
        <v>-1541.1428571428564</v>
      </c>
      <c r="DV40" s="206">
        <f t="shared" si="9"/>
        <v>-1554.4285714285706</v>
      </c>
      <c r="DW40" s="206">
        <f t="shared" si="9"/>
        <v>-1567.7142857142849</v>
      </c>
      <c r="DX40" s="206">
        <f t="shared" si="9"/>
        <v>-1580.9999999999991</v>
      </c>
      <c r="DY40" s="206">
        <f t="shared" si="9"/>
        <v>-1594.2857142857133</v>
      </c>
      <c r="DZ40" s="206">
        <f t="shared" si="9"/>
        <v>-1607.5714285714275</v>
      </c>
      <c r="EA40" s="206">
        <f t="shared" ref="EA40:GL40" si="10">+DZ40-$B7</f>
        <v>-1620.8571428571418</v>
      </c>
      <c r="EB40" s="206">
        <f t="shared" si="10"/>
        <v>-1634.142857142856</v>
      </c>
      <c r="EC40" s="206">
        <f t="shared" si="10"/>
        <v>-1647.4285714285702</v>
      </c>
      <c r="ED40" s="206">
        <f t="shared" si="10"/>
        <v>-1660.7142857142844</v>
      </c>
      <c r="EE40" s="206">
        <f t="shared" si="10"/>
        <v>-1673.9999999999986</v>
      </c>
      <c r="EF40" s="206">
        <f t="shared" si="10"/>
        <v>-1687.2857142857129</v>
      </c>
      <c r="EG40" s="206">
        <f t="shared" si="10"/>
        <v>-1700.5714285714271</v>
      </c>
      <c r="EH40" s="206">
        <f t="shared" si="10"/>
        <v>-1713.8571428571413</v>
      </c>
      <c r="EI40" s="206">
        <f t="shared" si="10"/>
        <v>-1727.1428571428555</v>
      </c>
      <c r="EJ40" s="206">
        <f t="shared" si="10"/>
        <v>-1740.4285714285697</v>
      </c>
      <c r="EK40" s="206">
        <f t="shared" si="10"/>
        <v>-1753.714285714284</v>
      </c>
      <c r="EL40" s="206">
        <f t="shared" si="10"/>
        <v>-1766.9999999999982</v>
      </c>
      <c r="EM40" s="206">
        <f t="shared" si="10"/>
        <v>-1780.2857142857124</v>
      </c>
      <c r="EN40" s="206">
        <f t="shared" si="10"/>
        <v>-1793.5714285714266</v>
      </c>
      <c r="EO40" s="206">
        <f t="shared" si="10"/>
        <v>-1806.8571428571408</v>
      </c>
      <c r="EP40" s="206">
        <f t="shared" si="10"/>
        <v>-1820.1428571428551</v>
      </c>
      <c r="EQ40" s="206">
        <f t="shared" si="10"/>
        <v>-1833.4285714285693</v>
      </c>
      <c r="ER40" s="206">
        <f t="shared" si="10"/>
        <v>-1846.7142857142835</v>
      </c>
      <c r="ES40" s="206">
        <f t="shared" si="10"/>
        <v>-1859.9999999999977</v>
      </c>
      <c r="ET40" s="206">
        <f t="shared" si="10"/>
        <v>-1873.2857142857119</v>
      </c>
      <c r="EU40" s="206">
        <f t="shared" si="10"/>
        <v>-1886.5714285714262</v>
      </c>
      <c r="EV40" s="206">
        <f t="shared" si="10"/>
        <v>-1899.8571428571404</v>
      </c>
      <c r="EW40" s="206">
        <f t="shared" si="10"/>
        <v>-1913.1428571428546</v>
      </c>
      <c r="EX40" s="206">
        <f t="shared" si="10"/>
        <v>-1926.4285714285688</v>
      </c>
      <c r="EY40" s="206">
        <f t="shared" si="10"/>
        <v>-1939.7142857142831</v>
      </c>
      <c r="EZ40" s="206">
        <f t="shared" si="10"/>
        <v>-1952.9999999999973</v>
      </c>
      <c r="FA40" s="206">
        <f t="shared" si="10"/>
        <v>-1966.2857142857115</v>
      </c>
      <c r="FB40" s="206">
        <f t="shared" si="10"/>
        <v>-1979.5714285714257</v>
      </c>
      <c r="FC40" s="206">
        <f t="shared" si="10"/>
        <v>-1992.8571428571399</v>
      </c>
      <c r="FD40" s="206">
        <f t="shared" si="10"/>
        <v>-2006.1428571428542</v>
      </c>
      <c r="FE40" s="206">
        <f t="shared" si="10"/>
        <v>-2019.4285714285684</v>
      </c>
      <c r="FF40" s="206">
        <f t="shared" si="10"/>
        <v>-2032.7142857142826</v>
      </c>
      <c r="FG40" s="206">
        <f t="shared" si="10"/>
        <v>-2045.9999999999968</v>
      </c>
      <c r="FH40" s="206">
        <f t="shared" si="10"/>
        <v>-2059.285714285711</v>
      </c>
      <c r="FI40" s="206">
        <f t="shared" si="10"/>
        <v>-2072.5714285714253</v>
      </c>
      <c r="FJ40" s="206">
        <f t="shared" si="10"/>
        <v>-2085.8571428571395</v>
      </c>
      <c r="FK40" s="206">
        <f t="shared" si="10"/>
        <v>-2099.1428571428537</v>
      </c>
      <c r="FL40" s="206">
        <f t="shared" si="10"/>
        <v>-2112.4285714285679</v>
      </c>
      <c r="FM40" s="206">
        <f t="shared" si="10"/>
        <v>-2125.7142857142821</v>
      </c>
      <c r="FN40" s="206">
        <f t="shared" si="10"/>
        <v>-2138.9999999999964</v>
      </c>
      <c r="FO40" s="206">
        <f t="shared" si="10"/>
        <v>-2152.2857142857106</v>
      </c>
      <c r="FP40" s="206">
        <f t="shared" si="10"/>
        <v>-2165.5714285714248</v>
      </c>
      <c r="FQ40" s="206">
        <f t="shared" si="10"/>
        <v>-2178.857142857139</v>
      </c>
      <c r="FR40" s="206">
        <f t="shared" si="10"/>
        <v>-2192.1428571428532</v>
      </c>
      <c r="FS40" s="206">
        <f t="shared" si="10"/>
        <v>-2205.4285714285675</v>
      </c>
      <c r="FT40" s="206">
        <f t="shared" si="10"/>
        <v>-2218.7142857142817</v>
      </c>
      <c r="FU40" s="206">
        <f t="shared" si="10"/>
        <v>-2231.9999999999959</v>
      </c>
      <c r="FV40" s="206">
        <f t="shared" si="10"/>
        <v>-2245.2857142857101</v>
      </c>
      <c r="FW40" s="206">
        <f t="shared" si="10"/>
        <v>-2258.5714285714243</v>
      </c>
      <c r="FX40" s="206">
        <f t="shared" si="10"/>
        <v>-2271.8571428571386</v>
      </c>
      <c r="FY40" s="206">
        <f t="shared" si="10"/>
        <v>-2285.1428571428528</v>
      </c>
      <c r="FZ40" s="206">
        <f t="shared" si="10"/>
        <v>-2298.428571428567</v>
      </c>
      <c r="GA40" s="206">
        <f t="shared" si="10"/>
        <v>-2311.7142857142812</v>
      </c>
      <c r="GB40" s="206">
        <f t="shared" si="10"/>
        <v>-2324.9999999999955</v>
      </c>
      <c r="GC40" s="206">
        <f t="shared" si="10"/>
        <v>-2338.2857142857097</v>
      </c>
      <c r="GD40" s="206">
        <f t="shared" si="10"/>
        <v>-2351.5714285714239</v>
      </c>
      <c r="GE40" s="206">
        <f t="shared" si="10"/>
        <v>-2364.8571428571381</v>
      </c>
      <c r="GF40" s="206">
        <f t="shared" si="10"/>
        <v>-2378.1428571428523</v>
      </c>
      <c r="GG40" s="206">
        <f t="shared" si="10"/>
        <v>-2391.4285714285666</v>
      </c>
      <c r="GH40" s="206">
        <f t="shared" si="10"/>
        <v>-2404.7142857142808</v>
      </c>
      <c r="GI40" s="206">
        <f t="shared" si="10"/>
        <v>-2417.999999999995</v>
      </c>
      <c r="GJ40" s="206">
        <f t="shared" si="10"/>
        <v>-2431.2857142857092</v>
      </c>
      <c r="GK40" s="206">
        <f t="shared" si="10"/>
        <v>-2444.5714285714234</v>
      </c>
      <c r="GL40" s="206">
        <f t="shared" si="10"/>
        <v>-2457.8571428571377</v>
      </c>
      <c r="GM40" s="206">
        <f t="shared" ref="GM40:IV40" si="11">+GL40-$B7</f>
        <v>-2471.1428571428519</v>
      </c>
      <c r="GN40" s="206">
        <f t="shared" si="11"/>
        <v>-2484.4285714285661</v>
      </c>
      <c r="GO40" s="206">
        <f t="shared" si="11"/>
        <v>-2497.7142857142803</v>
      </c>
      <c r="GP40" s="206">
        <f t="shared" si="11"/>
        <v>-2510.9999999999945</v>
      </c>
      <c r="GQ40" s="206">
        <f t="shared" si="11"/>
        <v>-2524.2857142857088</v>
      </c>
      <c r="GR40" s="206">
        <f t="shared" si="11"/>
        <v>-2537.571428571423</v>
      </c>
      <c r="GS40" s="206">
        <f t="shared" si="11"/>
        <v>-2550.8571428571372</v>
      </c>
      <c r="GT40" s="206">
        <f t="shared" si="11"/>
        <v>-2564.1428571428514</v>
      </c>
      <c r="GU40" s="206">
        <f t="shared" si="11"/>
        <v>-2577.4285714285656</v>
      </c>
      <c r="GV40" s="206">
        <f t="shared" si="11"/>
        <v>-2590.7142857142799</v>
      </c>
      <c r="GW40" s="206">
        <f t="shared" si="11"/>
        <v>-2603.9999999999941</v>
      </c>
      <c r="GX40" s="206">
        <f t="shared" si="11"/>
        <v>-2617.2857142857083</v>
      </c>
      <c r="GY40" s="206">
        <f t="shared" si="11"/>
        <v>-2630.5714285714225</v>
      </c>
      <c r="GZ40" s="206">
        <f t="shared" si="11"/>
        <v>-2643.8571428571368</v>
      </c>
      <c r="HA40" s="206">
        <f t="shared" si="11"/>
        <v>-2657.142857142851</v>
      </c>
      <c r="HB40" s="206">
        <f t="shared" si="11"/>
        <v>-2670.4285714285652</v>
      </c>
      <c r="HC40" s="206">
        <f t="shared" si="11"/>
        <v>-2683.7142857142794</v>
      </c>
      <c r="HD40" s="206">
        <f t="shared" si="11"/>
        <v>-2696.9999999999936</v>
      </c>
      <c r="HE40" s="206">
        <f t="shared" si="11"/>
        <v>-2710.2857142857079</v>
      </c>
      <c r="HF40" s="206">
        <f t="shared" si="11"/>
        <v>-2723.5714285714221</v>
      </c>
      <c r="HG40" s="206">
        <f t="shared" si="11"/>
        <v>-2736.8571428571363</v>
      </c>
      <c r="HH40" s="206">
        <f t="shared" si="11"/>
        <v>-2750.1428571428505</v>
      </c>
      <c r="HI40" s="206">
        <f t="shared" si="11"/>
        <v>-2763.4285714285647</v>
      </c>
      <c r="HJ40" s="206">
        <f t="shared" si="11"/>
        <v>-2776.714285714279</v>
      </c>
      <c r="HK40" s="206">
        <f t="shared" si="11"/>
        <v>-2789.9999999999932</v>
      </c>
      <c r="HL40" s="206">
        <f t="shared" si="11"/>
        <v>-2803.2857142857074</v>
      </c>
      <c r="HM40" s="206">
        <f t="shared" si="11"/>
        <v>-2816.5714285714216</v>
      </c>
      <c r="HN40" s="206">
        <f t="shared" si="11"/>
        <v>-2829.8571428571358</v>
      </c>
      <c r="HO40" s="206">
        <f t="shared" si="11"/>
        <v>-2843.1428571428501</v>
      </c>
      <c r="HP40" s="206">
        <f t="shared" si="11"/>
        <v>-2856.4285714285643</v>
      </c>
      <c r="HQ40" s="206">
        <f t="shared" si="11"/>
        <v>-2869.7142857142785</v>
      </c>
      <c r="HR40" s="206">
        <f t="shared" si="11"/>
        <v>-2882.9999999999927</v>
      </c>
      <c r="HS40" s="206">
        <f t="shared" si="11"/>
        <v>-2896.2857142857069</v>
      </c>
      <c r="HT40" s="206">
        <f t="shared" si="11"/>
        <v>-2909.5714285714212</v>
      </c>
      <c r="HU40" s="206">
        <f t="shared" si="11"/>
        <v>-2922.8571428571354</v>
      </c>
      <c r="HV40" s="206">
        <f t="shared" si="11"/>
        <v>-2936.1428571428496</v>
      </c>
      <c r="HW40" s="206">
        <f t="shared" si="11"/>
        <v>-2949.4285714285638</v>
      </c>
      <c r="HX40" s="206">
        <f t="shared" si="11"/>
        <v>-2962.714285714278</v>
      </c>
      <c r="HY40" s="206">
        <f t="shared" si="11"/>
        <v>-2975.9999999999923</v>
      </c>
      <c r="HZ40" s="206">
        <f t="shared" si="11"/>
        <v>-2989.2857142857065</v>
      </c>
      <c r="IA40" s="206">
        <f t="shared" si="11"/>
        <v>-3002.5714285714207</v>
      </c>
      <c r="IB40" s="206">
        <f t="shared" si="11"/>
        <v>-3015.8571428571349</v>
      </c>
      <c r="IC40" s="206">
        <f t="shared" si="11"/>
        <v>-3029.1428571428492</v>
      </c>
      <c r="ID40" s="206">
        <f t="shared" si="11"/>
        <v>-3042.4285714285634</v>
      </c>
      <c r="IE40" s="206">
        <f t="shared" si="11"/>
        <v>-3055.7142857142776</v>
      </c>
      <c r="IF40" s="206">
        <f t="shared" si="11"/>
        <v>-3068.9999999999918</v>
      </c>
      <c r="IG40" s="206">
        <f t="shared" si="11"/>
        <v>-3082.285714285706</v>
      </c>
      <c r="IH40" s="206">
        <f t="shared" si="11"/>
        <v>-3095.5714285714203</v>
      </c>
      <c r="II40" s="206">
        <f t="shared" si="11"/>
        <v>-3108.8571428571345</v>
      </c>
      <c r="IJ40" s="206">
        <f t="shared" si="11"/>
        <v>-3122.1428571428487</v>
      </c>
      <c r="IK40" s="206">
        <f t="shared" si="11"/>
        <v>-3135.4285714285629</v>
      </c>
      <c r="IL40" s="206">
        <f t="shared" si="11"/>
        <v>-3148.7142857142771</v>
      </c>
      <c r="IM40" s="206">
        <f t="shared" si="11"/>
        <v>-3161.9999999999914</v>
      </c>
      <c r="IN40" s="206">
        <f t="shared" si="11"/>
        <v>-3175.2857142857056</v>
      </c>
      <c r="IO40" s="206">
        <f t="shared" si="11"/>
        <v>-3188.5714285714198</v>
      </c>
      <c r="IP40" s="206">
        <f t="shared" si="11"/>
        <v>-3201.857142857134</v>
      </c>
      <c r="IQ40" s="206">
        <f t="shared" si="11"/>
        <v>-3215.1428571428482</v>
      </c>
      <c r="IR40" s="206">
        <f t="shared" si="11"/>
        <v>-3228.4285714285625</v>
      </c>
      <c r="IS40" s="206">
        <f t="shared" si="11"/>
        <v>-3241.7142857142767</v>
      </c>
      <c r="IT40" s="206">
        <f t="shared" si="11"/>
        <v>-3254.9999999999909</v>
      </c>
      <c r="IU40" s="206">
        <f t="shared" si="11"/>
        <v>-3268.2857142857051</v>
      </c>
      <c r="IV40" s="206">
        <f t="shared" si="11"/>
        <v>-3281.5714285714193</v>
      </c>
    </row>
    <row r="41" spans="1:256">
      <c r="A41" s="204" t="s">
        <v>602</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c r="A42" s="202" t="s">
        <v>601</v>
      </c>
      <c r="B42" s="201">
        <f>+B40-B41</f>
        <v>80</v>
      </c>
      <c r="C42" s="201">
        <f t="shared" ref="C42:BN42" si="12">+B42-C41</f>
        <v>80</v>
      </c>
      <c r="D42" s="201">
        <f t="shared" si="12"/>
        <v>80</v>
      </c>
      <c r="E42" s="201">
        <f t="shared" si="12"/>
        <v>40</v>
      </c>
      <c r="F42" s="201">
        <f t="shared" si="12"/>
        <v>40</v>
      </c>
      <c r="G42" s="201">
        <f t="shared" si="12"/>
        <v>40</v>
      </c>
      <c r="H42" s="201">
        <f t="shared" si="12"/>
        <v>0</v>
      </c>
      <c r="I42" s="201">
        <f t="shared" si="12"/>
        <v>0</v>
      </c>
      <c r="J42" s="201">
        <f t="shared" si="12"/>
        <v>0</v>
      </c>
      <c r="K42" s="201">
        <f t="shared" si="12"/>
        <v>0</v>
      </c>
      <c r="L42" s="201">
        <f t="shared" si="12"/>
        <v>0</v>
      </c>
      <c r="M42" s="201">
        <f t="shared" si="12"/>
        <v>0</v>
      </c>
      <c r="N42" s="201">
        <f t="shared" si="12"/>
        <v>0</v>
      </c>
      <c r="O42" s="201">
        <f t="shared" si="12"/>
        <v>0</v>
      </c>
      <c r="P42" s="201">
        <f t="shared" si="12"/>
        <v>0</v>
      </c>
      <c r="Q42" s="201">
        <f t="shared" si="12"/>
        <v>0</v>
      </c>
      <c r="R42" s="201">
        <f t="shared" si="12"/>
        <v>0</v>
      </c>
      <c r="S42" s="201">
        <f t="shared" si="12"/>
        <v>0</v>
      </c>
      <c r="T42" s="201">
        <f t="shared" si="12"/>
        <v>0</v>
      </c>
      <c r="U42" s="201">
        <f t="shared" si="12"/>
        <v>0</v>
      </c>
      <c r="V42" s="201">
        <f t="shared" si="12"/>
        <v>0</v>
      </c>
      <c r="W42" s="201">
        <f t="shared" si="12"/>
        <v>0</v>
      </c>
      <c r="X42" s="201">
        <f t="shared" si="12"/>
        <v>0</v>
      </c>
      <c r="Y42" s="201">
        <f t="shared" si="12"/>
        <v>0</v>
      </c>
      <c r="Z42" s="201">
        <f t="shared" si="12"/>
        <v>0</v>
      </c>
      <c r="AA42" s="201">
        <f t="shared" si="12"/>
        <v>0</v>
      </c>
      <c r="AB42" s="201">
        <f t="shared" si="12"/>
        <v>0</v>
      </c>
      <c r="AC42" s="201">
        <f t="shared" si="12"/>
        <v>0</v>
      </c>
      <c r="AD42" s="201">
        <f t="shared" si="12"/>
        <v>0</v>
      </c>
      <c r="AE42" s="201">
        <f t="shared" si="12"/>
        <v>0</v>
      </c>
      <c r="AF42" s="201">
        <f t="shared" si="12"/>
        <v>0</v>
      </c>
      <c r="AG42" s="201">
        <f t="shared" si="12"/>
        <v>0</v>
      </c>
      <c r="AH42" s="201">
        <f t="shared" si="12"/>
        <v>0</v>
      </c>
      <c r="AI42" s="201">
        <f t="shared" si="12"/>
        <v>0</v>
      </c>
      <c r="AJ42" s="201">
        <f t="shared" si="12"/>
        <v>0</v>
      </c>
      <c r="AK42" s="201">
        <f t="shared" si="12"/>
        <v>0</v>
      </c>
      <c r="AL42" s="201">
        <f t="shared" si="12"/>
        <v>0</v>
      </c>
      <c r="AM42" s="201">
        <f t="shared" si="12"/>
        <v>0</v>
      </c>
      <c r="AN42" s="201">
        <f t="shared" si="12"/>
        <v>0</v>
      </c>
      <c r="AO42" s="201">
        <f t="shared" si="12"/>
        <v>0</v>
      </c>
      <c r="AP42" s="201">
        <f t="shared" si="12"/>
        <v>0</v>
      </c>
      <c r="AQ42" s="201">
        <f t="shared" si="12"/>
        <v>0</v>
      </c>
      <c r="AR42" s="201">
        <f t="shared" si="12"/>
        <v>0</v>
      </c>
      <c r="AS42" s="201">
        <f t="shared" si="12"/>
        <v>0</v>
      </c>
      <c r="AT42" s="201">
        <f t="shared" si="12"/>
        <v>0</v>
      </c>
      <c r="AU42" s="201">
        <f t="shared" si="12"/>
        <v>0</v>
      </c>
      <c r="AV42" s="201">
        <f t="shared" si="12"/>
        <v>0</v>
      </c>
      <c r="AW42" s="201">
        <f t="shared" si="12"/>
        <v>0</v>
      </c>
      <c r="AX42" s="201">
        <f t="shared" si="12"/>
        <v>0</v>
      </c>
      <c r="AY42" s="201">
        <f t="shared" si="12"/>
        <v>0</v>
      </c>
      <c r="AZ42" s="201">
        <f t="shared" si="12"/>
        <v>0</v>
      </c>
      <c r="BA42" s="201">
        <f t="shared" si="12"/>
        <v>0</v>
      </c>
      <c r="BB42" s="201">
        <f t="shared" si="12"/>
        <v>0</v>
      </c>
      <c r="BC42" s="201">
        <f t="shared" si="12"/>
        <v>0</v>
      </c>
      <c r="BD42" s="201">
        <f t="shared" si="12"/>
        <v>0</v>
      </c>
      <c r="BE42" s="201">
        <f t="shared" si="12"/>
        <v>0</v>
      </c>
      <c r="BF42" s="201">
        <f t="shared" si="12"/>
        <v>0</v>
      </c>
      <c r="BG42" s="201">
        <f t="shared" si="12"/>
        <v>0</v>
      </c>
      <c r="BH42" s="201">
        <f t="shared" si="12"/>
        <v>0</v>
      </c>
      <c r="BI42" s="201">
        <f t="shared" si="12"/>
        <v>0</v>
      </c>
      <c r="BJ42" s="201">
        <f t="shared" si="12"/>
        <v>0</v>
      </c>
      <c r="BK42" s="201">
        <f t="shared" si="12"/>
        <v>0</v>
      </c>
      <c r="BL42" s="201">
        <f t="shared" si="12"/>
        <v>0</v>
      </c>
      <c r="BM42" s="201">
        <f t="shared" si="12"/>
        <v>0</v>
      </c>
      <c r="BN42" s="201">
        <f t="shared" si="12"/>
        <v>0</v>
      </c>
      <c r="BO42" s="201">
        <f t="shared" ref="BO42:DZ42" si="13">+BN42-BO41</f>
        <v>0</v>
      </c>
      <c r="BP42" s="201">
        <f t="shared" si="13"/>
        <v>0</v>
      </c>
      <c r="BQ42" s="201">
        <f t="shared" si="13"/>
        <v>0</v>
      </c>
      <c r="BR42" s="201">
        <f t="shared" si="13"/>
        <v>0</v>
      </c>
      <c r="BS42" s="201">
        <f t="shared" si="13"/>
        <v>0</v>
      </c>
      <c r="BT42" s="201">
        <f t="shared" si="13"/>
        <v>0</v>
      </c>
      <c r="BU42" s="201">
        <f t="shared" si="13"/>
        <v>0</v>
      </c>
      <c r="BV42" s="201">
        <f t="shared" si="13"/>
        <v>0</v>
      </c>
      <c r="BW42" s="201">
        <f t="shared" si="13"/>
        <v>0</v>
      </c>
      <c r="BX42" s="201">
        <f t="shared" si="13"/>
        <v>0</v>
      </c>
      <c r="BY42" s="201">
        <f t="shared" si="13"/>
        <v>0</v>
      </c>
      <c r="BZ42" s="201">
        <f t="shared" si="13"/>
        <v>0</v>
      </c>
      <c r="CA42" s="201">
        <f t="shared" si="13"/>
        <v>0</v>
      </c>
      <c r="CB42" s="201">
        <f t="shared" si="13"/>
        <v>0</v>
      </c>
      <c r="CC42" s="201">
        <f t="shared" si="13"/>
        <v>0</v>
      </c>
      <c r="CD42" s="201">
        <f t="shared" si="13"/>
        <v>0</v>
      </c>
      <c r="CE42" s="201">
        <f t="shared" si="13"/>
        <v>0</v>
      </c>
      <c r="CF42" s="201">
        <f t="shared" si="13"/>
        <v>0</v>
      </c>
      <c r="CG42" s="201">
        <f t="shared" si="13"/>
        <v>0</v>
      </c>
      <c r="CH42" s="201">
        <f t="shared" si="13"/>
        <v>0</v>
      </c>
      <c r="CI42" s="201">
        <f t="shared" si="13"/>
        <v>0</v>
      </c>
      <c r="CJ42" s="201">
        <f t="shared" si="13"/>
        <v>0</v>
      </c>
      <c r="CK42" s="201">
        <f t="shared" si="13"/>
        <v>0</v>
      </c>
      <c r="CL42" s="201">
        <f t="shared" si="13"/>
        <v>0</v>
      </c>
      <c r="CM42" s="201">
        <f t="shared" si="13"/>
        <v>0</v>
      </c>
      <c r="CN42" s="201">
        <f t="shared" si="13"/>
        <v>0</v>
      </c>
      <c r="CO42" s="201">
        <f t="shared" si="13"/>
        <v>0</v>
      </c>
      <c r="CP42" s="201">
        <f t="shared" si="13"/>
        <v>0</v>
      </c>
      <c r="CQ42" s="201">
        <f t="shared" si="13"/>
        <v>0</v>
      </c>
      <c r="CR42" s="201">
        <f t="shared" si="13"/>
        <v>0</v>
      </c>
      <c r="CS42" s="201">
        <f t="shared" si="13"/>
        <v>0</v>
      </c>
      <c r="CT42" s="201">
        <f t="shared" si="13"/>
        <v>0</v>
      </c>
      <c r="CU42" s="201">
        <f t="shared" si="13"/>
        <v>0</v>
      </c>
      <c r="CV42" s="201">
        <f t="shared" si="13"/>
        <v>0</v>
      </c>
      <c r="CW42" s="201">
        <f t="shared" si="13"/>
        <v>0</v>
      </c>
      <c r="CX42" s="201">
        <f t="shared" si="13"/>
        <v>0</v>
      </c>
      <c r="CY42" s="201">
        <f t="shared" si="13"/>
        <v>0</v>
      </c>
      <c r="CZ42" s="201">
        <f t="shared" si="13"/>
        <v>0</v>
      </c>
      <c r="DA42" s="201">
        <f t="shared" si="13"/>
        <v>0</v>
      </c>
      <c r="DB42" s="201">
        <f t="shared" si="13"/>
        <v>0</v>
      </c>
      <c r="DC42" s="201">
        <f t="shared" si="13"/>
        <v>0</v>
      </c>
      <c r="DD42" s="201">
        <f t="shared" si="13"/>
        <v>0</v>
      </c>
      <c r="DE42" s="201">
        <f t="shared" si="13"/>
        <v>0</v>
      </c>
      <c r="DF42" s="201">
        <f t="shared" si="13"/>
        <v>0</v>
      </c>
      <c r="DG42" s="201">
        <f t="shared" si="13"/>
        <v>0</v>
      </c>
      <c r="DH42" s="201">
        <f t="shared" si="13"/>
        <v>0</v>
      </c>
      <c r="DI42" s="201">
        <f t="shared" si="13"/>
        <v>0</v>
      </c>
      <c r="DJ42" s="201">
        <f t="shared" si="13"/>
        <v>0</v>
      </c>
      <c r="DK42" s="201">
        <f t="shared" si="13"/>
        <v>0</v>
      </c>
      <c r="DL42" s="201">
        <f t="shared" si="13"/>
        <v>0</v>
      </c>
      <c r="DM42" s="201">
        <f t="shared" si="13"/>
        <v>0</v>
      </c>
      <c r="DN42" s="201">
        <f t="shared" si="13"/>
        <v>0</v>
      </c>
      <c r="DO42" s="201">
        <f t="shared" si="13"/>
        <v>0</v>
      </c>
      <c r="DP42" s="201">
        <f t="shared" si="13"/>
        <v>0</v>
      </c>
      <c r="DQ42" s="201">
        <f t="shared" si="13"/>
        <v>0</v>
      </c>
      <c r="DR42" s="201">
        <f t="shared" si="13"/>
        <v>0</v>
      </c>
      <c r="DS42" s="201">
        <f t="shared" si="13"/>
        <v>0</v>
      </c>
      <c r="DT42" s="201">
        <f t="shared" si="13"/>
        <v>0</v>
      </c>
      <c r="DU42" s="201">
        <f t="shared" si="13"/>
        <v>0</v>
      </c>
      <c r="DV42" s="201">
        <f t="shared" si="13"/>
        <v>0</v>
      </c>
      <c r="DW42" s="201">
        <f t="shared" si="13"/>
        <v>0</v>
      </c>
      <c r="DX42" s="201">
        <f t="shared" si="13"/>
        <v>0</v>
      </c>
      <c r="DY42" s="201">
        <f t="shared" si="13"/>
        <v>0</v>
      </c>
      <c r="DZ42" s="201">
        <f t="shared" si="13"/>
        <v>0</v>
      </c>
      <c r="EA42" s="201">
        <f t="shared" ref="EA42:GL42" si="14">+DZ42-EA41</f>
        <v>0</v>
      </c>
      <c r="EB42" s="201">
        <f t="shared" si="14"/>
        <v>0</v>
      </c>
      <c r="EC42" s="201">
        <f t="shared" si="14"/>
        <v>0</v>
      </c>
      <c r="ED42" s="201">
        <f t="shared" si="14"/>
        <v>0</v>
      </c>
      <c r="EE42" s="201">
        <f t="shared" si="14"/>
        <v>0</v>
      </c>
      <c r="EF42" s="201">
        <f t="shared" si="14"/>
        <v>0</v>
      </c>
      <c r="EG42" s="201">
        <f t="shared" si="14"/>
        <v>0</v>
      </c>
      <c r="EH42" s="201">
        <f t="shared" si="14"/>
        <v>0</v>
      </c>
      <c r="EI42" s="201">
        <f t="shared" si="14"/>
        <v>0</v>
      </c>
      <c r="EJ42" s="201">
        <f t="shared" si="14"/>
        <v>0</v>
      </c>
      <c r="EK42" s="201">
        <f t="shared" si="14"/>
        <v>0</v>
      </c>
      <c r="EL42" s="201">
        <f t="shared" si="14"/>
        <v>0</v>
      </c>
      <c r="EM42" s="201">
        <f t="shared" si="14"/>
        <v>0</v>
      </c>
      <c r="EN42" s="201">
        <f t="shared" si="14"/>
        <v>0</v>
      </c>
      <c r="EO42" s="201">
        <f t="shared" si="14"/>
        <v>0</v>
      </c>
      <c r="EP42" s="201">
        <f t="shared" si="14"/>
        <v>0</v>
      </c>
      <c r="EQ42" s="201">
        <f t="shared" si="14"/>
        <v>0</v>
      </c>
      <c r="ER42" s="201">
        <f t="shared" si="14"/>
        <v>0</v>
      </c>
      <c r="ES42" s="201">
        <f t="shared" si="14"/>
        <v>0</v>
      </c>
      <c r="ET42" s="201">
        <f t="shared" si="14"/>
        <v>0</v>
      </c>
      <c r="EU42" s="201">
        <f t="shared" si="14"/>
        <v>0</v>
      </c>
      <c r="EV42" s="201">
        <f t="shared" si="14"/>
        <v>0</v>
      </c>
      <c r="EW42" s="201">
        <f t="shared" si="14"/>
        <v>0</v>
      </c>
      <c r="EX42" s="201">
        <f t="shared" si="14"/>
        <v>0</v>
      </c>
      <c r="EY42" s="201">
        <f t="shared" si="14"/>
        <v>0</v>
      </c>
      <c r="EZ42" s="201">
        <f t="shared" si="14"/>
        <v>0</v>
      </c>
      <c r="FA42" s="201">
        <f t="shared" si="14"/>
        <v>0</v>
      </c>
      <c r="FB42" s="201">
        <f t="shared" si="14"/>
        <v>0</v>
      </c>
      <c r="FC42" s="201">
        <f t="shared" si="14"/>
        <v>0</v>
      </c>
      <c r="FD42" s="201">
        <f t="shared" si="14"/>
        <v>0</v>
      </c>
      <c r="FE42" s="201">
        <f t="shared" si="14"/>
        <v>0</v>
      </c>
      <c r="FF42" s="201">
        <f t="shared" si="14"/>
        <v>0</v>
      </c>
      <c r="FG42" s="201">
        <f t="shared" si="14"/>
        <v>0</v>
      </c>
      <c r="FH42" s="201">
        <f t="shared" si="14"/>
        <v>0</v>
      </c>
      <c r="FI42" s="201">
        <f t="shared" si="14"/>
        <v>0</v>
      </c>
      <c r="FJ42" s="201">
        <f t="shared" si="14"/>
        <v>0</v>
      </c>
      <c r="FK42" s="201">
        <f t="shared" si="14"/>
        <v>0</v>
      </c>
      <c r="FL42" s="201">
        <f t="shared" si="14"/>
        <v>0</v>
      </c>
      <c r="FM42" s="201">
        <f t="shared" si="14"/>
        <v>0</v>
      </c>
      <c r="FN42" s="201">
        <f t="shared" si="14"/>
        <v>0</v>
      </c>
      <c r="FO42" s="201">
        <f t="shared" si="14"/>
        <v>0</v>
      </c>
      <c r="FP42" s="201">
        <f t="shared" si="14"/>
        <v>0</v>
      </c>
      <c r="FQ42" s="201">
        <f t="shared" si="14"/>
        <v>0</v>
      </c>
      <c r="FR42" s="201">
        <f t="shared" si="14"/>
        <v>0</v>
      </c>
      <c r="FS42" s="201">
        <f t="shared" si="14"/>
        <v>0</v>
      </c>
      <c r="FT42" s="201">
        <f t="shared" si="14"/>
        <v>0</v>
      </c>
      <c r="FU42" s="201">
        <f t="shared" si="14"/>
        <v>0</v>
      </c>
      <c r="FV42" s="201">
        <f t="shared" si="14"/>
        <v>0</v>
      </c>
      <c r="FW42" s="201">
        <f t="shared" si="14"/>
        <v>0</v>
      </c>
      <c r="FX42" s="201">
        <f t="shared" si="14"/>
        <v>0</v>
      </c>
      <c r="FY42" s="201">
        <f t="shared" si="14"/>
        <v>0</v>
      </c>
      <c r="FZ42" s="201">
        <f t="shared" si="14"/>
        <v>0</v>
      </c>
      <c r="GA42" s="201">
        <f t="shared" si="14"/>
        <v>0</v>
      </c>
      <c r="GB42" s="201">
        <f t="shared" si="14"/>
        <v>0</v>
      </c>
      <c r="GC42" s="201">
        <f t="shared" si="14"/>
        <v>0</v>
      </c>
      <c r="GD42" s="201">
        <f t="shared" si="14"/>
        <v>0</v>
      </c>
      <c r="GE42" s="201">
        <f t="shared" si="14"/>
        <v>0</v>
      </c>
      <c r="GF42" s="201">
        <f t="shared" si="14"/>
        <v>0</v>
      </c>
      <c r="GG42" s="201">
        <f t="shared" si="14"/>
        <v>0</v>
      </c>
      <c r="GH42" s="201">
        <f t="shared" si="14"/>
        <v>0</v>
      </c>
      <c r="GI42" s="201">
        <f t="shared" si="14"/>
        <v>0</v>
      </c>
      <c r="GJ42" s="201">
        <f t="shared" si="14"/>
        <v>0</v>
      </c>
      <c r="GK42" s="201">
        <f t="shared" si="14"/>
        <v>0</v>
      </c>
      <c r="GL42" s="201">
        <f t="shared" si="14"/>
        <v>0</v>
      </c>
      <c r="GM42" s="201">
        <f t="shared" ref="GM42:IV42" si="15">+GL42-GM41</f>
        <v>0</v>
      </c>
      <c r="GN42" s="201">
        <f t="shared" si="15"/>
        <v>0</v>
      </c>
      <c r="GO42" s="201">
        <f t="shared" si="15"/>
        <v>0</v>
      </c>
      <c r="GP42" s="201">
        <f t="shared" si="15"/>
        <v>0</v>
      </c>
      <c r="GQ42" s="201">
        <f t="shared" si="15"/>
        <v>0</v>
      </c>
      <c r="GR42" s="201">
        <f t="shared" si="15"/>
        <v>0</v>
      </c>
      <c r="GS42" s="201">
        <f t="shared" si="15"/>
        <v>0</v>
      </c>
      <c r="GT42" s="201">
        <f t="shared" si="15"/>
        <v>0</v>
      </c>
      <c r="GU42" s="201">
        <f t="shared" si="15"/>
        <v>0</v>
      </c>
      <c r="GV42" s="201">
        <f t="shared" si="15"/>
        <v>0</v>
      </c>
      <c r="GW42" s="201">
        <f t="shared" si="15"/>
        <v>0</v>
      </c>
      <c r="GX42" s="201">
        <f t="shared" si="15"/>
        <v>0</v>
      </c>
      <c r="GY42" s="201">
        <f t="shared" si="15"/>
        <v>0</v>
      </c>
      <c r="GZ42" s="201">
        <f t="shared" si="15"/>
        <v>0</v>
      </c>
      <c r="HA42" s="201">
        <f t="shared" si="15"/>
        <v>0</v>
      </c>
      <c r="HB42" s="201">
        <f t="shared" si="15"/>
        <v>0</v>
      </c>
      <c r="HC42" s="201">
        <f t="shared" si="15"/>
        <v>0</v>
      </c>
      <c r="HD42" s="201">
        <f t="shared" si="15"/>
        <v>0</v>
      </c>
      <c r="HE42" s="201">
        <f t="shared" si="15"/>
        <v>0</v>
      </c>
      <c r="HF42" s="201">
        <f t="shared" si="15"/>
        <v>0</v>
      </c>
      <c r="HG42" s="201">
        <f t="shared" si="15"/>
        <v>0</v>
      </c>
      <c r="HH42" s="201">
        <f t="shared" si="15"/>
        <v>0</v>
      </c>
      <c r="HI42" s="201">
        <f t="shared" si="15"/>
        <v>0</v>
      </c>
      <c r="HJ42" s="201">
        <f t="shared" si="15"/>
        <v>0</v>
      </c>
      <c r="HK42" s="201">
        <f t="shared" si="15"/>
        <v>0</v>
      </c>
      <c r="HL42" s="201">
        <f t="shared" si="15"/>
        <v>0</v>
      </c>
      <c r="HM42" s="201">
        <f t="shared" si="15"/>
        <v>0</v>
      </c>
      <c r="HN42" s="201">
        <f t="shared" si="15"/>
        <v>0</v>
      </c>
      <c r="HO42" s="201">
        <f t="shared" si="15"/>
        <v>0</v>
      </c>
      <c r="HP42" s="201">
        <f t="shared" si="15"/>
        <v>0</v>
      </c>
      <c r="HQ42" s="201">
        <f t="shared" si="15"/>
        <v>0</v>
      </c>
      <c r="HR42" s="201">
        <f t="shared" si="15"/>
        <v>0</v>
      </c>
      <c r="HS42" s="201">
        <f t="shared" si="15"/>
        <v>0</v>
      </c>
      <c r="HT42" s="201">
        <f t="shared" si="15"/>
        <v>0</v>
      </c>
      <c r="HU42" s="201">
        <f t="shared" si="15"/>
        <v>0</v>
      </c>
      <c r="HV42" s="201">
        <f t="shared" si="15"/>
        <v>0</v>
      </c>
      <c r="HW42" s="201">
        <f t="shared" si="15"/>
        <v>0</v>
      </c>
      <c r="HX42" s="201">
        <f t="shared" si="15"/>
        <v>0</v>
      </c>
      <c r="HY42" s="201">
        <f t="shared" si="15"/>
        <v>0</v>
      </c>
      <c r="HZ42" s="201">
        <f t="shared" si="15"/>
        <v>0</v>
      </c>
      <c r="IA42" s="201">
        <f t="shared" si="15"/>
        <v>0</v>
      </c>
      <c r="IB42" s="201">
        <f t="shared" si="15"/>
        <v>0</v>
      </c>
      <c r="IC42" s="201">
        <f t="shared" si="15"/>
        <v>0</v>
      </c>
      <c r="ID42" s="201">
        <f t="shared" si="15"/>
        <v>0</v>
      </c>
      <c r="IE42" s="201">
        <f t="shared" si="15"/>
        <v>0</v>
      </c>
      <c r="IF42" s="201">
        <f t="shared" si="15"/>
        <v>0</v>
      </c>
      <c r="IG42" s="201">
        <f t="shared" si="15"/>
        <v>0</v>
      </c>
      <c r="IH42" s="201">
        <f t="shared" si="15"/>
        <v>0</v>
      </c>
      <c r="II42" s="201">
        <f t="shared" si="15"/>
        <v>0</v>
      </c>
      <c r="IJ42" s="201">
        <f t="shared" si="15"/>
        <v>0</v>
      </c>
      <c r="IK42" s="201">
        <f t="shared" si="15"/>
        <v>0</v>
      </c>
      <c r="IL42" s="201">
        <f t="shared" si="15"/>
        <v>0</v>
      </c>
      <c r="IM42" s="201">
        <f t="shared" si="15"/>
        <v>0</v>
      </c>
      <c r="IN42" s="201">
        <f t="shared" si="15"/>
        <v>0</v>
      </c>
      <c r="IO42" s="201">
        <f t="shared" si="15"/>
        <v>0</v>
      </c>
      <c r="IP42" s="201">
        <f t="shared" si="15"/>
        <v>0</v>
      </c>
      <c r="IQ42" s="201">
        <f t="shared" si="15"/>
        <v>0</v>
      </c>
      <c r="IR42" s="201">
        <f t="shared" si="15"/>
        <v>0</v>
      </c>
      <c r="IS42" s="201">
        <f t="shared" si="15"/>
        <v>0</v>
      </c>
      <c r="IT42" s="201">
        <f t="shared" si="15"/>
        <v>0</v>
      </c>
      <c r="IU42" s="201">
        <f t="shared" si="15"/>
        <v>0</v>
      </c>
      <c r="IV42" s="201">
        <f t="shared" si="15"/>
        <v>0</v>
      </c>
    </row>
    <row r="43" spans="1:256">
      <c r="A43" s="200"/>
      <c r="B43" s="199"/>
    </row>
    <row r="44" spans="1:256">
      <c r="A44" s="200"/>
      <c r="B44" s="199"/>
    </row>
    <row r="45" spans="1:256">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Capacity!Area_de_impressao</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Rafael</cp:lastModifiedBy>
  <cp:revision>1</cp:revision>
  <cp:lastPrinted>2005-08-15T09:18:22Z</cp:lastPrinted>
  <dcterms:created xsi:type="dcterms:W3CDTF">2005-01-26T21:50:47Z</dcterms:created>
  <dcterms:modified xsi:type="dcterms:W3CDTF">2011-11-30T23:13:42Z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