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Sprint!$A$3:$DY$45</definedName>
    <definedName name="Burndown" localSheetId="1">Sprint!$H$4:$DX$46</definedName>
    <definedName name="Burndown">Sprint!$H$4:$DX$46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Sprint!$H$1:$DX$1</definedName>
    <definedName name="SprintDates">Sprint!$H$1:$DX$1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Sprint!$DY$4:$DY$46</definedName>
    <definedName name="TotalEffort">Sprint!$DY$4:$DY$46</definedName>
  </definedNames>
  <calcPr calcId="125725"/>
</workbook>
</file>

<file path=xl/calcChain.xml><?xml version="1.0" encoding="utf-8"?>
<calcChain xmlns="http://schemas.openxmlformats.org/spreadsheetml/2006/main">
  <c r="G8" i="6"/>
  <c r="I4" i="7"/>
  <c r="J4" s="1"/>
  <c r="I45"/>
  <c r="I44"/>
  <c r="J44"/>
  <c r="I43"/>
  <c r="J43"/>
  <c r="I42"/>
  <c r="I41"/>
  <c r="I40"/>
  <c r="J40"/>
  <c r="I39"/>
  <c r="I38"/>
  <c r="J38" s="1"/>
  <c r="I37"/>
  <c r="I36"/>
  <c r="I35"/>
  <c r="I34"/>
  <c r="I33"/>
  <c r="J33" s="1"/>
  <c r="I32"/>
  <c r="J32" s="1"/>
  <c r="I31"/>
  <c r="I30"/>
  <c r="J30"/>
  <c r="I29"/>
  <c r="J29"/>
  <c r="I28"/>
  <c r="J28"/>
  <c r="I27"/>
  <c r="J26"/>
  <c r="I26"/>
  <c r="I25"/>
  <c r="J25" s="1"/>
  <c r="I24"/>
  <c r="J24" s="1"/>
  <c r="I23"/>
  <c r="J23" s="1"/>
  <c r="I22"/>
  <c r="J22" s="1"/>
  <c r="I21"/>
  <c r="I20"/>
  <c r="J20"/>
  <c r="I19"/>
  <c r="I18"/>
  <c r="J18" s="1"/>
  <c r="I17"/>
  <c r="J17" s="1"/>
  <c r="I16"/>
  <c r="J16" s="1"/>
  <c r="I15"/>
  <c r="J15" s="1"/>
  <c r="I14"/>
  <c r="I13"/>
  <c r="I12"/>
  <c r="I11"/>
  <c r="J11" s="1"/>
  <c r="I10"/>
  <c r="I9"/>
  <c r="I8"/>
  <c r="I7"/>
  <c r="J7" s="1"/>
  <c r="I6"/>
  <c r="L6" s="1"/>
  <c r="I5"/>
  <c r="G15" i="6"/>
  <c r="E2"/>
  <c r="D2" s="1"/>
  <c r="D3"/>
  <c r="I6" s="1"/>
  <c r="H1" i="7"/>
  <c r="K1" s="1"/>
  <c r="M47"/>
  <c r="P47" s="1"/>
  <c r="S47" s="1"/>
  <c r="V47" s="1"/>
  <c r="Y47"/>
  <c r="AB47" s="1"/>
  <c r="AE47" s="1"/>
  <c r="AH47" s="1"/>
  <c r="AK47" s="1"/>
  <c r="AN47" s="1"/>
  <c r="AQ47" s="1"/>
  <c r="AT47" s="1"/>
  <c r="AW47" s="1"/>
  <c r="AZ47" s="1"/>
  <c r="BC47" s="1"/>
  <c r="BF47" s="1"/>
  <c r="BI47" s="1"/>
  <c r="BL47" s="1"/>
  <c r="BO47" s="1"/>
  <c r="BR47" s="1"/>
  <c r="BU47" s="1"/>
  <c r="BX47" s="1"/>
  <c r="CA47" s="1"/>
  <c r="CD47" s="1"/>
  <c r="CG47" s="1"/>
  <c r="CJ47" s="1"/>
  <c r="CM47" s="1"/>
  <c r="CP47" s="1"/>
  <c r="CS47" s="1"/>
  <c r="CV47" s="1"/>
  <c r="CY47" s="1"/>
  <c r="DB47" s="1"/>
  <c r="DE47" s="1"/>
  <c r="DH47" s="1"/>
  <c r="DK47" s="1"/>
  <c r="DN47" s="1"/>
  <c r="DQ47" s="1"/>
  <c r="DT47" s="1"/>
  <c r="DW47" s="1"/>
  <c r="W51"/>
  <c r="Z51"/>
  <c r="AC51"/>
  <c r="AF51"/>
  <c r="AI51"/>
  <c r="AL51"/>
  <c r="AO51"/>
  <c r="AR51"/>
  <c r="AU51"/>
  <c r="AX51"/>
  <c r="BA51"/>
  <c r="BD51"/>
  <c r="BG51"/>
  <c r="BJ51"/>
  <c r="BM51"/>
  <c r="BP51"/>
  <c r="BS51"/>
  <c r="BV51"/>
  <c r="BY51"/>
  <c r="CB51"/>
  <c r="CE51"/>
  <c r="CH51"/>
  <c r="CK51"/>
  <c r="CN51"/>
  <c r="CQ51"/>
  <c r="H51"/>
  <c r="G25" i="6"/>
  <c r="G24"/>
  <c r="G23"/>
  <c r="G22"/>
  <c r="G21"/>
  <c r="G20"/>
  <c r="G19"/>
  <c r="G18"/>
  <c r="G14"/>
  <c r="A19" i="8"/>
  <c r="E20"/>
  <c r="E23" s="1"/>
  <c r="DY46" i="7"/>
  <c r="G51"/>
  <c r="I51"/>
  <c r="K51"/>
  <c r="N51"/>
  <c r="Q51"/>
  <c r="T51"/>
  <c r="CT51"/>
  <c r="CW51"/>
  <c r="CZ51"/>
  <c r="DC51"/>
  <c r="DF51"/>
  <c r="DI51"/>
  <c r="DL51"/>
  <c r="DO51"/>
  <c r="DR51"/>
  <c r="DU51"/>
  <c r="G10" i="6"/>
  <c r="L4" i="7"/>
  <c r="O4" s="1"/>
  <c r="R4"/>
  <c r="U4" s="1"/>
  <c r="X4" s="1"/>
  <c r="AA4" s="1"/>
  <c r="AD4" s="1"/>
  <c r="AG4" s="1"/>
  <c r="AJ4" s="1"/>
  <c r="AM4" s="1"/>
  <c r="AP4" s="1"/>
  <c r="AS4" s="1"/>
  <c r="AV4" s="1"/>
  <c r="AY4" s="1"/>
  <c r="BB4" s="1"/>
  <c r="BE4" s="1"/>
  <c r="BH4" s="1"/>
  <c r="BK4" s="1"/>
  <c r="BN4" s="1"/>
  <c r="BQ4" s="1"/>
  <c r="BT4" s="1"/>
  <c r="BW4" s="1"/>
  <c r="BZ4" s="1"/>
  <c r="CC4" s="1"/>
  <c r="CF4" s="1"/>
  <c r="CI4" s="1"/>
  <c r="CL4" s="1"/>
  <c r="CO4" s="1"/>
  <c r="CR4" s="1"/>
  <c r="L37"/>
  <c r="O37"/>
  <c r="J42"/>
  <c r="L42"/>
  <c r="O42" s="1"/>
  <c r="J39"/>
  <c r="L39"/>
  <c r="O39" s="1"/>
  <c r="R39" s="1"/>
  <c r="U39" s="1"/>
  <c r="X39" s="1"/>
  <c r="AA39" s="1"/>
  <c r="AD39" s="1"/>
  <c r="AG39" s="1"/>
  <c r="AJ39" s="1"/>
  <c r="AM39" s="1"/>
  <c r="AP39" s="1"/>
  <c r="AS39" s="1"/>
  <c r="AV39" s="1"/>
  <c r="AY39" s="1"/>
  <c r="BB39" s="1"/>
  <c r="BE39" s="1"/>
  <c r="BH39" s="1"/>
  <c r="BK39" s="1"/>
  <c r="BN39" s="1"/>
  <c r="BQ39" s="1"/>
  <c r="BT39" s="1"/>
  <c r="BW39" s="1"/>
  <c r="BZ39" s="1"/>
  <c r="CC39" s="1"/>
  <c r="CF39" s="1"/>
  <c r="CI39" s="1"/>
  <c r="CL39" s="1"/>
  <c r="CO39" s="1"/>
  <c r="CR39" s="1"/>
  <c r="CU39" s="1"/>
  <c r="CX39" s="1"/>
  <c r="DA39" s="1"/>
  <c r="DD39" s="1"/>
  <c r="DG39" s="1"/>
  <c r="DJ39" s="1"/>
  <c r="DM39" s="1"/>
  <c r="DP39" s="1"/>
  <c r="DS39" s="1"/>
  <c r="DV39" s="1"/>
  <c r="J37"/>
  <c r="M37"/>
  <c r="L43"/>
  <c r="O43" s="1"/>
  <c r="R43" s="1"/>
  <c r="U43" s="1"/>
  <c r="X43"/>
  <c r="AA43" s="1"/>
  <c r="AD43" s="1"/>
  <c r="AG43" s="1"/>
  <c r="AJ43" s="1"/>
  <c r="AM43" s="1"/>
  <c r="AP43" s="1"/>
  <c r="AS43" s="1"/>
  <c r="AV43" s="1"/>
  <c r="AY43" s="1"/>
  <c r="BB43" s="1"/>
  <c r="BE43" s="1"/>
  <c r="BH43" s="1"/>
  <c r="BK43" s="1"/>
  <c r="BN43" s="1"/>
  <c r="BQ43" s="1"/>
  <c r="BT43" s="1"/>
  <c r="BW43" s="1"/>
  <c r="BZ43" s="1"/>
  <c r="CC43" s="1"/>
  <c r="CF43" s="1"/>
  <c r="CI43" s="1"/>
  <c r="CL43" s="1"/>
  <c r="CO43" s="1"/>
  <c r="CR43" s="1"/>
  <c r="CU43" s="1"/>
  <c r="CX43" s="1"/>
  <c r="DA43" s="1"/>
  <c r="DD43" s="1"/>
  <c r="DG43" s="1"/>
  <c r="DJ43" s="1"/>
  <c r="DM43" s="1"/>
  <c r="DP43" s="1"/>
  <c r="DS43" s="1"/>
  <c r="DV43" s="1"/>
  <c r="L38"/>
  <c r="O38" s="1"/>
  <c r="R38" s="1"/>
  <c r="U38" s="1"/>
  <c r="X38" s="1"/>
  <c r="AA38" s="1"/>
  <c r="AD38" s="1"/>
  <c r="AG38" s="1"/>
  <c r="AJ38" s="1"/>
  <c r="AM38" s="1"/>
  <c r="AP38" s="1"/>
  <c r="AS38" s="1"/>
  <c r="AV38" s="1"/>
  <c r="AY38" s="1"/>
  <c r="BB38" s="1"/>
  <c r="BE38" s="1"/>
  <c r="BH38" s="1"/>
  <c r="BK38" s="1"/>
  <c r="BN38" s="1"/>
  <c r="BQ38" s="1"/>
  <c r="BT38" s="1"/>
  <c r="BW38" s="1"/>
  <c r="BZ38" s="1"/>
  <c r="CC38" s="1"/>
  <c r="CF38" s="1"/>
  <c r="CI38" s="1"/>
  <c r="CL38" s="1"/>
  <c r="CO38" s="1"/>
  <c r="CR38" s="1"/>
  <c r="CU38" s="1"/>
  <c r="CX38" s="1"/>
  <c r="DA38" s="1"/>
  <c r="DD38" s="1"/>
  <c r="DG38" s="1"/>
  <c r="DJ38" s="1"/>
  <c r="DM38" s="1"/>
  <c r="DP38" s="1"/>
  <c r="DS38" s="1"/>
  <c r="DV38" s="1"/>
  <c r="L40"/>
  <c r="O40" s="1"/>
  <c r="L44"/>
  <c r="O44" s="1"/>
  <c r="R44" s="1"/>
  <c r="U44" s="1"/>
  <c r="X44" s="1"/>
  <c r="AA44" s="1"/>
  <c r="AD44" s="1"/>
  <c r="AG44" s="1"/>
  <c r="AJ44" s="1"/>
  <c r="AM44" s="1"/>
  <c r="AP44" s="1"/>
  <c r="AS44" s="1"/>
  <c r="AV44" s="1"/>
  <c r="AY44" s="1"/>
  <c r="BB44" s="1"/>
  <c r="BE44" s="1"/>
  <c r="BH44" s="1"/>
  <c r="BK44" s="1"/>
  <c r="BN44" s="1"/>
  <c r="BQ44" s="1"/>
  <c r="BT44" s="1"/>
  <c r="BW44" s="1"/>
  <c r="BZ44" s="1"/>
  <c r="CC44" s="1"/>
  <c r="CF44" s="1"/>
  <c r="CI44" s="1"/>
  <c r="CL44" s="1"/>
  <c r="CO44" s="1"/>
  <c r="CR44" s="1"/>
  <c r="CU44" s="1"/>
  <c r="CX44" s="1"/>
  <c r="DA44" s="1"/>
  <c r="DD44" s="1"/>
  <c r="DG44" s="1"/>
  <c r="DJ44" s="1"/>
  <c r="DM44" s="1"/>
  <c r="DP44" s="1"/>
  <c r="DS44" s="1"/>
  <c r="DV44" s="1"/>
  <c r="L11"/>
  <c r="O11" s="1"/>
  <c r="R11" s="1"/>
  <c r="U11" s="1"/>
  <c r="X11" s="1"/>
  <c r="AA11" s="1"/>
  <c r="AD11" s="1"/>
  <c r="AG11" s="1"/>
  <c r="AJ11" s="1"/>
  <c r="AM11" s="1"/>
  <c r="AP11" s="1"/>
  <c r="AS11" s="1"/>
  <c r="AV11" s="1"/>
  <c r="AY11" s="1"/>
  <c r="BB11" s="1"/>
  <c r="BE11" s="1"/>
  <c r="BH11" s="1"/>
  <c r="BK11" s="1"/>
  <c r="BN11" s="1"/>
  <c r="BQ11" s="1"/>
  <c r="BT11" s="1"/>
  <c r="BW11" s="1"/>
  <c r="BZ11" s="1"/>
  <c r="CC11" s="1"/>
  <c r="CF11" s="1"/>
  <c r="CI11" s="1"/>
  <c r="CL11" s="1"/>
  <c r="CO11" s="1"/>
  <c r="CR11" s="1"/>
  <c r="CU11" s="1"/>
  <c r="CX11" s="1"/>
  <c r="DA11" s="1"/>
  <c r="DD11" s="1"/>
  <c r="DG11" s="1"/>
  <c r="DJ11" s="1"/>
  <c r="DM11" s="1"/>
  <c r="DP11" s="1"/>
  <c r="DS11" s="1"/>
  <c r="DV11" s="1"/>
  <c r="J12"/>
  <c r="L12"/>
  <c r="O12" s="1"/>
  <c r="R12" s="1"/>
  <c r="U12" s="1"/>
  <c r="X12" s="1"/>
  <c r="AA12" s="1"/>
  <c r="AD12" s="1"/>
  <c r="AG12" s="1"/>
  <c r="AJ12" s="1"/>
  <c r="AM12" s="1"/>
  <c r="AP12" s="1"/>
  <c r="AS12" s="1"/>
  <c r="AV12" s="1"/>
  <c r="AY12" s="1"/>
  <c r="BB12" s="1"/>
  <c r="BE12" s="1"/>
  <c r="BH12" s="1"/>
  <c r="BK12" s="1"/>
  <c r="BN12" s="1"/>
  <c r="BQ12" s="1"/>
  <c r="BT12" s="1"/>
  <c r="BW12" s="1"/>
  <c r="BZ12" s="1"/>
  <c r="CC12" s="1"/>
  <c r="CF12" s="1"/>
  <c r="CI12" s="1"/>
  <c r="CL12" s="1"/>
  <c r="CO12" s="1"/>
  <c r="CR12" s="1"/>
  <c r="CU12" s="1"/>
  <c r="CX12" s="1"/>
  <c r="DA12" s="1"/>
  <c r="DD12" s="1"/>
  <c r="DG12" s="1"/>
  <c r="DJ12" s="1"/>
  <c r="DM12" s="1"/>
  <c r="DP12" s="1"/>
  <c r="DS12" s="1"/>
  <c r="DV12" s="1"/>
  <c r="L14"/>
  <c r="O14" s="1"/>
  <c r="R14"/>
  <c r="U14" s="1"/>
  <c r="X14" s="1"/>
  <c r="AA14" s="1"/>
  <c r="AD14" s="1"/>
  <c r="AG14" s="1"/>
  <c r="AJ14" s="1"/>
  <c r="AM14" s="1"/>
  <c r="AP14" s="1"/>
  <c r="AS14" s="1"/>
  <c r="AV14" s="1"/>
  <c r="AY14" s="1"/>
  <c r="BB14" s="1"/>
  <c r="BE14" s="1"/>
  <c r="BH14" s="1"/>
  <c r="BK14" s="1"/>
  <c r="BN14" s="1"/>
  <c r="BQ14" s="1"/>
  <c r="BT14" s="1"/>
  <c r="BW14" s="1"/>
  <c r="BZ14" s="1"/>
  <c r="CC14" s="1"/>
  <c r="CF14" s="1"/>
  <c r="CI14" s="1"/>
  <c r="CL14" s="1"/>
  <c r="CO14" s="1"/>
  <c r="CR14" s="1"/>
  <c r="CU14" s="1"/>
  <c r="CX14" s="1"/>
  <c r="DA14" s="1"/>
  <c r="DD14" s="1"/>
  <c r="DG14" s="1"/>
  <c r="DJ14" s="1"/>
  <c r="DM14" s="1"/>
  <c r="DP14" s="1"/>
  <c r="DS14" s="1"/>
  <c r="DV14" s="1"/>
  <c r="J5"/>
  <c r="L5"/>
  <c r="J9"/>
  <c r="L9"/>
  <c r="O9" s="1"/>
  <c r="R9" s="1"/>
  <c r="U9" s="1"/>
  <c r="X9" s="1"/>
  <c r="AA9" s="1"/>
  <c r="AD9" s="1"/>
  <c r="AG9" s="1"/>
  <c r="AJ9" s="1"/>
  <c r="AM9" s="1"/>
  <c r="AP9" s="1"/>
  <c r="AS9" s="1"/>
  <c r="AV9" s="1"/>
  <c r="AY9" s="1"/>
  <c r="BB9" s="1"/>
  <c r="BE9" s="1"/>
  <c r="BH9" s="1"/>
  <c r="BK9" s="1"/>
  <c r="BN9" s="1"/>
  <c r="BQ9" s="1"/>
  <c r="BT9" s="1"/>
  <c r="BW9" s="1"/>
  <c r="BZ9" s="1"/>
  <c r="CC9" s="1"/>
  <c r="CF9" s="1"/>
  <c r="CI9" s="1"/>
  <c r="CL9" s="1"/>
  <c r="CO9" s="1"/>
  <c r="CR9" s="1"/>
  <c r="CU9" s="1"/>
  <c r="CX9" s="1"/>
  <c r="DA9" s="1"/>
  <c r="DD9" s="1"/>
  <c r="DG9" s="1"/>
  <c r="DJ9" s="1"/>
  <c r="DM9" s="1"/>
  <c r="DP9" s="1"/>
  <c r="DS9" s="1"/>
  <c r="DV9" s="1"/>
  <c r="J19"/>
  <c r="L19"/>
  <c r="O19" s="1"/>
  <c r="R19" s="1"/>
  <c r="U19" s="1"/>
  <c r="X19" s="1"/>
  <c r="AA19" s="1"/>
  <c r="AD19" s="1"/>
  <c r="AG19" s="1"/>
  <c r="AJ19" s="1"/>
  <c r="AM19" s="1"/>
  <c r="AP19" s="1"/>
  <c r="AS19" s="1"/>
  <c r="AV19" s="1"/>
  <c r="AY19" s="1"/>
  <c r="BB19" s="1"/>
  <c r="BE19" s="1"/>
  <c r="BH19" s="1"/>
  <c r="BK19" s="1"/>
  <c r="BN19" s="1"/>
  <c r="BQ19" s="1"/>
  <c r="BT19" s="1"/>
  <c r="BW19" s="1"/>
  <c r="BZ19" s="1"/>
  <c r="CC19" s="1"/>
  <c r="CF19" s="1"/>
  <c r="CI19" s="1"/>
  <c r="CL19" s="1"/>
  <c r="CO19" s="1"/>
  <c r="CR19" s="1"/>
  <c r="M5"/>
  <c r="L15"/>
  <c r="M15" s="1"/>
  <c r="J6"/>
  <c r="M6" s="1"/>
  <c r="P6" s="1"/>
  <c r="O6"/>
  <c r="R6" s="1"/>
  <c r="U6" s="1"/>
  <c r="X6" s="1"/>
  <c r="AA6" s="1"/>
  <c r="AD6" s="1"/>
  <c r="AG6" s="1"/>
  <c r="AJ6" s="1"/>
  <c r="AM6" s="1"/>
  <c r="AP6" s="1"/>
  <c r="AS6" s="1"/>
  <c r="AV6" s="1"/>
  <c r="AY6" s="1"/>
  <c r="BB6" s="1"/>
  <c r="BE6" s="1"/>
  <c r="BH6" s="1"/>
  <c r="BK6" s="1"/>
  <c r="BN6" s="1"/>
  <c r="BQ6" s="1"/>
  <c r="BT6" s="1"/>
  <c r="BW6" s="1"/>
  <c r="BZ6" s="1"/>
  <c r="CC6" s="1"/>
  <c r="CF6" s="1"/>
  <c r="CI6" s="1"/>
  <c r="CL6" s="1"/>
  <c r="CO6" s="1"/>
  <c r="CR6" s="1"/>
  <c r="CU6" s="1"/>
  <c r="CX6" s="1"/>
  <c r="DA6" s="1"/>
  <c r="DD6" s="1"/>
  <c r="DG6" s="1"/>
  <c r="DJ6" s="1"/>
  <c r="DM6" s="1"/>
  <c r="DP6" s="1"/>
  <c r="DS6" s="1"/>
  <c r="DV6" s="1"/>
  <c r="L7"/>
  <c r="O7" s="1"/>
  <c r="R7" s="1"/>
  <c r="U7" s="1"/>
  <c r="X7" s="1"/>
  <c r="AA7" s="1"/>
  <c r="AD7" s="1"/>
  <c r="AG7" s="1"/>
  <c r="AJ7" s="1"/>
  <c r="AM7" s="1"/>
  <c r="AP7" s="1"/>
  <c r="AS7" s="1"/>
  <c r="AV7" s="1"/>
  <c r="AY7" s="1"/>
  <c r="BB7" s="1"/>
  <c r="BE7" s="1"/>
  <c r="BH7" s="1"/>
  <c r="BK7" s="1"/>
  <c r="BN7" s="1"/>
  <c r="BQ7" s="1"/>
  <c r="BT7" s="1"/>
  <c r="BW7" s="1"/>
  <c r="BZ7" s="1"/>
  <c r="CC7" s="1"/>
  <c r="CF7" s="1"/>
  <c r="CI7" s="1"/>
  <c r="CL7" s="1"/>
  <c r="CO7" s="1"/>
  <c r="CR7" s="1"/>
  <c r="CU7" s="1"/>
  <c r="CX7" s="1"/>
  <c r="DA7" s="1"/>
  <c r="DD7" s="1"/>
  <c r="DG7" s="1"/>
  <c r="DJ7" s="1"/>
  <c r="DM7" s="1"/>
  <c r="DP7" s="1"/>
  <c r="DS7" s="1"/>
  <c r="DV7" s="1"/>
  <c r="J8"/>
  <c r="L8"/>
  <c r="O8" s="1"/>
  <c r="R8" s="1"/>
  <c r="U8" s="1"/>
  <c r="X8" s="1"/>
  <c r="AA8" s="1"/>
  <c r="AD8" s="1"/>
  <c r="AG8" s="1"/>
  <c r="AJ8" s="1"/>
  <c r="AM8" s="1"/>
  <c r="AP8" s="1"/>
  <c r="AS8" s="1"/>
  <c r="AV8" s="1"/>
  <c r="AY8" s="1"/>
  <c r="BB8" s="1"/>
  <c r="BE8" s="1"/>
  <c r="BH8" s="1"/>
  <c r="BK8" s="1"/>
  <c r="BN8" s="1"/>
  <c r="BQ8" s="1"/>
  <c r="BT8" s="1"/>
  <c r="BW8" s="1"/>
  <c r="BZ8" s="1"/>
  <c r="CC8" s="1"/>
  <c r="CF8" s="1"/>
  <c r="CI8" s="1"/>
  <c r="CL8" s="1"/>
  <c r="CO8" s="1"/>
  <c r="CR8" s="1"/>
  <c r="CU8" s="1"/>
  <c r="CX8" s="1"/>
  <c r="DA8" s="1"/>
  <c r="DD8" s="1"/>
  <c r="DG8" s="1"/>
  <c r="DJ8" s="1"/>
  <c r="DM8" s="1"/>
  <c r="DP8" s="1"/>
  <c r="DS8" s="1"/>
  <c r="DV8" s="1"/>
  <c r="J13"/>
  <c r="L13"/>
  <c r="O13" s="1"/>
  <c r="R13" s="1"/>
  <c r="U13" s="1"/>
  <c r="X13" s="1"/>
  <c r="AA13" s="1"/>
  <c r="AD13" s="1"/>
  <c r="AG13" s="1"/>
  <c r="AJ13" s="1"/>
  <c r="AM13" s="1"/>
  <c r="AP13" s="1"/>
  <c r="AS13" s="1"/>
  <c r="AV13" s="1"/>
  <c r="AY13" s="1"/>
  <c r="BB13" s="1"/>
  <c r="BE13" s="1"/>
  <c r="BH13" s="1"/>
  <c r="BK13" s="1"/>
  <c r="BN13" s="1"/>
  <c r="BQ13" s="1"/>
  <c r="BT13" s="1"/>
  <c r="BW13" s="1"/>
  <c r="BZ13" s="1"/>
  <c r="CC13" s="1"/>
  <c r="CF13" s="1"/>
  <c r="CI13" s="1"/>
  <c r="CL13" s="1"/>
  <c r="CO13" s="1"/>
  <c r="CR13" s="1"/>
  <c r="CU13" s="1"/>
  <c r="CX13" s="1"/>
  <c r="DA13" s="1"/>
  <c r="DD13" s="1"/>
  <c r="DG13" s="1"/>
  <c r="DJ13" s="1"/>
  <c r="DM13" s="1"/>
  <c r="DP13" s="1"/>
  <c r="DS13" s="1"/>
  <c r="DV13" s="1"/>
  <c r="L16"/>
  <c r="O16" s="1"/>
  <c r="R16"/>
  <c r="U16" s="1"/>
  <c r="X16" s="1"/>
  <c r="AA16" s="1"/>
  <c r="AD16" s="1"/>
  <c r="AG16" s="1"/>
  <c r="AJ16" s="1"/>
  <c r="AM16" s="1"/>
  <c r="AP16" s="1"/>
  <c r="AS16" s="1"/>
  <c r="AV16" s="1"/>
  <c r="AY16" s="1"/>
  <c r="BB16" s="1"/>
  <c r="BE16" s="1"/>
  <c r="BH16" s="1"/>
  <c r="BK16" s="1"/>
  <c r="BN16" s="1"/>
  <c r="BQ16" s="1"/>
  <c r="BT16" s="1"/>
  <c r="BW16" s="1"/>
  <c r="BZ16" s="1"/>
  <c r="CC16" s="1"/>
  <c r="CF16" s="1"/>
  <c r="CI16" s="1"/>
  <c r="CL16" s="1"/>
  <c r="CO16" s="1"/>
  <c r="CR16" s="1"/>
  <c r="L17"/>
  <c r="O17"/>
  <c r="R17" s="1"/>
  <c r="U17" s="1"/>
  <c r="X17" s="1"/>
  <c r="AA17" s="1"/>
  <c r="AD17" s="1"/>
  <c r="AG17" s="1"/>
  <c r="AJ17" s="1"/>
  <c r="AM17" s="1"/>
  <c r="AP17" s="1"/>
  <c r="AS17" s="1"/>
  <c r="AV17" s="1"/>
  <c r="AY17" s="1"/>
  <c r="BB17" s="1"/>
  <c r="BE17" s="1"/>
  <c r="BH17" s="1"/>
  <c r="BK17" s="1"/>
  <c r="BN17" s="1"/>
  <c r="BQ17" s="1"/>
  <c r="BT17" s="1"/>
  <c r="BW17" s="1"/>
  <c r="BZ17" s="1"/>
  <c r="CC17" s="1"/>
  <c r="CF17" s="1"/>
  <c r="CI17" s="1"/>
  <c r="CL17" s="1"/>
  <c r="CO17" s="1"/>
  <c r="CR17" s="1"/>
  <c r="L18"/>
  <c r="O18" s="1"/>
  <c r="R18" s="1"/>
  <c r="U18" s="1"/>
  <c r="X18" s="1"/>
  <c r="AA18" s="1"/>
  <c r="AD18" s="1"/>
  <c r="AG18" s="1"/>
  <c r="AJ18" s="1"/>
  <c r="AM18" s="1"/>
  <c r="AP18" s="1"/>
  <c r="AS18" s="1"/>
  <c r="AV18" s="1"/>
  <c r="AY18" s="1"/>
  <c r="BB18" s="1"/>
  <c r="BE18" s="1"/>
  <c r="BH18" s="1"/>
  <c r="BK18" s="1"/>
  <c r="BN18" s="1"/>
  <c r="BQ18" s="1"/>
  <c r="BT18" s="1"/>
  <c r="BW18" s="1"/>
  <c r="BZ18" s="1"/>
  <c r="CC18" s="1"/>
  <c r="CF18" s="1"/>
  <c r="CI18" s="1"/>
  <c r="CL18" s="1"/>
  <c r="CO18" s="1"/>
  <c r="CR18" s="1"/>
  <c r="L25"/>
  <c r="O25" s="1"/>
  <c r="R25" s="1"/>
  <c r="U25" s="1"/>
  <c r="X25" s="1"/>
  <c r="AA25" s="1"/>
  <c r="AD25" s="1"/>
  <c r="AG25" s="1"/>
  <c r="AJ25" s="1"/>
  <c r="AM25" s="1"/>
  <c r="AP25" s="1"/>
  <c r="AS25" s="1"/>
  <c r="AV25" s="1"/>
  <c r="AY25" s="1"/>
  <c r="BB25" s="1"/>
  <c r="BE25" s="1"/>
  <c r="BH25" s="1"/>
  <c r="BK25" s="1"/>
  <c r="BN25" s="1"/>
  <c r="BQ25" s="1"/>
  <c r="BT25" s="1"/>
  <c r="BW25" s="1"/>
  <c r="BZ25" s="1"/>
  <c r="CC25" s="1"/>
  <c r="CF25" s="1"/>
  <c r="CI25" s="1"/>
  <c r="CL25" s="1"/>
  <c r="CO25" s="1"/>
  <c r="CR25" s="1"/>
  <c r="CU25" s="1"/>
  <c r="CX25" s="1"/>
  <c r="DA25" s="1"/>
  <c r="DD25" s="1"/>
  <c r="DG25" s="1"/>
  <c r="DJ25" s="1"/>
  <c r="DM25" s="1"/>
  <c r="DP25" s="1"/>
  <c r="DS25" s="1"/>
  <c r="DV25" s="1"/>
  <c r="L26"/>
  <c r="O26"/>
  <c r="R26" s="1"/>
  <c r="U26" s="1"/>
  <c r="X26" s="1"/>
  <c r="AA26" s="1"/>
  <c r="AD26" s="1"/>
  <c r="AG26" s="1"/>
  <c r="AJ26" s="1"/>
  <c r="AM26" s="1"/>
  <c r="AP26" s="1"/>
  <c r="AS26" s="1"/>
  <c r="AV26" s="1"/>
  <c r="AY26" s="1"/>
  <c r="BB26" s="1"/>
  <c r="BE26" s="1"/>
  <c r="BH26" s="1"/>
  <c r="BK26" s="1"/>
  <c r="BN26" s="1"/>
  <c r="BQ26" s="1"/>
  <c r="BT26" s="1"/>
  <c r="BW26" s="1"/>
  <c r="BZ26" s="1"/>
  <c r="CC26" s="1"/>
  <c r="CF26" s="1"/>
  <c r="CI26" s="1"/>
  <c r="CL26" s="1"/>
  <c r="CO26" s="1"/>
  <c r="CR26" s="1"/>
  <c r="CU26" s="1"/>
  <c r="CX26" s="1"/>
  <c r="DA26" s="1"/>
  <c r="DD26" s="1"/>
  <c r="DG26" s="1"/>
  <c r="DJ26" s="1"/>
  <c r="DM26" s="1"/>
  <c r="DP26" s="1"/>
  <c r="DS26" s="1"/>
  <c r="DV26" s="1"/>
  <c r="J31"/>
  <c r="M31" s="1"/>
  <c r="L33"/>
  <c r="O33"/>
  <c r="R33" s="1"/>
  <c r="U33" s="1"/>
  <c r="X33" s="1"/>
  <c r="AA33" s="1"/>
  <c r="AD33" s="1"/>
  <c r="AG33" s="1"/>
  <c r="AJ33" s="1"/>
  <c r="AM33" s="1"/>
  <c r="AP33" s="1"/>
  <c r="AS33" s="1"/>
  <c r="AV33" s="1"/>
  <c r="AY33" s="1"/>
  <c r="BB33" s="1"/>
  <c r="BE33" s="1"/>
  <c r="BH33" s="1"/>
  <c r="BK33" s="1"/>
  <c r="BN33" s="1"/>
  <c r="BQ33" s="1"/>
  <c r="BT33" s="1"/>
  <c r="BW33" s="1"/>
  <c r="BZ33" s="1"/>
  <c r="CC33" s="1"/>
  <c r="CF33" s="1"/>
  <c r="CI33" s="1"/>
  <c r="CL33" s="1"/>
  <c r="CO33" s="1"/>
  <c r="CR33" s="1"/>
  <c r="CU33" s="1"/>
  <c r="CX33" s="1"/>
  <c r="DA33" s="1"/>
  <c r="DD33" s="1"/>
  <c r="DG33" s="1"/>
  <c r="DJ33" s="1"/>
  <c r="DM33" s="1"/>
  <c r="DP33" s="1"/>
  <c r="DS33" s="1"/>
  <c r="DV33" s="1"/>
  <c r="L22"/>
  <c r="O22" s="1"/>
  <c r="R22"/>
  <c r="U22" s="1"/>
  <c r="X22" s="1"/>
  <c r="AA22" s="1"/>
  <c r="AD22" s="1"/>
  <c r="AG22" s="1"/>
  <c r="AJ22" s="1"/>
  <c r="AM22" s="1"/>
  <c r="AP22" s="1"/>
  <c r="AS22" s="1"/>
  <c r="AV22" s="1"/>
  <c r="AY22" s="1"/>
  <c r="BB22" s="1"/>
  <c r="BE22" s="1"/>
  <c r="BH22" s="1"/>
  <c r="BK22" s="1"/>
  <c r="BN22" s="1"/>
  <c r="BQ22" s="1"/>
  <c r="BT22" s="1"/>
  <c r="BW22" s="1"/>
  <c r="BZ22" s="1"/>
  <c r="CC22" s="1"/>
  <c r="CF22" s="1"/>
  <c r="CI22" s="1"/>
  <c r="CL22" s="1"/>
  <c r="CO22" s="1"/>
  <c r="CR22" s="1"/>
  <c r="CU22" s="1"/>
  <c r="CX22" s="1"/>
  <c r="DA22" s="1"/>
  <c r="DD22" s="1"/>
  <c r="DG22" s="1"/>
  <c r="DJ22" s="1"/>
  <c r="DM22" s="1"/>
  <c r="DP22" s="1"/>
  <c r="DS22" s="1"/>
  <c r="DV22" s="1"/>
  <c r="L24"/>
  <c r="O24"/>
  <c r="R24" s="1"/>
  <c r="U24" s="1"/>
  <c r="X24" s="1"/>
  <c r="AA24" s="1"/>
  <c r="AD24" s="1"/>
  <c r="AG24" s="1"/>
  <c r="AJ24" s="1"/>
  <c r="AM24" s="1"/>
  <c r="AP24" s="1"/>
  <c r="AS24" s="1"/>
  <c r="AV24" s="1"/>
  <c r="AY24" s="1"/>
  <c r="BB24" s="1"/>
  <c r="BE24" s="1"/>
  <c r="BH24" s="1"/>
  <c r="BK24" s="1"/>
  <c r="BN24" s="1"/>
  <c r="BQ24" s="1"/>
  <c r="BT24" s="1"/>
  <c r="BW24" s="1"/>
  <c r="BZ24" s="1"/>
  <c r="CC24" s="1"/>
  <c r="CF24" s="1"/>
  <c r="CI24" s="1"/>
  <c r="CL24" s="1"/>
  <c r="CO24" s="1"/>
  <c r="CR24" s="1"/>
  <c r="CU24" s="1"/>
  <c r="CX24" s="1"/>
  <c r="DA24" s="1"/>
  <c r="DD24" s="1"/>
  <c r="DG24" s="1"/>
  <c r="DJ24" s="1"/>
  <c r="DM24" s="1"/>
  <c r="DP24" s="1"/>
  <c r="DS24" s="1"/>
  <c r="DV24" s="1"/>
  <c r="L28"/>
  <c r="O28" s="1"/>
  <c r="R28"/>
  <c r="U28" s="1"/>
  <c r="X28" s="1"/>
  <c r="AA28" s="1"/>
  <c r="AD28" s="1"/>
  <c r="AG28" s="1"/>
  <c r="AJ28" s="1"/>
  <c r="AM28" s="1"/>
  <c r="AP28" s="1"/>
  <c r="AS28" s="1"/>
  <c r="AV28" s="1"/>
  <c r="AY28" s="1"/>
  <c r="BB28" s="1"/>
  <c r="BE28" s="1"/>
  <c r="BH28" s="1"/>
  <c r="BK28" s="1"/>
  <c r="BN28" s="1"/>
  <c r="BQ28" s="1"/>
  <c r="BT28" s="1"/>
  <c r="BW28" s="1"/>
  <c r="BZ28" s="1"/>
  <c r="CC28" s="1"/>
  <c r="CF28" s="1"/>
  <c r="CI28" s="1"/>
  <c r="CL28" s="1"/>
  <c r="CO28" s="1"/>
  <c r="CR28" s="1"/>
  <c r="CU28" s="1"/>
  <c r="CX28" s="1"/>
  <c r="DA28" s="1"/>
  <c r="DD28" s="1"/>
  <c r="DG28" s="1"/>
  <c r="DJ28" s="1"/>
  <c r="DM28" s="1"/>
  <c r="DP28" s="1"/>
  <c r="DS28" s="1"/>
  <c r="DV28" s="1"/>
  <c r="L30"/>
  <c r="O30"/>
  <c r="R30" s="1"/>
  <c r="U30" s="1"/>
  <c r="X30" s="1"/>
  <c r="AA30" s="1"/>
  <c r="AD30" s="1"/>
  <c r="AG30" s="1"/>
  <c r="AJ30" s="1"/>
  <c r="AM30" s="1"/>
  <c r="AP30" s="1"/>
  <c r="AS30" s="1"/>
  <c r="AV30" s="1"/>
  <c r="AY30" s="1"/>
  <c r="BB30" s="1"/>
  <c r="BE30" s="1"/>
  <c r="BH30" s="1"/>
  <c r="BK30" s="1"/>
  <c r="BN30" s="1"/>
  <c r="BQ30" s="1"/>
  <c r="BT30" s="1"/>
  <c r="BW30" s="1"/>
  <c r="BZ30" s="1"/>
  <c r="CC30" s="1"/>
  <c r="CF30" s="1"/>
  <c r="CI30" s="1"/>
  <c r="CL30" s="1"/>
  <c r="CO30" s="1"/>
  <c r="CR30" s="1"/>
  <c r="CU30" s="1"/>
  <c r="CX30" s="1"/>
  <c r="DA30" s="1"/>
  <c r="DD30" s="1"/>
  <c r="DG30" s="1"/>
  <c r="DJ30" s="1"/>
  <c r="DM30" s="1"/>
  <c r="DP30" s="1"/>
  <c r="DS30" s="1"/>
  <c r="DV30" s="1"/>
  <c r="L31"/>
  <c r="O31" s="1"/>
  <c r="R31"/>
  <c r="U31" s="1"/>
  <c r="X31" s="1"/>
  <c r="AA31" s="1"/>
  <c r="AD31" s="1"/>
  <c r="AG31" s="1"/>
  <c r="AJ31" s="1"/>
  <c r="AM31" s="1"/>
  <c r="AP31" s="1"/>
  <c r="AS31" s="1"/>
  <c r="AV31" s="1"/>
  <c r="AY31" s="1"/>
  <c r="BB31" s="1"/>
  <c r="BE31" s="1"/>
  <c r="BH31" s="1"/>
  <c r="BK31" s="1"/>
  <c r="BN31" s="1"/>
  <c r="BQ31" s="1"/>
  <c r="BT31" s="1"/>
  <c r="BW31" s="1"/>
  <c r="BZ31" s="1"/>
  <c r="CC31" s="1"/>
  <c r="CF31" s="1"/>
  <c r="CI31" s="1"/>
  <c r="CL31" s="1"/>
  <c r="CO31" s="1"/>
  <c r="CR31" s="1"/>
  <c r="CU31" s="1"/>
  <c r="CX31" s="1"/>
  <c r="DA31" s="1"/>
  <c r="DD31" s="1"/>
  <c r="DG31" s="1"/>
  <c r="DJ31" s="1"/>
  <c r="DM31" s="1"/>
  <c r="DP31" s="1"/>
  <c r="DS31" s="1"/>
  <c r="DV31" s="1"/>
  <c r="J21"/>
  <c r="L21"/>
  <c r="O21" s="1"/>
  <c r="R21" s="1"/>
  <c r="U21" s="1"/>
  <c r="X21" s="1"/>
  <c r="AA21" s="1"/>
  <c r="AD21" s="1"/>
  <c r="AG21" s="1"/>
  <c r="AJ21" s="1"/>
  <c r="AM21" s="1"/>
  <c r="AP21" s="1"/>
  <c r="AS21" s="1"/>
  <c r="AV21" s="1"/>
  <c r="AY21" s="1"/>
  <c r="BB21" s="1"/>
  <c r="BE21" s="1"/>
  <c r="BH21" s="1"/>
  <c r="BK21" s="1"/>
  <c r="BN21" s="1"/>
  <c r="BQ21" s="1"/>
  <c r="BT21" s="1"/>
  <c r="BW21" s="1"/>
  <c r="BZ21" s="1"/>
  <c r="CC21" s="1"/>
  <c r="CF21" s="1"/>
  <c r="CI21" s="1"/>
  <c r="CL21" s="1"/>
  <c r="CO21" s="1"/>
  <c r="CR21" s="1"/>
  <c r="CU21" s="1"/>
  <c r="CX21" s="1"/>
  <c r="DA21" s="1"/>
  <c r="DD21" s="1"/>
  <c r="DG21" s="1"/>
  <c r="DJ21" s="1"/>
  <c r="DM21" s="1"/>
  <c r="DP21" s="1"/>
  <c r="DS21" s="1"/>
  <c r="DV21" s="1"/>
  <c r="L23"/>
  <c r="O23"/>
  <c r="R23" s="1"/>
  <c r="U23" s="1"/>
  <c r="X23" s="1"/>
  <c r="AA23" s="1"/>
  <c r="AD23" s="1"/>
  <c r="AG23" s="1"/>
  <c r="AJ23" s="1"/>
  <c r="AM23" s="1"/>
  <c r="AP23" s="1"/>
  <c r="AS23" s="1"/>
  <c r="AV23" s="1"/>
  <c r="AY23" s="1"/>
  <c r="BB23" s="1"/>
  <c r="BE23" s="1"/>
  <c r="BH23" s="1"/>
  <c r="BK23" s="1"/>
  <c r="BN23" s="1"/>
  <c r="BQ23" s="1"/>
  <c r="BT23" s="1"/>
  <c r="BW23" s="1"/>
  <c r="BZ23" s="1"/>
  <c r="CC23" s="1"/>
  <c r="CF23" s="1"/>
  <c r="CI23" s="1"/>
  <c r="CL23" s="1"/>
  <c r="CO23" s="1"/>
  <c r="CR23" s="1"/>
  <c r="CU23" s="1"/>
  <c r="CX23" s="1"/>
  <c r="DA23" s="1"/>
  <c r="DD23" s="1"/>
  <c r="DG23" s="1"/>
  <c r="DJ23" s="1"/>
  <c r="DM23" s="1"/>
  <c r="DP23" s="1"/>
  <c r="DS23" s="1"/>
  <c r="DV23" s="1"/>
  <c r="J27"/>
  <c r="M27" s="1"/>
  <c r="L27"/>
  <c r="O27"/>
  <c r="R27" s="1"/>
  <c r="U27" s="1"/>
  <c r="X27" s="1"/>
  <c r="AA27" s="1"/>
  <c r="AD27" s="1"/>
  <c r="AG27" s="1"/>
  <c r="AJ27" s="1"/>
  <c r="AM27" s="1"/>
  <c r="AP27" s="1"/>
  <c r="AS27" s="1"/>
  <c r="AV27" s="1"/>
  <c r="AY27" s="1"/>
  <c r="BB27" s="1"/>
  <c r="BE27" s="1"/>
  <c r="BH27" s="1"/>
  <c r="BK27" s="1"/>
  <c r="BN27" s="1"/>
  <c r="BQ27" s="1"/>
  <c r="BT27" s="1"/>
  <c r="BW27" s="1"/>
  <c r="BZ27" s="1"/>
  <c r="CC27" s="1"/>
  <c r="CF27" s="1"/>
  <c r="CI27" s="1"/>
  <c r="CL27" s="1"/>
  <c r="CO27" s="1"/>
  <c r="CR27" s="1"/>
  <c r="CU27" s="1"/>
  <c r="CX27" s="1"/>
  <c r="DA27" s="1"/>
  <c r="DD27" s="1"/>
  <c r="DG27" s="1"/>
  <c r="DJ27" s="1"/>
  <c r="DM27" s="1"/>
  <c r="DP27" s="1"/>
  <c r="DS27" s="1"/>
  <c r="DV27" s="1"/>
  <c r="M28"/>
  <c r="L32"/>
  <c r="O32" s="1"/>
  <c r="J34"/>
  <c r="J35"/>
  <c r="L35"/>
  <c r="L20"/>
  <c r="O20" s="1"/>
  <c r="L29"/>
  <c r="O29" s="1"/>
  <c r="R29" s="1"/>
  <c r="M32"/>
  <c r="L34"/>
  <c r="O34" s="1"/>
  <c r="R34" s="1"/>
  <c r="U34" s="1"/>
  <c r="X34" s="1"/>
  <c r="AA34" s="1"/>
  <c r="AD34" s="1"/>
  <c r="AG34" s="1"/>
  <c r="AJ34" s="1"/>
  <c r="AM34" s="1"/>
  <c r="AP34" s="1"/>
  <c r="AS34" s="1"/>
  <c r="AV34" s="1"/>
  <c r="AY34" s="1"/>
  <c r="BB34" s="1"/>
  <c r="BE34" s="1"/>
  <c r="BH34" s="1"/>
  <c r="BK34" s="1"/>
  <c r="BN34" s="1"/>
  <c r="BQ34" s="1"/>
  <c r="BT34" s="1"/>
  <c r="BW34" s="1"/>
  <c r="BZ34" s="1"/>
  <c r="CC34" s="1"/>
  <c r="CF34" s="1"/>
  <c r="CI34" s="1"/>
  <c r="CL34" s="1"/>
  <c r="CO34" s="1"/>
  <c r="CR34" s="1"/>
  <c r="CU34" s="1"/>
  <c r="CX34" s="1"/>
  <c r="DA34" s="1"/>
  <c r="DD34" s="1"/>
  <c r="DG34" s="1"/>
  <c r="DJ34" s="1"/>
  <c r="DM34" s="1"/>
  <c r="DP34" s="1"/>
  <c r="DS34" s="1"/>
  <c r="DV34" s="1"/>
  <c r="M4"/>
  <c r="P4" s="1"/>
  <c r="M44"/>
  <c r="M38"/>
  <c r="Y38" s="1"/>
  <c r="M40"/>
  <c r="P44"/>
  <c r="M42"/>
  <c r="M22"/>
  <c r="P22" s="1"/>
  <c r="M25"/>
  <c r="S25" s="1"/>
  <c r="O15"/>
  <c r="P15" s="1"/>
  <c r="M20"/>
  <c r="M30"/>
  <c r="M26"/>
  <c r="M17"/>
  <c r="M11"/>
  <c r="P11" s="1"/>
  <c r="S11" s="1"/>
  <c r="P28"/>
  <c r="M24"/>
  <c r="M16"/>
  <c r="M9"/>
  <c r="M34"/>
  <c r="M29"/>
  <c r="M23"/>
  <c r="S28"/>
  <c r="P16"/>
  <c r="S16"/>
  <c r="G12" i="6"/>
  <c r="G13"/>
  <c r="P38" i="7"/>
  <c r="S38" s="1"/>
  <c r="P24"/>
  <c r="P25"/>
  <c r="P29"/>
  <c r="R15"/>
  <c r="U15" s="1"/>
  <c r="X15" s="1"/>
  <c r="AA15" s="1"/>
  <c r="AD15" s="1"/>
  <c r="AG15" s="1"/>
  <c r="AJ15" s="1"/>
  <c r="AM15" s="1"/>
  <c r="AP15" s="1"/>
  <c r="AS15" s="1"/>
  <c r="AV15" s="1"/>
  <c r="AY15" s="1"/>
  <c r="BB15" s="1"/>
  <c r="BE15" s="1"/>
  <c r="BH15" s="1"/>
  <c r="BK15" s="1"/>
  <c r="BN15" s="1"/>
  <c r="BQ15" s="1"/>
  <c r="BT15" s="1"/>
  <c r="BW15" s="1"/>
  <c r="BZ15" s="1"/>
  <c r="CC15" s="1"/>
  <c r="CF15" s="1"/>
  <c r="CI15" s="1"/>
  <c r="CL15" s="1"/>
  <c r="CO15" s="1"/>
  <c r="CR15" s="1"/>
  <c r="CU15" s="1"/>
  <c r="CX15" s="1"/>
  <c r="DA15" s="1"/>
  <c r="DD15" s="1"/>
  <c r="DG15" s="1"/>
  <c r="DJ15" s="1"/>
  <c r="DM15" s="1"/>
  <c r="DP15" s="1"/>
  <c r="DS15" s="1"/>
  <c r="DV15" s="1"/>
  <c r="V38"/>
  <c r="G9" i="6"/>
  <c r="G11"/>
  <c r="F20" i="8"/>
  <c r="N1" i="7"/>
  <c r="Q1" s="1"/>
  <c r="H20" i="8" s="1"/>
  <c r="U29" i="7" l="1"/>
  <c r="X29" s="1"/>
  <c r="AA29" s="1"/>
  <c r="AD29" s="1"/>
  <c r="AG29" s="1"/>
  <c r="AJ29" s="1"/>
  <c r="AM29" s="1"/>
  <c r="AP29" s="1"/>
  <c r="AS29" s="1"/>
  <c r="AV29" s="1"/>
  <c r="AY29" s="1"/>
  <c r="BB29" s="1"/>
  <c r="BE29" s="1"/>
  <c r="BH29" s="1"/>
  <c r="BK29" s="1"/>
  <c r="BN29" s="1"/>
  <c r="BQ29" s="1"/>
  <c r="BT29" s="1"/>
  <c r="BW29" s="1"/>
  <c r="BZ29" s="1"/>
  <c r="CC29" s="1"/>
  <c r="CF29" s="1"/>
  <c r="CI29" s="1"/>
  <c r="CL29" s="1"/>
  <c r="CO29" s="1"/>
  <c r="CR29" s="1"/>
  <c r="CU29" s="1"/>
  <c r="CX29" s="1"/>
  <c r="DA29" s="1"/>
  <c r="DD29" s="1"/>
  <c r="DG29" s="1"/>
  <c r="DJ29" s="1"/>
  <c r="DM29" s="1"/>
  <c r="DP29" s="1"/>
  <c r="DS29" s="1"/>
  <c r="DV29" s="1"/>
  <c r="R20"/>
  <c r="U20" s="1"/>
  <c r="X20" s="1"/>
  <c r="AA20" s="1"/>
  <c r="AD20" s="1"/>
  <c r="AG20" s="1"/>
  <c r="AJ20" s="1"/>
  <c r="AM20" s="1"/>
  <c r="AP20" s="1"/>
  <c r="AS20" s="1"/>
  <c r="AV20" s="1"/>
  <c r="AY20" s="1"/>
  <c r="BB20" s="1"/>
  <c r="BE20" s="1"/>
  <c r="BH20" s="1"/>
  <c r="BK20" s="1"/>
  <c r="BN20" s="1"/>
  <c r="BQ20" s="1"/>
  <c r="BT20" s="1"/>
  <c r="BW20" s="1"/>
  <c r="BZ20" s="1"/>
  <c r="CC20" s="1"/>
  <c r="CF20" s="1"/>
  <c r="CI20" s="1"/>
  <c r="CL20" s="1"/>
  <c r="CO20" s="1"/>
  <c r="CR20" s="1"/>
  <c r="CU20" s="1"/>
  <c r="CX20" s="1"/>
  <c r="DA20" s="1"/>
  <c r="DD20" s="1"/>
  <c r="DG20" s="1"/>
  <c r="DJ20" s="1"/>
  <c r="DM20" s="1"/>
  <c r="DP20" s="1"/>
  <c r="DS20" s="1"/>
  <c r="DV20" s="1"/>
  <c r="R32"/>
  <c r="U32" s="1"/>
  <c r="X32" s="1"/>
  <c r="AA32" s="1"/>
  <c r="AD32" s="1"/>
  <c r="AG32" s="1"/>
  <c r="AJ32" s="1"/>
  <c r="AM32" s="1"/>
  <c r="AP32" s="1"/>
  <c r="AS32" s="1"/>
  <c r="AV32" s="1"/>
  <c r="AY32" s="1"/>
  <c r="BB32" s="1"/>
  <c r="BE32" s="1"/>
  <c r="BH32" s="1"/>
  <c r="BK32" s="1"/>
  <c r="BN32" s="1"/>
  <c r="BQ32" s="1"/>
  <c r="BT32" s="1"/>
  <c r="BW32" s="1"/>
  <c r="BZ32" s="1"/>
  <c r="CC32" s="1"/>
  <c r="CF32" s="1"/>
  <c r="CI32" s="1"/>
  <c r="CL32" s="1"/>
  <c r="CO32" s="1"/>
  <c r="CR32" s="1"/>
  <c r="CU32" s="1"/>
  <c r="CX32" s="1"/>
  <c r="DA32" s="1"/>
  <c r="DD32" s="1"/>
  <c r="DG32" s="1"/>
  <c r="DJ32" s="1"/>
  <c r="DM32" s="1"/>
  <c r="DP32" s="1"/>
  <c r="DS32" s="1"/>
  <c r="DV32" s="1"/>
  <c r="R40"/>
  <c r="U40" s="1"/>
  <c r="X40" s="1"/>
  <c r="AA40" s="1"/>
  <c r="AD40" s="1"/>
  <c r="AG40" s="1"/>
  <c r="AJ40" s="1"/>
  <c r="AM40" s="1"/>
  <c r="AP40" s="1"/>
  <c r="AS40" s="1"/>
  <c r="AV40" s="1"/>
  <c r="AY40" s="1"/>
  <c r="BB40" s="1"/>
  <c r="BE40" s="1"/>
  <c r="BH40" s="1"/>
  <c r="BK40" s="1"/>
  <c r="BN40" s="1"/>
  <c r="BQ40" s="1"/>
  <c r="BT40" s="1"/>
  <c r="BW40" s="1"/>
  <c r="BZ40" s="1"/>
  <c r="CC40" s="1"/>
  <c r="CF40" s="1"/>
  <c r="CI40" s="1"/>
  <c r="CL40" s="1"/>
  <c r="CO40" s="1"/>
  <c r="CR40" s="1"/>
  <c r="CU40" s="1"/>
  <c r="CX40" s="1"/>
  <c r="DA40" s="1"/>
  <c r="DD40" s="1"/>
  <c r="DG40" s="1"/>
  <c r="DJ40" s="1"/>
  <c r="DM40" s="1"/>
  <c r="DP40" s="1"/>
  <c r="DS40" s="1"/>
  <c r="DV40" s="1"/>
  <c r="P40"/>
  <c r="S40"/>
  <c r="V40" s="1"/>
  <c r="R42"/>
  <c r="U42" s="1"/>
  <c r="X42" s="1"/>
  <c r="AA42" s="1"/>
  <c r="AD42" s="1"/>
  <c r="AG42" s="1"/>
  <c r="AJ42" s="1"/>
  <c r="AM42" s="1"/>
  <c r="AP42" s="1"/>
  <c r="AS42" s="1"/>
  <c r="AV42" s="1"/>
  <c r="AY42" s="1"/>
  <c r="BB42" s="1"/>
  <c r="BE42" s="1"/>
  <c r="BH42" s="1"/>
  <c r="BK42" s="1"/>
  <c r="BN42" s="1"/>
  <c r="BQ42" s="1"/>
  <c r="BT42" s="1"/>
  <c r="BW42" s="1"/>
  <c r="BZ42" s="1"/>
  <c r="CC42" s="1"/>
  <c r="CF42" s="1"/>
  <c r="CI42" s="1"/>
  <c r="CL42" s="1"/>
  <c r="CO42" s="1"/>
  <c r="CR42" s="1"/>
  <c r="CU42" s="1"/>
  <c r="CX42" s="1"/>
  <c r="DA42" s="1"/>
  <c r="DD42" s="1"/>
  <c r="DG42" s="1"/>
  <c r="DJ42" s="1"/>
  <c r="DM42" s="1"/>
  <c r="DP42" s="1"/>
  <c r="DS42" s="1"/>
  <c r="DV42" s="1"/>
  <c r="I18" i="6"/>
  <c r="I20"/>
  <c r="I12"/>
  <c r="P6"/>
  <c r="J6"/>
  <c r="I9"/>
  <c r="I23"/>
  <c r="I22"/>
  <c r="M33" i="7"/>
  <c r="P33"/>
  <c r="S29"/>
  <c r="V29" s="1"/>
  <c r="Y29" s="1"/>
  <c r="S26"/>
  <c r="S15"/>
  <c r="V28"/>
  <c r="P23"/>
  <c r="P26"/>
  <c r="P42"/>
  <c r="P20"/>
  <c r="S20" s="1"/>
  <c r="P17"/>
  <c r="M18"/>
  <c r="P18" s="1"/>
  <c r="M13"/>
  <c r="P32"/>
  <c r="M19"/>
  <c r="M39"/>
  <c r="S4"/>
  <c r="V4" s="1"/>
  <c r="T1"/>
  <c r="P9"/>
  <c r="S9" s="1"/>
  <c r="S6"/>
  <c r="P24" i="6"/>
  <c r="P22"/>
  <c r="Q6"/>
  <c r="G20" i="8"/>
  <c r="G23" s="1"/>
  <c r="J21" i="6"/>
  <c r="P12"/>
  <c r="J20"/>
  <c r="P13"/>
  <c r="P20"/>
  <c r="P16"/>
  <c r="I24"/>
  <c r="I25"/>
  <c r="I21"/>
  <c r="I17"/>
  <c r="I10"/>
  <c r="I11"/>
  <c r="I19"/>
  <c r="Q13"/>
  <c r="Q12"/>
  <c r="Q11"/>
  <c r="Q9"/>
  <c r="Q14"/>
  <c r="P9"/>
  <c r="P8"/>
  <c r="J14"/>
  <c r="J10"/>
  <c r="J15"/>
  <c r="P11"/>
  <c r="P10"/>
  <c r="J16"/>
  <c r="I15"/>
  <c r="I13"/>
  <c r="I14"/>
  <c r="I16"/>
  <c r="I8"/>
  <c r="H23" i="8"/>
  <c r="J8" i="6"/>
  <c r="J11"/>
  <c r="J9"/>
  <c r="J17"/>
  <c r="J18"/>
  <c r="J13"/>
  <c r="J25"/>
  <c r="J23"/>
  <c r="J24"/>
  <c r="F23" i="8"/>
  <c r="S22" i="7"/>
  <c r="S33"/>
  <c r="V15"/>
  <c r="Y15" s="1"/>
  <c r="AB15" s="1"/>
  <c r="P27"/>
  <c r="P31"/>
  <c r="CU4"/>
  <c r="V11"/>
  <c r="Y28"/>
  <c r="M8"/>
  <c r="P8" s="1"/>
  <c r="O35"/>
  <c r="R35" s="1"/>
  <c r="U35" s="1"/>
  <c r="X35" s="1"/>
  <c r="AA35" s="1"/>
  <c r="AD35" s="1"/>
  <c r="AG35" s="1"/>
  <c r="AJ35" s="1"/>
  <c r="AM35" s="1"/>
  <c r="AP35" s="1"/>
  <c r="AS35" s="1"/>
  <c r="AV35" s="1"/>
  <c r="AY35" s="1"/>
  <c r="BB35" s="1"/>
  <c r="BE35" s="1"/>
  <c r="BH35" s="1"/>
  <c r="BK35" s="1"/>
  <c r="BN35" s="1"/>
  <c r="BQ35" s="1"/>
  <c r="BT35" s="1"/>
  <c r="BW35" s="1"/>
  <c r="BZ35" s="1"/>
  <c r="CC35" s="1"/>
  <c r="CF35" s="1"/>
  <c r="CI35" s="1"/>
  <c r="CL35" s="1"/>
  <c r="CO35" s="1"/>
  <c r="CR35" s="1"/>
  <c r="CU35" s="1"/>
  <c r="CX35" s="1"/>
  <c r="DA35" s="1"/>
  <c r="DD35" s="1"/>
  <c r="DG35" s="1"/>
  <c r="DJ35" s="1"/>
  <c r="DM35" s="1"/>
  <c r="DP35" s="1"/>
  <c r="DS35" s="1"/>
  <c r="DV35" s="1"/>
  <c r="M35"/>
  <c r="O5"/>
  <c r="P5" s="1"/>
  <c r="M12"/>
  <c r="P12" s="1"/>
  <c r="R37"/>
  <c r="U37" s="1"/>
  <c r="X37" s="1"/>
  <c r="AA37" s="1"/>
  <c r="AD37" s="1"/>
  <c r="AG37" s="1"/>
  <c r="AJ37" s="1"/>
  <c r="AM37" s="1"/>
  <c r="AP37" s="1"/>
  <c r="AS37" s="1"/>
  <c r="AV37" s="1"/>
  <c r="AY37" s="1"/>
  <c r="BB37" s="1"/>
  <c r="BE37" s="1"/>
  <c r="BH37" s="1"/>
  <c r="BK37" s="1"/>
  <c r="BN37" s="1"/>
  <c r="BQ37" s="1"/>
  <c r="BT37" s="1"/>
  <c r="BW37" s="1"/>
  <c r="BZ37" s="1"/>
  <c r="CC37" s="1"/>
  <c r="CF37" s="1"/>
  <c r="CI37" s="1"/>
  <c r="CL37" s="1"/>
  <c r="CO37" s="1"/>
  <c r="CR37" s="1"/>
  <c r="CU37" s="1"/>
  <c r="CX37" s="1"/>
  <c r="DA37" s="1"/>
  <c r="DD37" s="1"/>
  <c r="DG37" s="1"/>
  <c r="DJ37" s="1"/>
  <c r="DM37" s="1"/>
  <c r="DP37" s="1"/>
  <c r="DS37" s="1"/>
  <c r="DV37" s="1"/>
  <c r="P37"/>
  <c r="V6"/>
  <c r="Y40"/>
  <c r="AB38"/>
  <c r="V25"/>
  <c r="V26"/>
  <c r="AB28"/>
  <c r="AE28" s="1"/>
  <c r="Y4"/>
  <c r="P34"/>
  <c r="P30"/>
  <c r="V22"/>
  <c r="S31"/>
  <c r="V16"/>
  <c r="S18"/>
  <c r="S24"/>
  <c r="S44"/>
  <c r="S17"/>
  <c r="V17" s="1"/>
  <c r="Y17" s="1"/>
  <c r="P19"/>
  <c r="M21"/>
  <c r="M7"/>
  <c r="J10"/>
  <c r="L10"/>
  <c r="J14"/>
  <c r="M14" s="1"/>
  <c r="J36"/>
  <c r="L36"/>
  <c r="O36" s="1"/>
  <c r="R36" s="1"/>
  <c r="U36" s="1"/>
  <c r="X36" s="1"/>
  <c r="AA36" s="1"/>
  <c r="AD36" s="1"/>
  <c r="AG36" s="1"/>
  <c r="AJ36" s="1"/>
  <c r="AM36" s="1"/>
  <c r="AP36" s="1"/>
  <c r="AS36" s="1"/>
  <c r="AV36" s="1"/>
  <c r="AY36" s="1"/>
  <c r="BB36" s="1"/>
  <c r="BE36" s="1"/>
  <c r="BH36" s="1"/>
  <c r="BK36" s="1"/>
  <c r="BN36" s="1"/>
  <c r="BQ36" s="1"/>
  <c r="BT36" s="1"/>
  <c r="BW36" s="1"/>
  <c r="BZ36" s="1"/>
  <c r="CC36" s="1"/>
  <c r="CF36" s="1"/>
  <c r="CI36" s="1"/>
  <c r="CL36" s="1"/>
  <c r="CO36" s="1"/>
  <c r="CR36" s="1"/>
  <c r="CU36" s="1"/>
  <c r="CX36" s="1"/>
  <c r="DA36" s="1"/>
  <c r="DD36" s="1"/>
  <c r="DG36" s="1"/>
  <c r="DJ36" s="1"/>
  <c r="DM36" s="1"/>
  <c r="DP36" s="1"/>
  <c r="DS36" s="1"/>
  <c r="DV36" s="1"/>
  <c r="L41"/>
  <c r="O41" s="1"/>
  <c r="R41" s="1"/>
  <c r="U41" s="1"/>
  <c r="X41" s="1"/>
  <c r="AA41" s="1"/>
  <c r="AD41" s="1"/>
  <c r="AG41" s="1"/>
  <c r="AJ41" s="1"/>
  <c r="AM41" s="1"/>
  <c r="AP41" s="1"/>
  <c r="AS41" s="1"/>
  <c r="AV41" s="1"/>
  <c r="AY41" s="1"/>
  <c r="BB41" s="1"/>
  <c r="BE41" s="1"/>
  <c r="BH41" s="1"/>
  <c r="BK41" s="1"/>
  <c r="BN41" s="1"/>
  <c r="BQ41" s="1"/>
  <c r="BT41" s="1"/>
  <c r="BW41" s="1"/>
  <c r="BZ41" s="1"/>
  <c r="CC41" s="1"/>
  <c r="CF41" s="1"/>
  <c r="CI41" s="1"/>
  <c r="CL41" s="1"/>
  <c r="CO41" s="1"/>
  <c r="CR41" s="1"/>
  <c r="CU41" s="1"/>
  <c r="CX41" s="1"/>
  <c r="DA41" s="1"/>
  <c r="DD41" s="1"/>
  <c r="DG41" s="1"/>
  <c r="DJ41" s="1"/>
  <c r="DM41" s="1"/>
  <c r="DP41" s="1"/>
  <c r="DS41" s="1"/>
  <c r="DV41" s="1"/>
  <c r="J41"/>
  <c r="J45"/>
  <c r="L45"/>
  <c r="O45" s="1"/>
  <c r="R45" s="1"/>
  <c r="U45" s="1"/>
  <c r="X45" s="1"/>
  <c r="AA45" s="1"/>
  <c r="AD45" s="1"/>
  <c r="AG45" s="1"/>
  <c r="AJ45" s="1"/>
  <c r="AM45" s="1"/>
  <c r="AP45" s="1"/>
  <c r="AS45" s="1"/>
  <c r="AV45" s="1"/>
  <c r="AY45" s="1"/>
  <c r="BB45" s="1"/>
  <c r="BE45" s="1"/>
  <c r="BH45" s="1"/>
  <c r="BK45" s="1"/>
  <c r="BN45" s="1"/>
  <c r="BQ45" s="1"/>
  <c r="BT45" s="1"/>
  <c r="BW45" s="1"/>
  <c r="BZ45" s="1"/>
  <c r="CC45" s="1"/>
  <c r="CF45" s="1"/>
  <c r="CI45" s="1"/>
  <c r="CL45" s="1"/>
  <c r="CO45" s="1"/>
  <c r="CR45" s="1"/>
  <c r="CU45" s="1"/>
  <c r="CX45" s="1"/>
  <c r="DA45" s="1"/>
  <c r="DD45" s="1"/>
  <c r="DG45" s="1"/>
  <c r="DJ45" s="1"/>
  <c r="DM45" s="1"/>
  <c r="DP45" s="1"/>
  <c r="DS45" s="1"/>
  <c r="DV45" s="1"/>
  <c r="M43"/>
  <c r="E22" i="8"/>
  <c r="E24"/>
  <c r="E27" s="1"/>
  <c r="E28" s="1"/>
  <c r="P39" i="7" l="1"/>
  <c r="P15" i="6"/>
  <c r="P19"/>
  <c r="W6"/>
  <c r="P21"/>
  <c r="P17"/>
  <c r="P18"/>
  <c r="P14"/>
  <c r="P25"/>
  <c r="P23"/>
  <c r="V31" i="7"/>
  <c r="Y31" s="1"/>
  <c r="S42"/>
  <c r="P13"/>
  <c r="S13" s="1"/>
  <c r="J12" i="6"/>
  <c r="J19"/>
  <c r="K6"/>
  <c r="J22"/>
  <c r="S32" i="7"/>
  <c r="V32" s="1"/>
  <c r="S23"/>
  <c r="V20"/>
  <c r="Y20" s="1"/>
  <c r="W1"/>
  <c r="I20" i="8"/>
  <c r="I23" s="1"/>
  <c r="I24" s="1"/>
  <c r="I27" s="1"/>
  <c r="I28" s="1"/>
  <c r="V9" i="7"/>
  <c r="Q18" i="6"/>
  <c r="Q19"/>
  <c r="Q16"/>
  <c r="Q17"/>
  <c r="R6"/>
  <c r="Q23"/>
  <c r="Q24"/>
  <c r="Q20"/>
  <c r="Q10"/>
  <c r="Q8"/>
  <c r="Q15"/>
  <c r="Q25"/>
  <c r="Q22"/>
  <c r="Q21"/>
  <c r="S8" i="7"/>
  <c r="P43"/>
  <c r="S43"/>
  <c r="M45"/>
  <c r="P45"/>
  <c r="M36"/>
  <c r="P36"/>
  <c r="M10"/>
  <c r="E33" i="8"/>
  <c r="E29" s="1"/>
  <c r="E31"/>
  <c r="E35"/>
  <c r="E25"/>
  <c r="M41" i="7"/>
  <c r="P41" s="1"/>
  <c r="S41" s="1"/>
  <c r="O10"/>
  <c r="R10" s="1"/>
  <c r="U10" s="1"/>
  <c r="X10" s="1"/>
  <c r="AA10" s="1"/>
  <c r="AD10" s="1"/>
  <c r="AG10" s="1"/>
  <c r="AJ10" s="1"/>
  <c r="AM10" s="1"/>
  <c r="AP10" s="1"/>
  <c r="AS10" s="1"/>
  <c r="AV10" s="1"/>
  <c r="AY10" s="1"/>
  <c r="BB10" s="1"/>
  <c r="BE10" s="1"/>
  <c r="BH10" s="1"/>
  <c r="BK10" s="1"/>
  <c r="BN10" s="1"/>
  <c r="BQ10" s="1"/>
  <c r="BT10" s="1"/>
  <c r="BW10" s="1"/>
  <c r="BZ10" s="1"/>
  <c r="CC10" s="1"/>
  <c r="CF10" s="1"/>
  <c r="CI10" s="1"/>
  <c r="CL10" s="1"/>
  <c r="CO10" s="1"/>
  <c r="CR10" s="1"/>
  <c r="CU10" s="1"/>
  <c r="CX10" s="1"/>
  <c r="DA10" s="1"/>
  <c r="DD10" s="1"/>
  <c r="DG10" s="1"/>
  <c r="DJ10" s="1"/>
  <c r="DM10" s="1"/>
  <c r="DP10" s="1"/>
  <c r="DS10" s="1"/>
  <c r="DV10" s="1"/>
  <c r="F22" i="8"/>
  <c r="Y16" i="7"/>
  <c r="AB16" s="1"/>
  <c r="AE16" s="1"/>
  <c r="Y6"/>
  <c r="AB29"/>
  <c r="V37"/>
  <c r="S37"/>
  <c r="V12"/>
  <c r="S12"/>
  <c r="P35"/>
  <c r="S35" s="1"/>
  <c r="V35" s="1"/>
  <c r="AH28"/>
  <c r="S27"/>
  <c r="V33"/>
  <c r="S19"/>
  <c r="E36" i="8"/>
  <c r="P21" i="7"/>
  <c r="S21" s="1"/>
  <c r="V18"/>
  <c r="AB31"/>
  <c r="AB4"/>
  <c r="AE38"/>
  <c r="AB6"/>
  <c r="AE6" s="1"/>
  <c r="AE15"/>
  <c r="F31" i="8"/>
  <c r="P14" i="7"/>
  <c r="S14" s="1"/>
  <c r="P7"/>
  <c r="V44"/>
  <c r="Y18"/>
  <c r="AB18" s="1"/>
  <c r="S30"/>
  <c r="S34"/>
  <c r="Y26"/>
  <c r="Y25"/>
  <c r="AB25" s="1"/>
  <c r="AE25" s="1"/>
  <c r="AH38"/>
  <c r="R5"/>
  <c r="S5" s="1"/>
  <c r="O51"/>
  <c r="V8"/>
  <c r="Y11"/>
  <c r="AB11" s="1"/>
  <c r="CX4"/>
  <c r="AH15"/>
  <c r="AK15" s="1"/>
  <c r="AN15" s="1"/>
  <c r="Y22"/>
  <c r="G24" i="8"/>
  <c r="G27" s="1"/>
  <c r="E37"/>
  <c r="L51" i="7"/>
  <c r="V30"/>
  <c r="V24"/>
  <c r="AE31"/>
  <c r="AB22"/>
  <c r="AB40"/>
  <c r="AB26"/>
  <c r="AE29"/>
  <c r="AB17"/>
  <c r="F37" i="8"/>
  <c r="F24"/>
  <c r="F27" s="1"/>
  <c r="F28" s="1"/>
  <c r="F36"/>
  <c r="H24"/>
  <c r="H27" s="1"/>
  <c r="G22"/>
  <c r="W19" i="6" l="1"/>
  <c r="W12"/>
  <c r="W21"/>
  <c r="W11"/>
  <c r="W16"/>
  <c r="W9"/>
  <c r="W14"/>
  <c r="W10"/>
  <c r="W25"/>
  <c r="W24"/>
  <c r="X6"/>
  <c r="W20"/>
  <c r="W8"/>
  <c r="W22"/>
  <c r="W13"/>
  <c r="W18"/>
  <c r="W17"/>
  <c r="W15"/>
  <c r="AD6"/>
  <c r="W23"/>
  <c r="AE26" i="7"/>
  <c r="Y12"/>
  <c r="Y37"/>
  <c r="F35" i="8"/>
  <c r="AB20" i="7"/>
  <c r="AH20" s="1"/>
  <c r="V23"/>
  <c r="AE20"/>
  <c r="K18" i="6"/>
  <c r="K13"/>
  <c r="L6"/>
  <c r="K10"/>
  <c r="K24"/>
  <c r="K17"/>
  <c r="K20"/>
  <c r="K14"/>
  <c r="K9"/>
  <c r="K25"/>
  <c r="K23"/>
  <c r="K16"/>
  <c r="K22"/>
  <c r="K8"/>
  <c r="K19"/>
  <c r="K15"/>
  <c r="K11"/>
  <c r="K12"/>
  <c r="K21"/>
  <c r="V41" i="7"/>
  <c r="V13"/>
  <c r="Y13" s="1"/>
  <c r="Y32"/>
  <c r="S39"/>
  <c r="V42"/>
  <c r="J20" i="8"/>
  <c r="Z1" i="7"/>
  <c r="Y9"/>
  <c r="AB9"/>
  <c r="G28" i="8"/>
  <c r="E32"/>
  <c r="R20" i="6"/>
  <c r="R18"/>
  <c r="R17"/>
  <c r="R9"/>
  <c r="S6"/>
  <c r="R22"/>
  <c r="R23"/>
  <c r="R19"/>
  <c r="R12"/>
  <c r="R11"/>
  <c r="R13"/>
  <c r="R25"/>
  <c r="R21"/>
  <c r="R24"/>
  <c r="R10"/>
  <c r="R16"/>
  <c r="R14"/>
  <c r="R15"/>
  <c r="R8"/>
  <c r="AH25" i="7"/>
  <c r="AB12"/>
  <c r="AB37"/>
  <c r="AE18"/>
  <c r="V27"/>
  <c r="F25" i="8"/>
  <c r="AH26" i="7"/>
  <c r="AH16"/>
  <c r="AQ15"/>
  <c r="AK38"/>
  <c r="AK25"/>
  <c r="AH18"/>
  <c r="V14"/>
  <c r="Y30"/>
  <c r="AB30" s="1"/>
  <c r="AK28"/>
  <c r="Y35"/>
  <c r="AB35" s="1"/>
  <c r="AH29"/>
  <c r="AK29" s="1"/>
  <c r="AH6"/>
  <c r="AK6" s="1"/>
  <c r="Y24"/>
  <c r="AE17"/>
  <c r="V21"/>
  <c r="Y41"/>
  <c r="AB41" s="1"/>
  <c r="V19"/>
  <c r="P10"/>
  <c r="G35" i="8" s="1"/>
  <c r="S36" i="7"/>
  <c r="S45"/>
  <c r="V43"/>
  <c r="G31" i="8"/>
  <c r="G25"/>
  <c r="DA4" i="7"/>
  <c r="U5"/>
  <c r="R51"/>
  <c r="H22" i="8"/>
  <c r="H28" s="1"/>
  <c r="Y33" i="7"/>
  <c r="AE22"/>
  <c r="AH31"/>
  <c r="AK31" s="1"/>
  <c r="AE11"/>
  <c r="AE40"/>
  <c r="AH40" s="1"/>
  <c r="AK26"/>
  <c r="Y44"/>
  <c r="V34"/>
  <c r="S7"/>
  <c r="V7" s="1"/>
  <c r="AE4"/>
  <c r="Y19"/>
  <c r="G37" i="8"/>
  <c r="Y8" i="7"/>
  <c r="AB8" s="1"/>
  <c r="AK20" l="1"/>
  <c r="AN20" s="1"/>
  <c r="AQ20" s="1"/>
  <c r="AB13"/>
  <c r="AE13" s="1"/>
  <c r="AH13" s="1"/>
  <c r="Y42"/>
  <c r="AB42" s="1"/>
  <c r="L10" i="6"/>
  <c r="L22"/>
  <c r="L13"/>
  <c r="L18"/>
  <c r="L9"/>
  <c r="L14"/>
  <c r="L12"/>
  <c r="L24"/>
  <c r="L17"/>
  <c r="L23"/>
  <c r="L8"/>
  <c r="L19"/>
  <c r="L15"/>
  <c r="L16"/>
  <c r="M6"/>
  <c r="L21"/>
  <c r="L25"/>
  <c r="L20"/>
  <c r="L11"/>
  <c r="AB32" i="7"/>
  <c r="AE32" s="1"/>
  <c r="Y23"/>
  <c r="AD19" i="6"/>
  <c r="AD14"/>
  <c r="AD9"/>
  <c r="AE6"/>
  <c r="AD24"/>
  <c r="AD11"/>
  <c r="AD15"/>
  <c r="AD23"/>
  <c r="AD17"/>
  <c r="AD21"/>
  <c r="AD10"/>
  <c r="AD13"/>
  <c r="AD8"/>
  <c r="AD22"/>
  <c r="AD20"/>
  <c r="AD12"/>
  <c r="AD25"/>
  <c r="AD18"/>
  <c r="AD16"/>
  <c r="X9"/>
  <c r="X22"/>
  <c r="X15"/>
  <c r="X18"/>
  <c r="X12"/>
  <c r="X8"/>
  <c r="Y6"/>
  <c r="X21"/>
  <c r="X17"/>
  <c r="X10"/>
  <c r="X16"/>
  <c r="X11"/>
  <c r="X13"/>
  <c r="X23"/>
  <c r="X20"/>
  <c r="X25"/>
  <c r="X24"/>
  <c r="X19"/>
  <c r="X14"/>
  <c r="G36" i="8"/>
  <c r="S10" i="7"/>
  <c r="V39"/>
  <c r="K20" i="8"/>
  <c r="AC1" i="7"/>
  <c r="J23" i="8"/>
  <c r="J24" s="1"/>
  <c r="J27" s="1"/>
  <c r="J28" s="1"/>
  <c r="AE9" i="7"/>
  <c r="AH9" s="1"/>
  <c r="S18" i="6"/>
  <c r="S19"/>
  <c r="S14"/>
  <c r="S15"/>
  <c r="S22"/>
  <c r="S23"/>
  <c r="T6"/>
  <c r="S20"/>
  <c r="S8"/>
  <c r="S9"/>
  <c r="S13"/>
  <c r="S25"/>
  <c r="S21"/>
  <c r="S24"/>
  <c r="S11"/>
  <c r="S17"/>
  <c r="S16"/>
  <c r="S12"/>
  <c r="S10"/>
  <c r="AN6" i="7"/>
  <c r="AQ6" s="1"/>
  <c r="AN31"/>
  <c r="AN29"/>
  <c r="AH22"/>
  <c r="H25" i="8"/>
  <c r="X5" i="7"/>
  <c r="U51"/>
  <c r="I22" i="8"/>
  <c r="DD4" i="7"/>
  <c r="V36"/>
  <c r="Y14"/>
  <c r="AN38"/>
  <c r="Y27"/>
  <c r="AE8"/>
  <c r="AH8" s="1"/>
  <c r="AH4"/>
  <c r="AK4" s="1"/>
  <c r="Y7"/>
  <c r="AB33"/>
  <c r="AE33" s="1"/>
  <c r="Y34"/>
  <c r="AK18"/>
  <c r="AN26"/>
  <c r="AK40"/>
  <c r="AN28"/>
  <c r="Y36"/>
  <c r="Y21"/>
  <c r="AK16"/>
  <c r="AE41"/>
  <c r="AN18"/>
  <c r="H35" i="8"/>
  <c r="H36"/>
  <c r="Y43" i="7"/>
  <c r="AB24"/>
  <c r="AB44"/>
  <c r="AQ26"/>
  <c r="AT26" s="1"/>
  <c r="AH11"/>
  <c r="AH17"/>
  <c r="AE37"/>
  <c r="AE12"/>
  <c r="AB19"/>
  <c r="AK11"/>
  <c r="AT15"/>
  <c r="AE30"/>
  <c r="AN40"/>
  <c r="AQ40" s="1"/>
  <c r="AB27"/>
  <c r="AB43"/>
  <c r="AQ29"/>
  <c r="AB14"/>
  <c r="AE14" s="1"/>
  <c r="AQ38"/>
  <c r="V45"/>
  <c r="AH41"/>
  <c r="AE35"/>
  <c r="AN25"/>
  <c r="V5"/>
  <c r="H31" i="8"/>
  <c r="H37"/>
  <c r="AH32" i="7" l="1"/>
  <c r="AE42"/>
  <c r="Y10"/>
  <c r="V10"/>
  <c r="Y18" i="6"/>
  <c r="Y15"/>
  <c r="Y14"/>
  <c r="Y13"/>
  <c r="Y25"/>
  <c r="Y11"/>
  <c r="Y20"/>
  <c r="Y8"/>
  <c r="Z6"/>
  <c r="Y24"/>
  <c r="Y19"/>
  <c r="Y17"/>
  <c r="Y12"/>
  <c r="Y22"/>
  <c r="Y21"/>
  <c r="Y9"/>
  <c r="Y16"/>
  <c r="Y23"/>
  <c r="Y10"/>
  <c r="AE14"/>
  <c r="AE12"/>
  <c r="AE8"/>
  <c r="AE22"/>
  <c r="AE19"/>
  <c r="AE18"/>
  <c r="AE9"/>
  <c r="AE24"/>
  <c r="AE15"/>
  <c r="AE20"/>
  <c r="AE10"/>
  <c r="AE13"/>
  <c r="AE25"/>
  <c r="AE21"/>
  <c r="AE17"/>
  <c r="AE16"/>
  <c r="AF6"/>
  <c r="AE11"/>
  <c r="AE23"/>
  <c r="M18"/>
  <c r="M13"/>
  <c r="M10"/>
  <c r="M23"/>
  <c r="M22"/>
  <c r="M25"/>
  <c r="M11"/>
  <c r="N6"/>
  <c r="O6" s="1"/>
  <c r="M9"/>
  <c r="M20"/>
  <c r="M17"/>
  <c r="M16"/>
  <c r="M15"/>
  <c r="M21"/>
  <c r="M8"/>
  <c r="M12"/>
  <c r="M14"/>
  <c r="M19"/>
  <c r="M24"/>
  <c r="AN32" i="7"/>
  <c r="AK32"/>
  <c r="AQ32" s="1"/>
  <c r="AB23"/>
  <c r="Y39"/>
  <c r="L20" i="8"/>
  <c r="AF1" i="7"/>
  <c r="K23" i="8"/>
  <c r="K24" s="1"/>
  <c r="K27" s="1"/>
  <c r="K28" s="1"/>
  <c r="AK9" i="7"/>
  <c r="AN9" s="1"/>
  <c r="T20" i="6"/>
  <c r="T11"/>
  <c r="T13"/>
  <c r="T8"/>
  <c r="T23"/>
  <c r="T24"/>
  <c r="T25"/>
  <c r="T19"/>
  <c r="T18"/>
  <c r="T12"/>
  <c r="T14"/>
  <c r="T21"/>
  <c r="U6"/>
  <c r="V6" s="1"/>
  <c r="T22"/>
  <c r="T16"/>
  <c r="T17"/>
  <c r="T15"/>
  <c r="T10"/>
  <c r="T9"/>
  <c r="I33" i="8"/>
  <c r="I29" s="1"/>
  <c r="I35"/>
  <c r="I31"/>
  <c r="I32" s="1"/>
  <c r="I36"/>
  <c r="I37"/>
  <c r="AH30" i="7"/>
  <c r="AK30" s="1"/>
  <c r="AH12"/>
  <c r="AH37"/>
  <c r="AK37"/>
  <c r="I25" i="8"/>
  <c r="AA5" i="7"/>
  <c r="X51"/>
  <c r="J22" i="8"/>
  <c r="AQ25" i="7"/>
  <c r="Y45"/>
  <c r="AT20"/>
  <c r="AE24"/>
  <c r="AK41"/>
  <c r="AN4"/>
  <c r="DG4"/>
  <c r="AT6"/>
  <c r="AW15"/>
  <c r="AN30"/>
  <c r="AE44"/>
  <c r="AE19"/>
  <c r="AH19" s="1"/>
  <c r="AK19" s="1"/>
  <c r="AB7"/>
  <c r="AE43"/>
  <c r="AK12"/>
  <c r="AN41"/>
  <c r="AQ41" s="1"/>
  <c r="AT41" s="1"/>
  <c r="AT29"/>
  <c r="AQ31"/>
  <c r="AK13"/>
  <c r="AN37"/>
  <c r="AH35"/>
  <c r="AK35" s="1"/>
  <c r="AN35" s="1"/>
  <c r="AW26"/>
  <c r="AQ30"/>
  <c r="AT30" s="1"/>
  <c r="AK22"/>
  <c r="AH44"/>
  <c r="AK44" s="1"/>
  <c r="AB21"/>
  <c r="AH33"/>
  <c r="AQ18"/>
  <c r="AN44"/>
  <c r="AH14"/>
  <c r="AZ26"/>
  <c r="AN16"/>
  <c r="AN11"/>
  <c r="Y5"/>
  <c r="AT40"/>
  <c r="AK33"/>
  <c r="AK8"/>
  <c r="AE27"/>
  <c r="AT38"/>
  <c r="AQ28"/>
  <c r="AB36"/>
  <c r="AB34"/>
  <c r="AK17"/>
  <c r="AW29"/>
  <c r="AW32" l="1"/>
  <c r="AT32"/>
  <c r="Z19" i="6"/>
  <c r="Z10"/>
  <c r="Z12"/>
  <c r="Z25"/>
  <c r="Z22"/>
  <c r="Z21"/>
  <c r="Z9"/>
  <c r="AA6"/>
  <c r="Z15"/>
  <c r="Z23"/>
  <c r="Z14"/>
  <c r="Z11"/>
  <c r="Z17"/>
  <c r="Z24"/>
  <c r="Z20"/>
  <c r="Z18"/>
  <c r="Z13"/>
  <c r="Z8"/>
  <c r="Z16"/>
  <c r="AB39" i="7"/>
  <c r="AF20" i="6"/>
  <c r="AF13"/>
  <c r="AF10"/>
  <c r="AF21"/>
  <c r="AF23"/>
  <c r="AF16"/>
  <c r="AF15"/>
  <c r="AF25"/>
  <c r="AF12"/>
  <c r="AF19"/>
  <c r="AF9"/>
  <c r="AF17"/>
  <c r="AF8"/>
  <c r="AG6"/>
  <c r="AF24"/>
  <c r="AF14"/>
  <c r="AF22"/>
  <c r="AF18"/>
  <c r="AF11"/>
  <c r="AB10" i="7"/>
  <c r="AE23"/>
  <c r="AH42"/>
  <c r="M20" i="8"/>
  <c r="M23" s="1"/>
  <c r="AI1" i="7"/>
  <c r="L23" i="8"/>
  <c r="L24" s="1"/>
  <c r="L27" s="1"/>
  <c r="L28" s="1"/>
  <c r="AQ9" i="7"/>
  <c r="AT9" s="1"/>
  <c r="AW30"/>
  <c r="AZ30" s="1"/>
  <c r="AE36"/>
  <c r="AH36" s="1"/>
  <c r="J36" i="8"/>
  <c r="J37"/>
  <c r="J33"/>
  <c r="J29" s="1"/>
  <c r="J35"/>
  <c r="J31"/>
  <c r="J32" s="1"/>
  <c r="AT18" i="7"/>
  <c r="BC26"/>
  <c r="AE7"/>
  <c r="AZ32"/>
  <c r="AQ4"/>
  <c r="AH27"/>
  <c r="AN33"/>
  <c r="AW18"/>
  <c r="AN19"/>
  <c r="BF26"/>
  <c r="BI26" s="1"/>
  <c r="AK27"/>
  <c r="AN27" s="1"/>
  <c r="AW40"/>
  <c r="AQ16"/>
  <c r="AT16" s="1"/>
  <c r="AB45"/>
  <c r="AZ18"/>
  <c r="BC18" s="1"/>
  <c r="AE21"/>
  <c r="AZ15"/>
  <c r="AK14"/>
  <c r="AH43"/>
  <c r="AE34"/>
  <c r="AQ11"/>
  <c r="AQ33"/>
  <c r="AN22"/>
  <c r="AT31"/>
  <c r="AW6"/>
  <c r="AZ6" s="1"/>
  <c r="DJ4"/>
  <c r="AH24"/>
  <c r="AK24" s="1"/>
  <c r="AW20"/>
  <c r="AT25"/>
  <c r="J25" i="8"/>
  <c r="AD5" i="7"/>
  <c r="AA51"/>
  <c r="K22" i="8"/>
  <c r="AZ29" i="7"/>
  <c r="BC29" s="1"/>
  <c r="BF29" s="1"/>
  <c r="BI29" s="1"/>
  <c r="BL29" s="1"/>
  <c r="BO29" s="1"/>
  <c r="BR29" s="1"/>
  <c r="BU29" s="1"/>
  <c r="BX29" s="1"/>
  <c r="CA29" s="1"/>
  <c r="CD29" s="1"/>
  <c r="CG29" s="1"/>
  <c r="CJ29" s="1"/>
  <c r="CM29" s="1"/>
  <c r="CP29" s="1"/>
  <c r="CS29" s="1"/>
  <c r="AN8"/>
  <c r="AT11"/>
  <c r="AW11" s="1"/>
  <c r="AB5"/>
  <c r="AT28"/>
  <c r="AQ44"/>
  <c r="AQ37"/>
  <c r="AQ35"/>
  <c r="AW31"/>
  <c r="AW38"/>
  <c r="AW41"/>
  <c r="AN17"/>
  <c r="AZ20"/>
  <c r="AN12"/>
  <c r="BC15"/>
  <c r="AN13"/>
  <c r="AE10" l="1"/>
  <c r="AG19" i="6"/>
  <c r="AG14"/>
  <c r="AG17"/>
  <c r="AG21"/>
  <c r="AG24"/>
  <c r="AG8"/>
  <c r="AG18"/>
  <c r="AG9"/>
  <c r="AG25"/>
  <c r="AG11"/>
  <c r="AG10"/>
  <c r="AG15"/>
  <c r="AG13"/>
  <c r="AG22"/>
  <c r="AG16"/>
  <c r="AH6"/>
  <c r="AG12"/>
  <c r="AG23"/>
  <c r="AG20"/>
  <c r="M24" i="8"/>
  <c r="M27" s="1"/>
  <c r="M28" s="1"/>
  <c r="AH23" i="7"/>
  <c r="AE39"/>
  <c r="AA20" i="6"/>
  <c r="AA12"/>
  <c r="AA14"/>
  <c r="AA9"/>
  <c r="AB6"/>
  <c r="AC6" s="1"/>
  <c r="AA8"/>
  <c r="AA24"/>
  <c r="AA11"/>
  <c r="AA23"/>
  <c r="AA21"/>
  <c r="AA19"/>
  <c r="AA10"/>
  <c r="AA17"/>
  <c r="AA25"/>
  <c r="AA22"/>
  <c r="AA13"/>
  <c r="AA18"/>
  <c r="AA15"/>
  <c r="AA16"/>
  <c r="AH10" i="7"/>
  <c r="AK10" s="1"/>
  <c r="AK42"/>
  <c r="AL1"/>
  <c r="N20" i="8"/>
  <c r="N23" s="1"/>
  <c r="N24" s="1"/>
  <c r="N27" s="1"/>
  <c r="N28" s="1"/>
  <c r="AW9" i="7"/>
  <c r="AZ9" s="1"/>
  <c r="E29"/>
  <c r="CV29"/>
  <c r="CY29" s="1"/>
  <c r="DB29" s="1"/>
  <c r="DE29" s="1"/>
  <c r="AW16"/>
  <c r="AQ27"/>
  <c r="AT27" s="1"/>
  <c r="AW27" s="1"/>
  <c r="BC30"/>
  <c r="BF30"/>
  <c r="BI30" s="1"/>
  <c r="BL30" s="1"/>
  <c r="BO30" s="1"/>
  <c r="BR30" s="1"/>
  <c r="BU30" s="1"/>
  <c r="BX30" s="1"/>
  <c r="CA30" s="1"/>
  <c r="CD30" s="1"/>
  <c r="CG30" s="1"/>
  <c r="CJ30" s="1"/>
  <c r="CM30" s="1"/>
  <c r="CP30" s="1"/>
  <c r="CS30" s="1"/>
  <c r="BF18"/>
  <c r="K33" i="8"/>
  <c r="K29" s="1"/>
  <c r="K31"/>
  <c r="K35"/>
  <c r="K37"/>
  <c r="K36"/>
  <c r="AQ8" i="7"/>
  <c r="K25" i="8"/>
  <c r="AG5" i="7"/>
  <c r="AD51"/>
  <c r="L22" i="8"/>
  <c r="AW25" i="7"/>
  <c r="DM4"/>
  <c r="BC6"/>
  <c r="AQ22"/>
  <c r="AT4"/>
  <c r="AW4" s="1"/>
  <c r="AZ4" s="1"/>
  <c r="AH7"/>
  <c r="AQ12"/>
  <c r="AT12" s="1"/>
  <c r="AW12" s="1"/>
  <c r="AZ12" s="1"/>
  <c r="BC12" s="1"/>
  <c r="BF12" s="1"/>
  <c r="BI12" s="1"/>
  <c r="BL12" s="1"/>
  <c r="BO12" s="1"/>
  <c r="BR12" s="1"/>
  <c r="BU12" s="1"/>
  <c r="BX12" s="1"/>
  <c r="CA12" s="1"/>
  <c r="CD12" s="1"/>
  <c r="CG12" s="1"/>
  <c r="CJ12" s="1"/>
  <c r="CM12" s="1"/>
  <c r="CP12" s="1"/>
  <c r="CS12" s="1"/>
  <c r="AZ41"/>
  <c r="AT33"/>
  <c r="AZ16"/>
  <c r="BC16" s="1"/>
  <c r="BF16" s="1"/>
  <c r="BI16" s="1"/>
  <c r="BL16" s="1"/>
  <c r="BO16" s="1"/>
  <c r="BR16" s="1"/>
  <c r="BU16" s="1"/>
  <c r="BX16" s="1"/>
  <c r="CA16" s="1"/>
  <c r="CD16" s="1"/>
  <c r="CG16" s="1"/>
  <c r="CJ16" s="1"/>
  <c r="CM16" s="1"/>
  <c r="CP16" s="1"/>
  <c r="CS16" s="1"/>
  <c r="AZ38"/>
  <c r="BF15"/>
  <c r="BI15" s="1"/>
  <c r="BL15" s="1"/>
  <c r="BO15" s="1"/>
  <c r="BR15" s="1"/>
  <c r="BU15" s="1"/>
  <c r="BX15" s="1"/>
  <c r="CA15" s="1"/>
  <c r="CD15" s="1"/>
  <c r="CG15" s="1"/>
  <c r="CJ15" s="1"/>
  <c r="CM15" s="1"/>
  <c r="CP15" s="1"/>
  <c r="CS15" s="1"/>
  <c r="BI18"/>
  <c r="BL18" s="1"/>
  <c r="BO18" s="1"/>
  <c r="BR18" s="1"/>
  <c r="BU18" s="1"/>
  <c r="BX18" s="1"/>
  <c r="CA18" s="1"/>
  <c r="CD18" s="1"/>
  <c r="CG18" s="1"/>
  <c r="CJ18" s="1"/>
  <c r="CM18" s="1"/>
  <c r="CP18" s="1"/>
  <c r="CS18" s="1"/>
  <c r="AZ40"/>
  <c r="BC40" s="1"/>
  <c r="BF40" s="1"/>
  <c r="BI40" s="1"/>
  <c r="BL40" s="1"/>
  <c r="BO40" s="1"/>
  <c r="BR40" s="1"/>
  <c r="BU40" s="1"/>
  <c r="BX40" s="1"/>
  <c r="CA40" s="1"/>
  <c r="CD40" s="1"/>
  <c r="CG40" s="1"/>
  <c r="CJ40" s="1"/>
  <c r="CM40" s="1"/>
  <c r="CP40" s="1"/>
  <c r="CS40" s="1"/>
  <c r="AT37"/>
  <c r="AN24"/>
  <c r="AZ31"/>
  <c r="BC31" s="1"/>
  <c r="BF31" s="1"/>
  <c r="BI31" s="1"/>
  <c r="BL31" s="1"/>
  <c r="BO31" s="1"/>
  <c r="BR31" s="1"/>
  <c r="BU31" s="1"/>
  <c r="BX31" s="1"/>
  <c r="CA31" s="1"/>
  <c r="CD31" s="1"/>
  <c r="CG31" s="1"/>
  <c r="CJ31" s="1"/>
  <c r="CM31" s="1"/>
  <c r="CP31" s="1"/>
  <c r="CS31" s="1"/>
  <c r="AH34"/>
  <c r="AK43"/>
  <c r="AN43" s="1"/>
  <c r="AE45"/>
  <c r="BC32"/>
  <c r="BF32"/>
  <c r="BI32" s="1"/>
  <c r="BL32" s="1"/>
  <c r="BC20"/>
  <c r="AT44"/>
  <c r="AW44" s="1"/>
  <c r="AQ24"/>
  <c r="BF6"/>
  <c r="AT35"/>
  <c r="AZ11"/>
  <c r="BC11" s="1"/>
  <c r="BF11" s="1"/>
  <c r="BI11" s="1"/>
  <c r="BL11" s="1"/>
  <c r="BO11" s="1"/>
  <c r="BR11" s="1"/>
  <c r="BU11" s="1"/>
  <c r="BX11" s="1"/>
  <c r="CA11" s="1"/>
  <c r="CD11" s="1"/>
  <c r="CG11" s="1"/>
  <c r="CJ11" s="1"/>
  <c r="CM11" s="1"/>
  <c r="CP11" s="1"/>
  <c r="CS11" s="1"/>
  <c r="AQ17"/>
  <c r="AQ13"/>
  <c r="AW28"/>
  <c r="AN14"/>
  <c r="AE5"/>
  <c r="AQ19"/>
  <c r="AT19" s="1"/>
  <c r="AW19" s="1"/>
  <c r="AZ19" s="1"/>
  <c r="BC19" s="1"/>
  <c r="BF19" s="1"/>
  <c r="BI19" s="1"/>
  <c r="BL19" s="1"/>
  <c r="BO19" s="1"/>
  <c r="BR19" s="1"/>
  <c r="BU19" s="1"/>
  <c r="BX19" s="1"/>
  <c r="CA19" s="1"/>
  <c r="CD19" s="1"/>
  <c r="CG19" s="1"/>
  <c r="CJ19" s="1"/>
  <c r="CM19" s="1"/>
  <c r="CP19" s="1"/>
  <c r="CS19" s="1"/>
  <c r="AZ27"/>
  <c r="BC27" s="1"/>
  <c r="BF27" s="1"/>
  <c r="BI27" s="1"/>
  <c r="BL27" s="1"/>
  <c r="BO27" s="1"/>
  <c r="BR27" s="1"/>
  <c r="BL26"/>
  <c r="BO26" s="1"/>
  <c r="BR26" s="1"/>
  <c r="BU26" s="1"/>
  <c r="BX26" s="1"/>
  <c r="CA26" s="1"/>
  <c r="CD26" s="1"/>
  <c r="CG26" s="1"/>
  <c r="CJ26" s="1"/>
  <c r="CM26" s="1"/>
  <c r="CP26" s="1"/>
  <c r="CS26" s="1"/>
  <c r="AH21"/>
  <c r="AK36"/>
  <c r="AH19" i="6" l="1"/>
  <c r="AK19" s="1"/>
  <c r="AH8"/>
  <c r="AH11"/>
  <c r="AK11" s="1"/>
  <c r="AH25"/>
  <c r="AK25" s="1"/>
  <c r="AH24"/>
  <c r="AH13"/>
  <c r="AK13" s="1"/>
  <c r="AH17"/>
  <c r="AK17" s="1"/>
  <c r="AH18"/>
  <c r="AH12"/>
  <c r="AK12" s="1"/>
  <c r="AH22"/>
  <c r="AK22" s="1"/>
  <c r="AH16"/>
  <c r="AK16" s="1"/>
  <c r="AH9"/>
  <c r="AK9" s="1"/>
  <c r="AH15"/>
  <c r="AK15" s="1"/>
  <c r="AH23"/>
  <c r="AK23" s="1"/>
  <c r="AH20"/>
  <c r="AK20" s="1"/>
  <c r="AH14"/>
  <c r="AK14" s="1"/>
  <c r="AI6"/>
  <c r="AJ6" s="1"/>
  <c r="AH10"/>
  <c r="AK10" s="1"/>
  <c r="AH21"/>
  <c r="AK21" s="1"/>
  <c r="AK18"/>
  <c r="AK24"/>
  <c r="AN42" i="7"/>
  <c r="AH39"/>
  <c r="AN10"/>
  <c r="AQ10" s="1"/>
  <c r="AQ43"/>
  <c r="AT43" s="1"/>
  <c r="AK8" i="6"/>
  <c r="C9" s="1"/>
  <c r="AQ42" i="7"/>
  <c r="AK23"/>
  <c r="AO1"/>
  <c r="O20" i="8"/>
  <c r="O23" s="1"/>
  <c r="O24" s="1"/>
  <c r="O27" s="1"/>
  <c r="O28" s="1"/>
  <c r="BC9" i="7"/>
  <c r="K32" i="8"/>
  <c r="E19" i="7"/>
  <c r="DY19"/>
  <c r="E31"/>
  <c r="CV31"/>
  <c r="CY31" s="1"/>
  <c r="DB31" s="1"/>
  <c r="DE31" s="1"/>
  <c r="E18"/>
  <c r="DY18"/>
  <c r="E16"/>
  <c r="DY16"/>
  <c r="E12"/>
  <c r="CV12"/>
  <c r="CY12" s="1"/>
  <c r="DB12" s="1"/>
  <c r="DE12" s="1"/>
  <c r="E26"/>
  <c r="CV26"/>
  <c r="CY26" s="1"/>
  <c r="DB26" s="1"/>
  <c r="DE26" s="1"/>
  <c r="E11"/>
  <c r="CV11"/>
  <c r="CY11" s="1"/>
  <c r="DB11" s="1"/>
  <c r="DE11" s="1"/>
  <c r="E40"/>
  <c r="CV40"/>
  <c r="CY40" s="1"/>
  <c r="DB40" s="1"/>
  <c r="DE40" s="1"/>
  <c r="E15"/>
  <c r="CV15"/>
  <c r="CY15" s="1"/>
  <c r="DB15" s="1"/>
  <c r="DE15" s="1"/>
  <c r="E30"/>
  <c r="CV30"/>
  <c r="CY30" s="1"/>
  <c r="DB30" s="1"/>
  <c r="DE30" s="1"/>
  <c r="AN36"/>
  <c r="AT17"/>
  <c r="AW17" s="1"/>
  <c r="AZ17" s="1"/>
  <c r="BC17" s="1"/>
  <c r="BF17" s="1"/>
  <c r="BI17" s="1"/>
  <c r="BL17" s="1"/>
  <c r="BO17" s="1"/>
  <c r="BR17" s="1"/>
  <c r="BU17" s="1"/>
  <c r="BX17" s="1"/>
  <c r="CA17" s="1"/>
  <c r="CD17" s="1"/>
  <c r="CG17" s="1"/>
  <c r="CJ17" s="1"/>
  <c r="CM17" s="1"/>
  <c r="CP17" s="1"/>
  <c r="CS17" s="1"/>
  <c r="AH45"/>
  <c r="AK34"/>
  <c r="BC41"/>
  <c r="BF41" s="1"/>
  <c r="AK7"/>
  <c r="BC4"/>
  <c r="BF4" s="1"/>
  <c r="BI4" s="1"/>
  <c r="AT22"/>
  <c r="AW22" s="1"/>
  <c r="AZ22" s="1"/>
  <c r="BC22" s="1"/>
  <c r="BF22" s="1"/>
  <c r="BI22" s="1"/>
  <c r="BL22" s="1"/>
  <c r="BO22" s="1"/>
  <c r="BR22" s="1"/>
  <c r="BU22" s="1"/>
  <c r="BX22" s="1"/>
  <c r="CA22" s="1"/>
  <c r="CD22" s="1"/>
  <c r="CG22" s="1"/>
  <c r="CJ22" s="1"/>
  <c r="CM22" s="1"/>
  <c r="CP22" s="1"/>
  <c r="CS22" s="1"/>
  <c r="L25" i="8"/>
  <c r="AJ5" i="7"/>
  <c r="AG51"/>
  <c r="M22" i="8"/>
  <c r="AH5" i="7"/>
  <c r="AW43"/>
  <c r="AT13"/>
  <c r="AW13" s="1"/>
  <c r="AZ13" s="1"/>
  <c r="BC13" s="1"/>
  <c r="BF13" s="1"/>
  <c r="BI13" s="1"/>
  <c r="BL13" s="1"/>
  <c r="BO13" s="1"/>
  <c r="BR13" s="1"/>
  <c r="BU13" s="1"/>
  <c r="BX13" s="1"/>
  <c r="CA13" s="1"/>
  <c r="CD13" s="1"/>
  <c r="CG13" s="1"/>
  <c r="CJ13" s="1"/>
  <c r="CM13" s="1"/>
  <c r="CP13" s="1"/>
  <c r="CS13" s="1"/>
  <c r="AT24"/>
  <c r="AW24" s="1"/>
  <c r="AZ24" s="1"/>
  <c r="BC24" s="1"/>
  <c r="BF24" s="1"/>
  <c r="BI24" s="1"/>
  <c r="BL24" s="1"/>
  <c r="BO24" s="1"/>
  <c r="BR24" s="1"/>
  <c r="BU24" s="1"/>
  <c r="BX24" s="1"/>
  <c r="CA24" s="1"/>
  <c r="CD24" s="1"/>
  <c r="CG24" s="1"/>
  <c r="CJ24" s="1"/>
  <c r="CM24" s="1"/>
  <c r="CP24" s="1"/>
  <c r="CS24" s="1"/>
  <c r="AK21"/>
  <c r="AN21" s="1"/>
  <c r="AQ21" s="1"/>
  <c r="L35" i="8"/>
  <c r="L33"/>
  <c r="L29" s="1"/>
  <c r="L36"/>
  <c r="L31"/>
  <c r="L32" s="1"/>
  <c r="L37"/>
  <c r="AZ28" i="7"/>
  <c r="BC28" s="1"/>
  <c r="BF28" s="1"/>
  <c r="AZ44"/>
  <c r="BC44" s="1"/>
  <c r="BF44" s="1"/>
  <c r="BI44" s="1"/>
  <c r="BL44" s="1"/>
  <c r="BO44" s="1"/>
  <c r="BR44" s="1"/>
  <c r="BU44" s="1"/>
  <c r="BX44" s="1"/>
  <c r="BI20"/>
  <c r="BL20" s="1"/>
  <c r="BO20" s="1"/>
  <c r="BR20" s="1"/>
  <c r="BU20" s="1"/>
  <c r="BX20" s="1"/>
  <c r="CA20" s="1"/>
  <c r="CD20" s="1"/>
  <c r="CG20" s="1"/>
  <c r="CJ20" s="1"/>
  <c r="CM20" s="1"/>
  <c r="CP20" s="1"/>
  <c r="CS20" s="1"/>
  <c r="E20" s="1"/>
  <c r="BF20"/>
  <c r="BO32"/>
  <c r="BR32" s="1"/>
  <c r="BU32" s="1"/>
  <c r="BX32" s="1"/>
  <c r="CA32" s="1"/>
  <c r="CD32" s="1"/>
  <c r="CG32" s="1"/>
  <c r="CJ32" s="1"/>
  <c r="CM32"/>
  <c r="CP32" s="1"/>
  <c r="CS32" s="1"/>
  <c r="AW37"/>
  <c r="AZ37" s="1"/>
  <c r="BC37" s="1"/>
  <c r="BF37" s="1"/>
  <c r="BI37" s="1"/>
  <c r="BL37" s="1"/>
  <c r="BO37" s="1"/>
  <c r="BR37" s="1"/>
  <c r="BU37" s="1"/>
  <c r="BX37" s="1"/>
  <c r="CA37" s="1"/>
  <c r="CD37" s="1"/>
  <c r="CG37" s="1"/>
  <c r="CJ37" s="1"/>
  <c r="CM37" s="1"/>
  <c r="CP37" s="1"/>
  <c r="CS37" s="1"/>
  <c r="BC38"/>
  <c r="BF38" s="1"/>
  <c r="BI38" s="1"/>
  <c r="BL38" s="1"/>
  <c r="BO38" s="1"/>
  <c r="BR38" s="1"/>
  <c r="BU38" s="1"/>
  <c r="BX38" s="1"/>
  <c r="CA38" s="1"/>
  <c r="CD38" s="1"/>
  <c r="CG38" s="1"/>
  <c r="CJ38" s="1"/>
  <c r="CM38" s="1"/>
  <c r="CP38" s="1"/>
  <c r="CS38" s="1"/>
  <c r="DP4"/>
  <c r="AZ25"/>
  <c r="BC25" s="1"/>
  <c r="BF25" s="1"/>
  <c r="BI25" s="1"/>
  <c r="BL25" s="1"/>
  <c r="BO25" s="1"/>
  <c r="BR25" s="1"/>
  <c r="BU25" s="1"/>
  <c r="BX25" s="1"/>
  <c r="CA25" s="1"/>
  <c r="CD25" s="1"/>
  <c r="CG25" s="1"/>
  <c r="CJ25" s="1"/>
  <c r="CM25" s="1"/>
  <c r="CP25" s="1"/>
  <c r="CS25" s="1"/>
  <c r="AT8"/>
  <c r="AW8" s="1"/>
  <c r="AZ8" s="1"/>
  <c r="BC8" s="1"/>
  <c r="BF8" s="1"/>
  <c r="DY29"/>
  <c r="DH29"/>
  <c r="DK29" s="1"/>
  <c r="DN29" s="1"/>
  <c r="DQ29" s="1"/>
  <c r="DT29" s="1"/>
  <c r="DW29" s="1"/>
  <c r="BU27"/>
  <c r="BX27" s="1"/>
  <c r="CA27" s="1"/>
  <c r="CD27" s="1"/>
  <c r="CG27" s="1"/>
  <c r="BI6"/>
  <c r="BL6" s="1"/>
  <c r="BO6" s="1"/>
  <c r="BR6" s="1"/>
  <c r="BU6" s="1"/>
  <c r="BX6" s="1"/>
  <c r="CA6" s="1"/>
  <c r="CD6" s="1"/>
  <c r="CG6" s="1"/>
  <c r="CJ6" s="1"/>
  <c r="CM6" s="1"/>
  <c r="CP6" s="1"/>
  <c r="CS6" s="1"/>
  <c r="AW33"/>
  <c r="AQ14"/>
  <c r="AT14" s="1"/>
  <c r="AW14" s="1"/>
  <c r="AZ14" s="1"/>
  <c r="BC14" s="1"/>
  <c r="BF14" s="1"/>
  <c r="BI14" s="1"/>
  <c r="BL14" s="1"/>
  <c r="BO14" s="1"/>
  <c r="BR14" s="1"/>
  <c r="BU14" s="1"/>
  <c r="BX14" s="1"/>
  <c r="CA14" s="1"/>
  <c r="CD14" s="1"/>
  <c r="CG14" s="1"/>
  <c r="CJ14" s="1"/>
  <c r="CM14" s="1"/>
  <c r="CP14" s="1"/>
  <c r="CS14" s="1"/>
  <c r="AW35"/>
  <c r="AZ35" s="1"/>
  <c r="BC35" s="1"/>
  <c r="BF35" s="1"/>
  <c r="BI35" s="1"/>
  <c r="BL35" s="1"/>
  <c r="BO35" s="1"/>
  <c r="BR35" s="1"/>
  <c r="BU35" s="1"/>
  <c r="BX35" s="1"/>
  <c r="CA35" s="1"/>
  <c r="CD35" s="1"/>
  <c r="CG35" s="1"/>
  <c r="CJ35" s="1"/>
  <c r="CM35" s="1"/>
  <c r="CP35" s="1"/>
  <c r="CS35" s="1"/>
  <c r="AK39" l="1"/>
  <c r="AT42"/>
  <c r="AT10"/>
  <c r="AW10" s="1"/>
  <c r="AN23"/>
  <c r="AQ23" s="1"/>
  <c r="CV20"/>
  <c r="CY20" s="1"/>
  <c r="DB20" s="1"/>
  <c r="DE20" s="1"/>
  <c r="BI28"/>
  <c r="BL28" s="1"/>
  <c r="BO28" s="1"/>
  <c r="BR28" s="1"/>
  <c r="BU28" s="1"/>
  <c r="BX28" s="1"/>
  <c r="CA28" s="1"/>
  <c r="CD28" s="1"/>
  <c r="CG28" s="1"/>
  <c r="CJ28" s="1"/>
  <c r="CM28" s="1"/>
  <c r="CP28" s="1"/>
  <c r="CS28" s="1"/>
  <c r="CJ27"/>
  <c r="CM27" s="1"/>
  <c r="CP27" s="1"/>
  <c r="CS27" s="1"/>
  <c r="AT21"/>
  <c r="AW21" s="1"/>
  <c r="AZ21" s="1"/>
  <c r="BC21" s="1"/>
  <c r="BF21" s="1"/>
  <c r="BI21" s="1"/>
  <c r="BL21" s="1"/>
  <c r="BO21" s="1"/>
  <c r="BR21" s="1"/>
  <c r="BU21" s="1"/>
  <c r="BX21" s="1"/>
  <c r="CA21" s="1"/>
  <c r="CD21" s="1"/>
  <c r="CG21" s="1"/>
  <c r="CJ21" s="1"/>
  <c r="CM21" s="1"/>
  <c r="CP21" s="1"/>
  <c r="CS21" s="1"/>
  <c r="E21" s="1"/>
  <c r="CA44"/>
  <c r="CD44" s="1"/>
  <c r="CG44" s="1"/>
  <c r="CJ44" s="1"/>
  <c r="CM44" s="1"/>
  <c r="CP44" s="1"/>
  <c r="CS44" s="1"/>
  <c r="BI41"/>
  <c r="BL41" s="1"/>
  <c r="BO41" s="1"/>
  <c r="BR41" s="1"/>
  <c r="BU41" s="1"/>
  <c r="BX41" s="1"/>
  <c r="CA41" s="1"/>
  <c r="CD41" s="1"/>
  <c r="CG41" s="1"/>
  <c r="CJ41" s="1"/>
  <c r="CM41" s="1"/>
  <c r="CP41" s="1"/>
  <c r="CS41" s="1"/>
  <c r="E41" s="1"/>
  <c r="AW42"/>
  <c r="AZ42" s="1"/>
  <c r="P20" i="8"/>
  <c r="P23" s="1"/>
  <c r="P24" s="1"/>
  <c r="P27" s="1"/>
  <c r="P28" s="1"/>
  <c r="AR1" i="7"/>
  <c r="BF9"/>
  <c r="BI9" s="1"/>
  <c r="E28"/>
  <c r="CV28"/>
  <c r="CY28" s="1"/>
  <c r="DB28" s="1"/>
  <c r="DE28" s="1"/>
  <c r="E44"/>
  <c r="CV44"/>
  <c r="CY44" s="1"/>
  <c r="DB44" s="1"/>
  <c r="DE44" s="1"/>
  <c r="E14"/>
  <c r="CV14"/>
  <c r="CY14" s="1"/>
  <c r="DB14" s="1"/>
  <c r="DE14" s="1"/>
  <c r="E25"/>
  <c r="CV25"/>
  <c r="CY25" s="1"/>
  <c r="DB25" s="1"/>
  <c r="DE25" s="1"/>
  <c r="E38"/>
  <c r="CV38"/>
  <c r="CY38" s="1"/>
  <c r="DB38" s="1"/>
  <c r="DE38" s="1"/>
  <c r="DH20"/>
  <c r="DK20" s="1"/>
  <c r="DN20" s="1"/>
  <c r="DQ20" s="1"/>
  <c r="DT20" s="1"/>
  <c r="DW20" s="1"/>
  <c r="DY20"/>
  <c r="E24"/>
  <c r="CV24"/>
  <c r="CY24" s="1"/>
  <c r="DB24" s="1"/>
  <c r="DE24" s="1"/>
  <c r="CV41"/>
  <c r="CY41" s="1"/>
  <c r="DB41" s="1"/>
  <c r="DE41" s="1"/>
  <c r="E35"/>
  <c r="CV35"/>
  <c r="CY35" s="1"/>
  <c r="DB35" s="1"/>
  <c r="DE35" s="1"/>
  <c r="E6"/>
  <c r="CV6"/>
  <c r="CY6" s="1"/>
  <c r="DB6" s="1"/>
  <c r="DE6" s="1"/>
  <c r="E37"/>
  <c r="CV37"/>
  <c r="CY37" s="1"/>
  <c r="DB37" s="1"/>
  <c r="DE37" s="1"/>
  <c r="CV21"/>
  <c r="CY21" s="1"/>
  <c r="DB21" s="1"/>
  <c r="DE21" s="1"/>
  <c r="E13"/>
  <c r="CV13"/>
  <c r="CY13" s="1"/>
  <c r="DB13" s="1"/>
  <c r="DE13" s="1"/>
  <c r="E22"/>
  <c r="CV22"/>
  <c r="CY22" s="1"/>
  <c r="DB22" s="1"/>
  <c r="DE22" s="1"/>
  <c r="E17"/>
  <c r="DY17"/>
  <c r="AZ33"/>
  <c r="BC33" s="1"/>
  <c r="BF33" s="1"/>
  <c r="BI33" s="1"/>
  <c r="BL33" s="1"/>
  <c r="BO33" s="1"/>
  <c r="BR33" s="1"/>
  <c r="BU33" s="1"/>
  <c r="BX33" s="1"/>
  <c r="CA33" s="1"/>
  <c r="E27"/>
  <c r="CV27"/>
  <c r="CY27" s="1"/>
  <c r="DB27" s="1"/>
  <c r="DE27" s="1"/>
  <c r="E32"/>
  <c r="CV32"/>
  <c r="CY32" s="1"/>
  <c r="DB32" s="1"/>
  <c r="DE32" s="1"/>
  <c r="AZ43"/>
  <c r="BC43" s="1"/>
  <c r="BF43" s="1"/>
  <c r="M25" i="8"/>
  <c r="AM5" i="7"/>
  <c r="AJ51"/>
  <c r="N22" i="8"/>
  <c r="AK5" i="7"/>
  <c r="AN7"/>
  <c r="AQ7" s="1"/>
  <c r="AT7" s="1"/>
  <c r="AW7" s="1"/>
  <c r="AZ7" s="1"/>
  <c r="BC7" s="1"/>
  <c r="BF7" s="1"/>
  <c r="BI7" s="1"/>
  <c r="BL7" s="1"/>
  <c r="BO7" s="1"/>
  <c r="BR7" s="1"/>
  <c r="BU7" s="1"/>
  <c r="BX7" s="1"/>
  <c r="CA7" s="1"/>
  <c r="CD7" s="1"/>
  <c r="CG7" s="1"/>
  <c r="CJ7" s="1"/>
  <c r="CM7" s="1"/>
  <c r="CP7" s="1"/>
  <c r="CS7" s="1"/>
  <c r="DH30"/>
  <c r="DK30" s="1"/>
  <c r="DN30" s="1"/>
  <c r="DQ30" s="1"/>
  <c r="DT30" s="1"/>
  <c r="DW30" s="1"/>
  <c r="DY30"/>
  <c r="DH15"/>
  <c r="DK15" s="1"/>
  <c r="DN15" s="1"/>
  <c r="DQ15" s="1"/>
  <c r="DT15" s="1"/>
  <c r="DW15" s="1"/>
  <c r="DY15"/>
  <c r="DY40"/>
  <c r="DH40"/>
  <c r="DK40" s="1"/>
  <c r="DN40" s="1"/>
  <c r="DQ40" s="1"/>
  <c r="DT40" s="1"/>
  <c r="DW40" s="1"/>
  <c r="DY11"/>
  <c r="DH11"/>
  <c r="DK11" s="1"/>
  <c r="DN11" s="1"/>
  <c r="DQ11" s="1"/>
  <c r="DT11" s="1"/>
  <c r="DW11" s="1"/>
  <c r="DY26"/>
  <c r="DH26"/>
  <c r="DK26" s="1"/>
  <c r="DN26" s="1"/>
  <c r="DQ26" s="1"/>
  <c r="DT26" s="1"/>
  <c r="DW26" s="1"/>
  <c r="AN34"/>
  <c r="BL4"/>
  <c r="BI8"/>
  <c r="BL8" s="1"/>
  <c r="BO8" s="1"/>
  <c r="BR8" s="1"/>
  <c r="BU8" s="1"/>
  <c r="BX8" s="1"/>
  <c r="CA8" s="1"/>
  <c r="CD8" s="1"/>
  <c r="CG8" s="1"/>
  <c r="CJ8" s="1"/>
  <c r="CM8" s="1"/>
  <c r="CP8" s="1"/>
  <c r="CS8" s="1"/>
  <c r="DS4"/>
  <c r="M31" i="8"/>
  <c r="M37"/>
  <c r="M36"/>
  <c r="M35"/>
  <c r="M33"/>
  <c r="M29" s="1"/>
  <c r="AK45" i="7"/>
  <c r="AQ36"/>
  <c r="AT36" s="1"/>
  <c r="AW36" s="1"/>
  <c r="AZ36" s="1"/>
  <c r="BC36" s="1"/>
  <c r="BF36" s="1"/>
  <c r="BI36" s="1"/>
  <c r="BL36" s="1"/>
  <c r="BO36" s="1"/>
  <c r="BR36" s="1"/>
  <c r="BU36" s="1"/>
  <c r="DY12"/>
  <c r="DH12"/>
  <c r="DK12" s="1"/>
  <c r="DN12" s="1"/>
  <c r="DQ12" s="1"/>
  <c r="DT12" s="1"/>
  <c r="DW12" s="1"/>
  <c r="DH31"/>
  <c r="DK31" s="1"/>
  <c r="DN31" s="1"/>
  <c r="DQ31" s="1"/>
  <c r="DT31" s="1"/>
  <c r="DW31" s="1"/>
  <c r="DY31"/>
  <c r="AT23" l="1"/>
  <c r="AZ23"/>
  <c r="AZ10"/>
  <c r="BC10" s="1"/>
  <c r="BF10" s="1"/>
  <c r="BI10" s="1"/>
  <c r="BL10" s="1"/>
  <c r="BO10" s="1"/>
  <c r="BR10" s="1"/>
  <c r="BU10" s="1"/>
  <c r="BX10" s="1"/>
  <c r="CA10" s="1"/>
  <c r="CD10" s="1"/>
  <c r="CG10" s="1"/>
  <c r="CJ10" s="1"/>
  <c r="CM10" s="1"/>
  <c r="CP10" s="1"/>
  <c r="CS10" s="1"/>
  <c r="E10" s="1"/>
  <c r="CV10"/>
  <c r="CY10" s="1"/>
  <c r="DB10" s="1"/>
  <c r="DE10" s="1"/>
  <c r="BC42"/>
  <c r="AW23"/>
  <c r="AN39"/>
  <c r="BX36"/>
  <c r="CA36" s="1"/>
  <c r="CD36" s="1"/>
  <c r="CG36" s="1"/>
  <c r="CJ36" s="1"/>
  <c r="CM36" s="1"/>
  <c r="CP36" s="1"/>
  <c r="CS36" s="1"/>
  <c r="E36" s="1"/>
  <c r="BI43"/>
  <c r="BL43" s="1"/>
  <c r="BO43" s="1"/>
  <c r="BR43" s="1"/>
  <c r="BU43" s="1"/>
  <c r="BX43" s="1"/>
  <c r="CA43" s="1"/>
  <c r="CD43" s="1"/>
  <c r="CG43" s="1"/>
  <c r="CJ43" s="1"/>
  <c r="CM43" s="1"/>
  <c r="CP43" s="1"/>
  <c r="CS43" s="1"/>
  <c r="CD33"/>
  <c r="CG33" s="1"/>
  <c r="CJ33" s="1"/>
  <c r="CM33" s="1"/>
  <c r="CP33" s="1"/>
  <c r="CS33" s="1"/>
  <c r="AU1"/>
  <c r="Q20" i="8"/>
  <c r="Q23" s="1"/>
  <c r="Q24" s="1"/>
  <c r="Q27" s="1"/>
  <c r="Q28" s="1"/>
  <c r="BL9" i="7"/>
  <c r="BO9" s="1"/>
  <c r="M32" i="8"/>
  <c r="E7" i="7"/>
  <c r="CV7"/>
  <c r="CY7" s="1"/>
  <c r="DB7" s="1"/>
  <c r="DE7" s="1"/>
  <c r="E8"/>
  <c r="CV8"/>
  <c r="CY8" s="1"/>
  <c r="DB8" s="1"/>
  <c r="DE8" s="1"/>
  <c r="E43"/>
  <c r="CV43"/>
  <c r="CY43" s="1"/>
  <c r="DB43" s="1"/>
  <c r="DE43" s="1"/>
  <c r="AN45"/>
  <c r="AQ45" s="1"/>
  <c r="AT45" s="1"/>
  <c r="DV4"/>
  <c r="N25" i="8"/>
  <c r="AP5" i="7"/>
  <c r="AM51"/>
  <c r="O22" i="8"/>
  <c r="AN5" i="7"/>
  <c r="CV36"/>
  <c r="CY36" s="1"/>
  <c r="DB36" s="1"/>
  <c r="DE36" s="1"/>
  <c r="BO4"/>
  <c r="AQ34"/>
  <c r="AT34" s="1"/>
  <c r="AW34" s="1"/>
  <c r="AZ34" s="1"/>
  <c r="BC34" s="1"/>
  <c r="BF34" s="1"/>
  <c r="BI34" s="1"/>
  <c r="BL34" s="1"/>
  <c r="BO34" s="1"/>
  <c r="BR34" s="1"/>
  <c r="BU34" s="1"/>
  <c r="BX34" s="1"/>
  <c r="CA34" s="1"/>
  <c r="CD34" s="1"/>
  <c r="CG34" s="1"/>
  <c r="CJ34" s="1"/>
  <c r="N33" i="8"/>
  <c r="N29" s="1"/>
  <c r="N36"/>
  <c r="N37"/>
  <c r="N31"/>
  <c r="N35"/>
  <c r="DH32" i="7"/>
  <c r="DK32" s="1"/>
  <c r="DN32" s="1"/>
  <c r="DQ32" s="1"/>
  <c r="DT32" s="1"/>
  <c r="DW32" s="1"/>
  <c r="DY32"/>
  <c r="DH27"/>
  <c r="DK27" s="1"/>
  <c r="DN27" s="1"/>
  <c r="DQ27" s="1"/>
  <c r="DT27" s="1"/>
  <c r="DW27" s="1"/>
  <c r="DY27"/>
  <c r="E33"/>
  <c r="DH22"/>
  <c r="DK22" s="1"/>
  <c r="DN22" s="1"/>
  <c r="DQ22" s="1"/>
  <c r="DT22" s="1"/>
  <c r="DW22" s="1"/>
  <c r="DY22"/>
  <c r="DY13"/>
  <c r="DH13"/>
  <c r="DK13" s="1"/>
  <c r="DN13" s="1"/>
  <c r="DQ13" s="1"/>
  <c r="DT13" s="1"/>
  <c r="DW13" s="1"/>
  <c r="DH21"/>
  <c r="DK21" s="1"/>
  <c r="DN21" s="1"/>
  <c r="DQ21" s="1"/>
  <c r="DT21" s="1"/>
  <c r="DW21" s="1"/>
  <c r="DY21"/>
  <c r="DH37"/>
  <c r="DK37" s="1"/>
  <c r="DN37" s="1"/>
  <c r="DQ37" s="1"/>
  <c r="DT37" s="1"/>
  <c r="DW37" s="1"/>
  <c r="DY37"/>
  <c r="DY6"/>
  <c r="DH6"/>
  <c r="DK6" s="1"/>
  <c r="DN6" s="1"/>
  <c r="DQ6" s="1"/>
  <c r="DT6" s="1"/>
  <c r="DW6" s="1"/>
  <c r="DY35"/>
  <c r="DH35"/>
  <c r="DK35" s="1"/>
  <c r="DN35" s="1"/>
  <c r="DQ35" s="1"/>
  <c r="DT35" s="1"/>
  <c r="DW35" s="1"/>
  <c r="DY41"/>
  <c r="DH41"/>
  <c r="DK41" s="1"/>
  <c r="DN41" s="1"/>
  <c r="DQ41" s="1"/>
  <c r="DT41" s="1"/>
  <c r="DW41" s="1"/>
  <c r="DY24"/>
  <c r="DH24"/>
  <c r="DK24" s="1"/>
  <c r="DN24" s="1"/>
  <c r="DQ24" s="1"/>
  <c r="DT24" s="1"/>
  <c r="DW24" s="1"/>
  <c r="DY10"/>
  <c r="DH38"/>
  <c r="DK38" s="1"/>
  <c r="DN38" s="1"/>
  <c r="DQ38" s="1"/>
  <c r="DT38" s="1"/>
  <c r="DW38" s="1"/>
  <c r="DY38"/>
  <c r="DH25"/>
  <c r="DK25" s="1"/>
  <c r="DN25" s="1"/>
  <c r="DQ25" s="1"/>
  <c r="DT25" s="1"/>
  <c r="DW25" s="1"/>
  <c r="DY25"/>
  <c r="DY14"/>
  <c r="DH14"/>
  <c r="DK14" s="1"/>
  <c r="DN14" s="1"/>
  <c r="DQ14" s="1"/>
  <c r="DT14" s="1"/>
  <c r="DW14" s="1"/>
  <c r="DY44"/>
  <c r="DH44"/>
  <c r="DK44" s="1"/>
  <c r="DN44" s="1"/>
  <c r="DQ44" s="1"/>
  <c r="DT44" s="1"/>
  <c r="DW44" s="1"/>
  <c r="DY28"/>
  <c r="DH28"/>
  <c r="DK28" s="1"/>
  <c r="DN28" s="1"/>
  <c r="DQ28" s="1"/>
  <c r="DT28" s="1"/>
  <c r="DW28" s="1"/>
  <c r="BI23" l="1"/>
  <c r="BL23" s="1"/>
  <c r="BO23" s="1"/>
  <c r="BR23" s="1"/>
  <c r="AQ39"/>
  <c r="AT39" s="1"/>
  <c r="BU23"/>
  <c r="BX23" s="1"/>
  <c r="CA23" s="1"/>
  <c r="CD23" s="1"/>
  <c r="CG23" s="1"/>
  <c r="CJ23" s="1"/>
  <c r="CM23" s="1"/>
  <c r="CP23" s="1"/>
  <c r="CS23" s="1"/>
  <c r="E23" s="1"/>
  <c r="BC23"/>
  <c r="BF23" s="1"/>
  <c r="DH10"/>
  <c r="DK10" s="1"/>
  <c r="DN10" s="1"/>
  <c r="DQ10" s="1"/>
  <c r="DT10" s="1"/>
  <c r="DW10" s="1"/>
  <c r="CV33"/>
  <c r="CY33" s="1"/>
  <c r="DB33" s="1"/>
  <c r="DE33" s="1"/>
  <c r="CM34"/>
  <c r="AW45"/>
  <c r="AZ45" s="1"/>
  <c r="BC45" s="1"/>
  <c r="BF45" s="1"/>
  <c r="BI45" s="1"/>
  <c r="BL45" s="1"/>
  <c r="BO45" s="1"/>
  <c r="BR45" s="1"/>
  <c r="BU45" s="1"/>
  <c r="BX45" s="1"/>
  <c r="CA45" s="1"/>
  <c r="CD45" s="1"/>
  <c r="CG45" s="1"/>
  <c r="CJ45" s="1"/>
  <c r="CM45" s="1"/>
  <c r="CP45" s="1"/>
  <c r="CS45" s="1"/>
  <c r="BF42"/>
  <c r="R20" i="8"/>
  <c r="R23" s="1"/>
  <c r="R24" s="1"/>
  <c r="R27" s="1"/>
  <c r="R28" s="1"/>
  <c r="AX1" i="7"/>
  <c r="BR9"/>
  <c r="BU9" s="1"/>
  <c r="BX9" s="1"/>
  <c r="CA9" s="1"/>
  <c r="N32" i="8"/>
  <c r="E45" i="7"/>
  <c r="CV45"/>
  <c r="CY45" s="1"/>
  <c r="DB45" s="1"/>
  <c r="DE45" s="1"/>
  <c r="BR4"/>
  <c r="DH36"/>
  <c r="DK36" s="1"/>
  <c r="DN36" s="1"/>
  <c r="DQ36" s="1"/>
  <c r="DT36" s="1"/>
  <c r="DW36" s="1"/>
  <c r="DY36"/>
  <c r="O25" i="8"/>
  <c r="AS5" i="7"/>
  <c r="AP51"/>
  <c r="P22" i="8"/>
  <c r="AQ5" i="7"/>
  <c r="DH43"/>
  <c r="DK43" s="1"/>
  <c r="DN43" s="1"/>
  <c r="DQ43" s="1"/>
  <c r="DT43" s="1"/>
  <c r="DW43" s="1"/>
  <c r="DY43"/>
  <c r="DH8"/>
  <c r="DK8" s="1"/>
  <c r="DN8" s="1"/>
  <c r="DQ8" s="1"/>
  <c r="DT8" s="1"/>
  <c r="DW8" s="1"/>
  <c r="DY8"/>
  <c r="DH33"/>
  <c r="DK33" s="1"/>
  <c r="DN33" s="1"/>
  <c r="DQ33" s="1"/>
  <c r="DT33" s="1"/>
  <c r="DW33" s="1"/>
  <c r="DY33"/>
  <c r="O35" i="8"/>
  <c r="O37"/>
  <c r="O36"/>
  <c r="O33"/>
  <c r="O29" s="1"/>
  <c r="O31"/>
  <c r="DY7" i="7"/>
  <c r="DH7"/>
  <c r="DK7" s="1"/>
  <c r="DN7" s="1"/>
  <c r="DQ7" s="1"/>
  <c r="DT7" s="1"/>
  <c r="DW7" s="1"/>
  <c r="BI42" l="1"/>
  <c r="CP34"/>
  <c r="CV23"/>
  <c r="AW39"/>
  <c r="CD9"/>
  <c r="CG9" s="1"/>
  <c r="S20" i="8"/>
  <c r="S23" s="1"/>
  <c r="S24" s="1"/>
  <c r="S27" s="1"/>
  <c r="S28" s="1"/>
  <c r="BA1" i="7"/>
  <c r="O32" i="8"/>
  <c r="P25"/>
  <c r="AV5" i="7"/>
  <c r="AS51"/>
  <c r="Q22" i="8"/>
  <c r="AT5" i="7"/>
  <c r="P37" i="8"/>
  <c r="P33"/>
  <c r="P29" s="1"/>
  <c r="P35"/>
  <c r="P36"/>
  <c r="P31"/>
  <c r="BU4" i="7"/>
  <c r="DY45"/>
  <c r="DH45"/>
  <c r="DK45" s="1"/>
  <c r="DN45" s="1"/>
  <c r="DQ45" s="1"/>
  <c r="DT45" s="1"/>
  <c r="DW45" s="1"/>
  <c r="AZ39" l="1"/>
  <c r="BC39" s="1"/>
  <c r="BF39" s="1"/>
  <c r="CY23"/>
  <c r="DB23" s="1"/>
  <c r="DE23" s="1"/>
  <c r="BL42"/>
  <c r="BO42" s="1"/>
  <c r="BR42" s="1"/>
  <c r="BU42" s="1"/>
  <c r="BX42" s="1"/>
  <c r="CA42" s="1"/>
  <c r="CD42" s="1"/>
  <c r="CG42" s="1"/>
  <c r="CJ42" s="1"/>
  <c r="CM42" s="1"/>
  <c r="CP42" s="1"/>
  <c r="CS42" s="1"/>
  <c r="E42" s="1"/>
  <c r="CS34"/>
  <c r="BD1"/>
  <c r="T20" i="8"/>
  <c r="T23" s="1"/>
  <c r="T24" s="1"/>
  <c r="T27" s="1"/>
  <c r="T28" s="1"/>
  <c r="CJ9" i="7"/>
  <c r="P32" i="8"/>
  <c r="BX4" i="7"/>
  <c r="Q25" i="8"/>
  <c r="AY5" i="7"/>
  <c r="AV51"/>
  <c r="R22" i="8"/>
  <c r="AW5" i="7"/>
  <c r="Q31" i="8"/>
  <c r="Q36"/>
  <c r="Q33"/>
  <c r="Q29" s="1"/>
  <c r="Q37"/>
  <c r="Q35"/>
  <c r="E34" i="7" l="1"/>
  <c r="CV34"/>
  <c r="CY34" s="1"/>
  <c r="DB34" s="1"/>
  <c r="DE34" s="1"/>
  <c r="DY23"/>
  <c r="DH23"/>
  <c r="DK23" s="1"/>
  <c r="DN23" s="1"/>
  <c r="DQ23" s="1"/>
  <c r="DT23" s="1"/>
  <c r="DW23" s="1"/>
  <c r="BI39"/>
  <c r="CV42"/>
  <c r="U20" i="8"/>
  <c r="U23" s="1"/>
  <c r="U24" s="1"/>
  <c r="U27" s="1"/>
  <c r="U28" s="1"/>
  <c r="BG1" i="7"/>
  <c r="CM9"/>
  <c r="Q32" i="8"/>
  <c r="R36"/>
  <c r="R33"/>
  <c r="R29" s="1"/>
  <c r="R37"/>
  <c r="R31"/>
  <c r="R32" s="1"/>
  <c r="R35"/>
  <c r="R25"/>
  <c r="BB5" i="7"/>
  <c r="AY51"/>
  <c r="S22" i="8"/>
  <c r="AZ5" i="7"/>
  <c r="CA4"/>
  <c r="CY42" l="1"/>
  <c r="DB42" s="1"/>
  <c r="DE42" s="1"/>
  <c r="DY42" s="1"/>
  <c r="DH34"/>
  <c r="DK34" s="1"/>
  <c r="DN34" s="1"/>
  <c r="DQ34" s="1"/>
  <c r="DT34" s="1"/>
  <c r="DW34" s="1"/>
  <c r="BL39"/>
  <c r="BO39" s="1"/>
  <c r="BR39" s="1"/>
  <c r="BU39" s="1"/>
  <c r="BX39" s="1"/>
  <c r="CA39" s="1"/>
  <c r="CD39" s="1"/>
  <c r="CG39" s="1"/>
  <c r="CJ39" s="1"/>
  <c r="CM39" s="1"/>
  <c r="CP39" s="1"/>
  <c r="CS39" s="1"/>
  <c r="E39" s="1"/>
  <c r="DY34"/>
  <c r="BJ1"/>
  <c r="V20" i="8"/>
  <c r="V23" s="1"/>
  <c r="V24" s="1"/>
  <c r="V27" s="1"/>
  <c r="V28" s="1"/>
  <c r="CP9" i="7"/>
  <c r="S35" i="8"/>
  <c r="S36"/>
  <c r="S31"/>
  <c r="S37"/>
  <c r="S33"/>
  <c r="S29" s="1"/>
  <c r="CD4" i="7"/>
  <c r="S25" i="8"/>
  <c r="BE5" i="7"/>
  <c r="BB51"/>
  <c r="T22" i="8"/>
  <c r="BC5" i="7"/>
  <c r="CV39" l="1"/>
  <c r="CY39" s="1"/>
  <c r="DB39" s="1"/>
  <c r="DE39" s="1"/>
  <c r="DH39" s="1"/>
  <c r="DK39" s="1"/>
  <c r="DN39" s="1"/>
  <c r="DQ39" s="1"/>
  <c r="DT39" s="1"/>
  <c r="DW39" s="1"/>
  <c r="DY39"/>
  <c r="DH42"/>
  <c r="DK42" s="1"/>
  <c r="DN42" s="1"/>
  <c r="DQ42" s="1"/>
  <c r="DT42" s="1"/>
  <c r="DW42" s="1"/>
  <c r="BM1"/>
  <c r="W20" i="8"/>
  <c r="W23" s="1"/>
  <c r="W24" s="1"/>
  <c r="W27" s="1"/>
  <c r="W28" s="1"/>
  <c r="CS9" i="7"/>
  <c r="E9" s="1"/>
  <c r="CV9"/>
  <c r="CY9" s="1"/>
  <c r="DB9" s="1"/>
  <c r="DE9" s="1"/>
  <c r="S32" i="8"/>
  <c r="T37"/>
  <c r="T36"/>
  <c r="T31"/>
  <c r="T33"/>
  <c r="T29" s="1"/>
  <c r="T35"/>
  <c r="T25"/>
  <c r="BH5" i="7"/>
  <c r="BE51"/>
  <c r="U22" i="8"/>
  <c r="BF5" i="7"/>
  <c r="CG4"/>
  <c r="BP1" l="1"/>
  <c r="X20" i="8"/>
  <c r="X23" s="1"/>
  <c r="X24" s="1"/>
  <c r="X27" s="1"/>
  <c r="X28" s="1"/>
  <c r="DH9" i="7"/>
  <c r="DK9" s="1"/>
  <c r="DN9" s="1"/>
  <c r="DQ9" s="1"/>
  <c r="DT9" s="1"/>
  <c r="DW9" s="1"/>
  <c r="DY9"/>
  <c r="T32" i="8"/>
  <c r="U36"/>
  <c r="U31"/>
  <c r="U35"/>
  <c r="U37"/>
  <c r="U33"/>
  <c r="U29" s="1"/>
  <c r="CJ4" i="7"/>
  <c r="U25" i="8"/>
  <c r="BK5" i="7"/>
  <c r="BH51"/>
  <c r="V22" i="8"/>
  <c r="BI5" i="7"/>
  <c r="BS1" l="1"/>
  <c r="Y20" i="8"/>
  <c r="Y23" s="1"/>
  <c r="Y24" s="1"/>
  <c r="Y27" s="1"/>
  <c r="Y28" s="1"/>
  <c r="U32"/>
  <c r="V36"/>
  <c r="V37"/>
  <c r="V35"/>
  <c r="V33"/>
  <c r="V29" s="1"/>
  <c r="V31"/>
  <c r="V25"/>
  <c r="BN5" i="7"/>
  <c r="BK51"/>
  <c r="W22" i="8"/>
  <c r="BL5" i="7"/>
  <c r="CM4"/>
  <c r="Z20" i="8" l="1"/>
  <c r="Z23" s="1"/>
  <c r="Z24" s="1"/>
  <c r="Z27" s="1"/>
  <c r="Z28" s="1"/>
  <c r="BV1" i="7"/>
  <c r="V32" i="8"/>
  <c r="W37"/>
  <c r="W33"/>
  <c r="W29" s="1"/>
  <c r="W35"/>
  <c r="W31"/>
  <c r="W32" s="1"/>
  <c r="W36"/>
  <c r="CP4" i="7"/>
  <c r="W25" i="8"/>
  <c r="BQ5" i="7"/>
  <c r="BN51"/>
  <c r="X22" i="8"/>
  <c r="BO5" i="7"/>
  <c r="AA20" i="8" l="1"/>
  <c r="BY1" i="7"/>
  <c r="X25" i="8"/>
  <c r="BT5" i="7"/>
  <c r="BQ51"/>
  <c r="Y22" i="8"/>
  <c r="BR5" i="7"/>
  <c r="X31" i="8"/>
  <c r="X35"/>
  <c r="X33"/>
  <c r="X29" s="1"/>
  <c r="X36"/>
  <c r="X37"/>
  <c r="CS4" i="7"/>
  <c r="AA23" i="8" l="1"/>
  <c r="AA24" s="1"/>
  <c r="AA27" s="1"/>
  <c r="AA28" s="1"/>
  <c r="CB1" i="7"/>
  <c r="AB20" i="8"/>
  <c r="X32"/>
  <c r="Y25"/>
  <c r="BW5" i="7"/>
  <c r="BT51"/>
  <c r="BU5"/>
  <c r="Z22" i="8"/>
  <c r="E4" i="7"/>
  <c r="CV4"/>
  <c r="Y37" i="8"/>
  <c r="Y31"/>
  <c r="Y33"/>
  <c r="Y29" s="1"/>
  <c r="Y35"/>
  <c r="Y36"/>
  <c r="CE1" i="7" l="1"/>
  <c r="AC20" i="8"/>
  <c r="AC23" s="1"/>
  <c r="AB23"/>
  <c r="AB24"/>
  <c r="AB27" s="1"/>
  <c r="AB28" s="1"/>
  <c r="Y32"/>
  <c r="Z36"/>
  <c r="Z31"/>
  <c r="Z37"/>
  <c r="Z35"/>
  <c r="Z33"/>
  <c r="Z29" s="1"/>
  <c r="BZ5" i="7"/>
  <c r="BW51"/>
  <c r="BX5"/>
  <c r="AA22" i="8"/>
  <c r="CY4" i="7"/>
  <c r="Z25" i="8"/>
  <c r="AC24" l="1"/>
  <c r="AC27" s="1"/>
  <c r="AC28" s="1"/>
  <c r="CH1" i="7"/>
  <c r="AD20" i="8"/>
  <c r="Z32"/>
  <c r="DB4" i="7"/>
  <c r="AA25" i="8"/>
  <c r="AA35"/>
  <c r="AA31"/>
  <c r="AA36"/>
  <c r="AA33"/>
  <c r="AA29" s="1"/>
  <c r="AA37"/>
  <c r="CC5" i="7"/>
  <c r="BZ51"/>
  <c r="CA5"/>
  <c r="AB22" i="8"/>
  <c r="AE20" l="1"/>
  <c r="AE23" s="1"/>
  <c r="CK1" i="7"/>
  <c r="AD23" i="8"/>
  <c r="AD24" s="1"/>
  <c r="AD27" s="1"/>
  <c r="AD28" s="1"/>
  <c r="AB36"/>
  <c r="AB31"/>
  <c r="AB37"/>
  <c r="AB35"/>
  <c r="AB33"/>
  <c r="AB29" s="1"/>
  <c r="CF5" i="7"/>
  <c r="CC51"/>
  <c r="CD5"/>
  <c r="AC22" i="8"/>
  <c r="AB25"/>
  <c r="DE4" i="7"/>
  <c r="AA32" i="8"/>
  <c r="AE24" l="1"/>
  <c r="AE27" s="1"/>
  <c r="AE28" s="1"/>
  <c r="CN1" i="7"/>
  <c r="AF20" i="8"/>
  <c r="AF23" s="1"/>
  <c r="AF24" s="1"/>
  <c r="AF27" s="1"/>
  <c r="AF28" s="1"/>
  <c r="AB32"/>
  <c r="DY4" i="7"/>
  <c r="DH4"/>
  <c r="AC25" i="8"/>
  <c r="AC36"/>
  <c r="AC35"/>
  <c r="AC37"/>
  <c r="AC33"/>
  <c r="AC29" s="1"/>
  <c r="AC31"/>
  <c r="CI5" i="7"/>
  <c r="CF51"/>
  <c r="CG5"/>
  <c r="AD22" i="8"/>
  <c r="AG20" l="1"/>
  <c r="AG23" s="1"/>
  <c r="AG24" s="1"/>
  <c r="AG27" s="1"/>
  <c r="AG28" s="1"/>
  <c r="CQ1" i="7"/>
  <c r="AC32" i="8"/>
  <c r="AD25"/>
  <c r="DK4" i="7"/>
  <c r="AD37" i="8"/>
  <c r="AD31"/>
  <c r="AD33"/>
  <c r="AD29" s="1"/>
  <c r="AD36"/>
  <c r="AD35"/>
  <c r="CL5" i="7"/>
  <c r="CI51"/>
  <c r="CJ5"/>
  <c r="AE22" i="8"/>
  <c r="AH20" l="1"/>
  <c r="CT1" i="7"/>
  <c r="AD32" i="8"/>
  <c r="AE25"/>
  <c r="AE33"/>
  <c r="AE29" s="1"/>
  <c r="AE35"/>
  <c r="AE37"/>
  <c r="AE31"/>
  <c r="AE36"/>
  <c r="CO5" i="7"/>
  <c r="CL51"/>
  <c r="CM5"/>
  <c r="AF22" i="8"/>
  <c r="DN4" i="7"/>
  <c r="AH23" i="8" l="1"/>
  <c r="AH24" s="1"/>
  <c r="AH27" s="1"/>
  <c r="AH28" s="1"/>
  <c r="CW1" i="7"/>
  <c r="AI20" i="8"/>
  <c r="AI23" s="1"/>
  <c r="AI24" s="1"/>
  <c r="AI27" s="1"/>
  <c r="AI28" s="1"/>
  <c r="AE32"/>
  <c r="DQ4" i="7"/>
  <c r="AF25" i="8"/>
  <c r="AF35"/>
  <c r="AF31"/>
  <c r="AF37"/>
  <c r="AF36"/>
  <c r="AF33"/>
  <c r="AF29" s="1"/>
  <c r="CR5" i="7"/>
  <c r="G16" i="6" s="1"/>
  <c r="CO51" i="7"/>
  <c r="CP5"/>
  <c r="AG22" i="8"/>
  <c r="CZ1" i="7" l="1"/>
  <c r="AJ20" i="8"/>
  <c r="AG25"/>
  <c r="AG31"/>
  <c r="AG37"/>
  <c r="AG33"/>
  <c r="AG29" s="1"/>
  <c r="AG36"/>
  <c r="AG35"/>
  <c r="CU5" i="7"/>
  <c r="CR51"/>
  <c r="G17" i="6"/>
  <c r="C8" s="1"/>
  <c r="C10" s="1"/>
  <c r="CS5" i="7"/>
  <c r="AH22" i="8"/>
  <c r="DT4" i="7"/>
  <c r="AF32" i="8"/>
  <c r="AK20" l="1"/>
  <c r="DC1" i="7"/>
  <c r="AJ23" i="8"/>
  <c r="AJ24" s="1"/>
  <c r="AJ27" s="1"/>
  <c r="AJ28" s="1"/>
  <c r="AG32"/>
  <c r="E5" i="7"/>
  <c r="AH37" i="8"/>
  <c r="AH33"/>
  <c r="AH29" s="1"/>
  <c r="AH35"/>
  <c r="AH31"/>
  <c r="AH36"/>
  <c r="DW4" i="7"/>
  <c r="AH25" i="8"/>
  <c r="CX5" i="7"/>
  <c r="CU51"/>
  <c r="CV5"/>
  <c r="AI22" i="8"/>
  <c r="AK23" l="1"/>
  <c r="AK24" s="1"/>
  <c r="AK27" s="1"/>
  <c r="AK28" s="1"/>
  <c r="AL20"/>
  <c r="DF1" i="7"/>
  <c r="AH32" i="8"/>
  <c r="CV51" i="7"/>
  <c r="AI37" i="8"/>
  <c r="AI31"/>
  <c r="AI33"/>
  <c r="AI29" s="1"/>
  <c r="AI35"/>
  <c r="AI36"/>
  <c r="AI25"/>
  <c r="DA5" i="7"/>
  <c r="CX51"/>
  <c r="CY5"/>
  <c r="AJ22" i="8"/>
  <c r="AL23" l="1"/>
  <c r="AL24" s="1"/>
  <c r="AL27" s="1"/>
  <c r="AL28" s="1"/>
  <c r="AM20"/>
  <c r="AM23" s="1"/>
  <c r="AM24" s="1"/>
  <c r="AM27" s="1"/>
  <c r="AM28" s="1"/>
  <c r="DI1" i="7"/>
  <c r="AI32" i="8"/>
  <c r="AJ36"/>
  <c r="AJ35"/>
  <c r="CY51" i="7"/>
  <c r="AJ31" i="8"/>
  <c r="AJ33"/>
  <c r="AJ29" s="1"/>
  <c r="AJ37"/>
  <c r="DD5" i="7"/>
  <c r="DA51"/>
  <c r="DB5"/>
  <c r="AK22" i="8"/>
  <c r="AJ25"/>
  <c r="DL1" i="7" l="1"/>
  <c r="AN20" i="8"/>
  <c r="AN23" s="1"/>
  <c r="AN24" s="1"/>
  <c r="AN27" s="1"/>
  <c r="AN28" s="1"/>
  <c r="AJ32"/>
  <c r="DB51" i="7"/>
  <c r="AK31" i="8"/>
  <c r="AK37"/>
  <c r="AK36"/>
  <c r="AK35"/>
  <c r="AK33"/>
  <c r="AK29" s="1"/>
  <c r="DG5" i="7"/>
  <c r="DD51"/>
  <c r="DE5"/>
  <c r="AL22" i="8"/>
  <c r="AK25"/>
  <c r="DO1" i="7" l="1"/>
  <c r="AO20" i="8"/>
  <c r="AO23" s="1"/>
  <c r="AO24" s="1"/>
  <c r="AO27" s="1"/>
  <c r="AO28" s="1"/>
  <c r="AK32"/>
  <c r="DY5" i="7"/>
  <c r="AL37" i="8"/>
  <c r="AL33"/>
  <c r="AL29" s="1"/>
  <c r="AL35"/>
  <c r="DE51" i="7"/>
  <c r="AL31" i="8"/>
  <c r="AL36"/>
  <c r="DJ5" i="7"/>
  <c r="DH5"/>
  <c r="DG51"/>
  <c r="AM22" i="8"/>
  <c r="AL25"/>
  <c r="H33" l="1"/>
  <c r="G33"/>
  <c r="F33"/>
  <c r="DR1" i="7"/>
  <c r="AP20" i="8"/>
  <c r="AP23" s="1"/>
  <c r="AP24" s="1"/>
  <c r="AP27" s="1"/>
  <c r="AP28" s="1"/>
  <c r="H29"/>
  <c r="H32"/>
  <c r="AL32"/>
  <c r="AM31"/>
  <c r="AM36"/>
  <c r="DH51" i="7"/>
  <c r="AM37" i="8"/>
  <c r="AM35"/>
  <c r="AM33"/>
  <c r="AM29" s="1"/>
  <c r="AM25"/>
  <c r="DM5" i="7"/>
  <c r="DK5"/>
  <c r="DJ51"/>
  <c r="AN22" i="8"/>
  <c r="F32" l="1"/>
  <c r="F29"/>
  <c r="G32"/>
  <c r="G29"/>
  <c r="AQ20"/>
  <c r="AQ23" s="1"/>
  <c r="AQ24" s="1"/>
  <c r="AQ27" s="1"/>
  <c r="AQ28" s="1"/>
  <c r="DU1" i="7"/>
  <c r="AR20" i="8" s="1"/>
  <c r="AM32"/>
  <c r="AN25"/>
  <c r="DP5" i="7"/>
  <c r="DN5"/>
  <c r="DM51"/>
  <c r="AO22" i="8"/>
  <c r="DK51" i="7"/>
  <c r="AN35" i="8"/>
  <c r="AN37"/>
  <c r="AN31"/>
  <c r="AN33"/>
  <c r="AN29" s="1"/>
  <c r="AN36"/>
  <c r="AR23" l="1"/>
  <c r="AR24" s="1"/>
  <c r="AR27" s="1"/>
  <c r="AR28" s="1"/>
  <c r="AN32"/>
  <c r="DS5" i="7"/>
  <c r="DQ5"/>
  <c r="DP51"/>
  <c r="AP22" i="8"/>
  <c r="AO25"/>
  <c r="AO33"/>
  <c r="AO29" s="1"/>
  <c r="AO37"/>
  <c r="DN51" i="7"/>
  <c r="AO31" i="8"/>
  <c r="AO35"/>
  <c r="AO36"/>
  <c r="AO32" l="1"/>
  <c r="DV5" i="7"/>
  <c r="DT5"/>
  <c r="DS51"/>
  <c r="AQ22" i="8"/>
  <c r="AP25"/>
  <c r="AP33"/>
  <c r="AP29" s="1"/>
  <c r="AP35"/>
  <c r="DQ51" i="7"/>
  <c r="AP37" i="8"/>
  <c r="AP36"/>
  <c r="AP31"/>
  <c r="AP32" l="1"/>
  <c r="DW5" i="7"/>
  <c r="DV51"/>
  <c r="AR22" i="8"/>
  <c r="AQ25"/>
  <c r="AQ31"/>
  <c r="DT51" i="7"/>
  <c r="AQ35" i="8"/>
  <c r="AQ33"/>
  <c r="AQ29" s="1"/>
  <c r="AQ36"/>
  <c r="AQ37"/>
  <c r="AQ32" l="1"/>
  <c r="AR25"/>
  <c r="AR35"/>
  <c r="AR31"/>
  <c r="AR37"/>
  <c r="DW51" i="7"/>
  <c r="AR33" i="8"/>
  <c r="AR29" s="1"/>
  <c r="AR36"/>
  <c r="AR32" l="1"/>
</calcChain>
</file>

<file path=xl/comments1.xml><?xml version="1.0" encoding="utf-8"?>
<comments xmlns="http://schemas.openxmlformats.org/spreadsheetml/2006/main">
  <authors>
    <author>James Waletzky</author>
  </authors>
  <commentList>
    <comment ref="E41" authorId="0">
      <text>
        <r>
          <rPr>
            <sz val="8"/>
            <color indexed="81"/>
            <rFont val="Tahoma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<sst xmlns="http://schemas.openxmlformats.org/spreadsheetml/2006/main" count="304" uniqueCount="118">
  <si>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</si>
  <si>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</si>
  <si>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</si>
  <si>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</si>
  <si>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</si>
  <si>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</si>
  <si>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</si>
  <si>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</si>
  <si>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</si>
  <si>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</si>
  <si>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</si>
  <si>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</si>
  <si>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</si>
  <si>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</si>
  <si>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</si>
  <si>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</si>
  <si>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</si>
  <si>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</si>
  <si>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</si>
  <si>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</si>
  <si>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</si>
  <si>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</si>
  <si>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</si>
  <si>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</si>
  <si>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</si>
  <si>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</si>
  <si>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</si>
  <si>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</si>
  <si>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</si>
  <si>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</si>
  <si>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</si>
  <si>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</si>
  <si>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</si>
  <si>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</si>
  <si>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</si>
  <si>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</si>
  <si>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</si>
  <si>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</si>
  <si>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</si>
  <si>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</si>
  <si>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</si>
  <si>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</si>
  <si>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</si>
  <si>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</si>
  <si>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</si>
  <si>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</si>
  <si>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</si>
  <si>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</si>
  <si>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</si>
  <si>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</si>
  <si>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</si>
  <si>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</si>
  <si>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</si>
  <si>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</si>
  <si>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</si>
  <si>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</si>
  <si>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</si>
  <si>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</si>
  <si>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</si>
  <si>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</si>
  <si>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</si>
  <si>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</si>
  <si>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</si>
  <si>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</si>
  <si>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</si>
  <si>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</si>
  <si>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</si>
  <si>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</si>
  <si>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</si>
  <si>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</si>
  <si>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</si>
  <si>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</si>
  <si>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</si>
  <si>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</si>
  <si>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</si>
  <si>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</si>
  <si>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</si>
  <si>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</si>
  <si>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</si>
  <si>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</si>
  <si>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</si>
  <si>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</si>
  <si>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</si>
  <si>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</si>
  <si>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</si>
  <si>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</si>
  <si>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</si>
  <si>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</si>
  <si>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</si>
  <si>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</si>
  <si>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</si>
  <si>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</si>
  <si>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</si>
  <si>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</si>
  <si>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</si>
  <si>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</si>
  <si>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</si>
  <si>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</si>
  <si>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</si>
  <si>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</si>
  <si>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</si>
  <si>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</si>
  <si>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</si>
  <si>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</si>
  <si>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</si>
  <si>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</si>
  <si>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</si>
  <si>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</si>
  <si>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</si>
  <si>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</si>
  <si>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</si>
  <si>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</si>
  <si>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unknown</t>
  </si>
  <si>
    <t>Phone</t>
  </si>
  <si>
    <t>Mobile</t>
  </si>
  <si>
    <t>EMAIL ALIAS</t>
  </si>
  <si>
    <t>Name</t>
  </si>
  <si>
    <t>Email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</si>
</sst>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1">
    <font>
      <sz val="10"/>
      <name val="Arial"/>
    </font>
    <font>
      <u/>
      <sz val="10"/>
      <color indexed="12"/>
      <name val="Arial"/>
    </font>
    <font>
      <sz val="8"/>
      <name val="Arial"/>
    </font>
    <font>
      <sz val="8"/>
      <color indexed="81"/>
      <name val="Tahoma"/>
    </font>
    <font>
      <sz val="10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21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49" fontId="21" fillId="0" borderId="11" xfId="0" applyNumberFormat="1" applyFont="1" applyFill="1" applyBorder="1" applyAlignment="1">
      <alignment horizontal="left" indent="2"/>
    </xf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37" fillId="30" borderId="55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6" xfId="0" applyFont="1" applyFill="1" applyBorder="1" applyAlignment="1">
      <alignment wrapText="1"/>
    </xf>
    <xf numFmtId="0" fontId="21" fillId="30" borderId="57" xfId="0" applyFont="1" applyFill="1" applyBorder="1" applyAlignment="1">
      <alignment wrapText="1"/>
    </xf>
    <xf numFmtId="0" fontId="21" fillId="30" borderId="57" xfId="0" quotePrefix="1" applyFont="1" applyFill="1" applyBorder="1" applyAlignment="1">
      <alignment horizontal="left"/>
    </xf>
    <xf numFmtId="0" fontId="21" fillId="30" borderId="58" xfId="0" applyFont="1" applyFill="1" applyBorder="1" applyAlignment="1">
      <alignment horizontal="left"/>
    </xf>
    <xf numFmtId="0" fontId="21" fillId="30" borderId="58" xfId="36" applyFont="1" applyFill="1" applyBorder="1" applyAlignment="1" applyProtection="1">
      <alignment horizontal="left" wrapText="1"/>
    </xf>
    <xf numFmtId="0" fontId="21" fillId="30" borderId="59" xfId="36" applyFont="1" applyFill="1" applyBorder="1" applyAlignment="1" applyProtection="1">
      <alignment horizontal="left"/>
    </xf>
    <xf numFmtId="0" fontId="21" fillId="0" borderId="60" xfId="0" applyFont="1" applyFill="1" applyBorder="1"/>
    <xf numFmtId="0" fontId="21" fillId="0" borderId="61" xfId="0" applyFont="1" applyFill="1" applyBorder="1" applyAlignment="1">
      <alignment horizontal="left" vertical="top"/>
    </xf>
    <xf numFmtId="0" fontId="21" fillId="0" borderId="62" xfId="0" applyFont="1" applyFill="1" applyBorder="1" applyAlignment="1">
      <alignment horizontal="left"/>
    </xf>
    <xf numFmtId="0" fontId="21" fillId="0" borderId="62" xfId="36" applyFont="1" applyFill="1" applyBorder="1" applyAlignment="1" applyProtection="1">
      <alignment horizontal="left" wrapText="1"/>
    </xf>
    <xf numFmtId="0" fontId="21" fillId="0" borderId="63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64" fontId="21" fillId="0" borderId="0" xfId="0" applyNumberFormat="1" applyFont="1" applyBorder="1"/>
    <xf numFmtId="164" fontId="21" fillId="0" borderId="0" xfId="0" applyNumberFormat="1" applyFont="1" applyFill="1" applyBorder="1"/>
    <xf numFmtId="164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65" fontId="21" fillId="0" borderId="0" xfId="0" applyNumberFormat="1" applyFont="1" applyFill="1" applyBorder="1"/>
    <xf numFmtId="165" fontId="21" fillId="31" borderId="0" xfId="0" applyNumberFormat="1" applyFont="1" applyFill="1" applyBorder="1"/>
    <xf numFmtId="164" fontId="21" fillId="0" borderId="0" xfId="0" applyNumberFormat="1" applyFont="1"/>
    <xf numFmtId="164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40" fillId="20" borderId="0" xfId="0" applyFont="1" applyFill="1" applyBorder="1"/>
    <xf numFmtId="0" fontId="39" fillId="0" borderId="0" xfId="0" applyFont="1" applyFill="1" applyBorder="1"/>
    <xf numFmtId="0" fontId="39" fillId="0" borderId="0" xfId="0" applyFont="1" applyBorder="1"/>
    <xf numFmtId="0" fontId="39" fillId="0" borderId="0" xfId="0" applyFont="1"/>
    <xf numFmtId="0" fontId="21" fillId="30" borderId="68" xfId="0" applyFont="1" applyFill="1" applyBorder="1" applyAlignment="1">
      <alignment horizontal="left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9" fillId="0" borderId="0" xfId="0" applyFont="1" applyAlignment="1"/>
    <xf numFmtId="0" fontId="36" fillId="28" borderId="65" xfId="0" applyFont="1" applyFill="1" applyBorder="1" applyAlignment="1">
      <alignment horizontal="center"/>
    </xf>
    <xf numFmtId="0" fontId="36" fillId="28" borderId="66" xfId="0" applyFont="1" applyFill="1" applyBorder="1" applyAlignment="1">
      <alignment horizontal="center"/>
    </xf>
    <xf numFmtId="0" fontId="36" fillId="28" borderId="6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4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9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09"/>
          <c:y val="6.8650324369831123E-2"/>
        </c:manualLayout>
      </c:layout>
    </c:title>
    <c:plotArea>
      <c:layout>
        <c:manualLayout>
          <c:layoutTarget val="inner"/>
          <c:xMode val="edge"/>
          <c:yMode val="edge"/>
          <c:x val="0.12226840875659777"/>
          <c:y val="0.24528341504481754"/>
          <c:w val="0.58462818951754747"/>
          <c:h val="0.4415102474761339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</c:numCache>
            </c:numRef>
          </c:val>
        </c:ser>
        <c:axId val="62868096"/>
        <c:axId val="62874752"/>
      </c:areaChart>
      <c:catAx>
        <c:axId val="628680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62"/>
              <c:y val="0.8605769230769228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8747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2874752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62868096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2"/>
          <c:h val="0.4674709057594218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9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27E-2"/>
        </c:manualLayout>
      </c:layout>
    </c:title>
    <c:plotArea>
      <c:layout>
        <c:manualLayout>
          <c:layoutTarget val="inner"/>
          <c:xMode val="edge"/>
          <c:yMode val="edge"/>
          <c:x val="0.1191861310993504"/>
          <c:y val="0.1729323308270678"/>
          <c:w val="0.72106640804940825"/>
          <c:h val="0.47368421052631576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axId val="62998016"/>
        <c:axId val="62999936"/>
      </c:areaChart>
      <c:lineChart>
        <c:grouping val="standard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62998016"/>
        <c:axId val="62999936"/>
      </c:lineChart>
      <c:catAx>
        <c:axId val="629980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06"/>
              <c:y val="0.86570743405275785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9999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2999936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68E-2"/>
              <c:y val="0.27817745803357313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299801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3"/>
          <c:y val="0.16635131134923922"/>
          <c:w val="0.13741881036240838"/>
          <c:h val="0.5792177293627768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Y55"/>
  <sheetViews>
    <sheetView tabSelected="1" zoomScaleNormal="120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C14" sqref="C14"/>
    </sheetView>
  </sheetViews>
  <sheetFormatPr defaultRowHeight="12.75" outlineLevelCol="1"/>
  <cols>
    <col min="1" max="1" width="12.140625" style="6" customWidth="1"/>
    <col min="2" max="2" width="6" style="6" customWidth="1"/>
    <col min="3" max="3" width="65.85546875" style="6" customWidth="1"/>
    <col min="4" max="4" width="9" style="6" bestFit="1" customWidth="1"/>
    <col min="5" max="5" width="7" style="6" customWidth="1"/>
    <col min="6" max="6" width="5.28515625" style="6" bestFit="1" customWidth="1"/>
    <col min="7" max="7" width="4.28515625" style="6" customWidth="1"/>
    <col min="8" max="9" width="3.28515625" style="200" customWidth="1"/>
    <col min="10" max="10" width="2.42578125" style="6" customWidth="1"/>
    <col min="11" max="12" width="3.28515625" style="6" customWidth="1"/>
    <col min="13" max="13" width="2.42578125" style="6" customWidth="1"/>
    <col min="14" max="15" width="3.28515625" style="6" customWidth="1"/>
    <col min="16" max="16" width="2.42578125" style="6" customWidth="1"/>
    <col min="17" max="18" width="3.28515625" style="6" customWidth="1"/>
    <col min="19" max="19" width="2.42578125" style="6" customWidth="1"/>
    <col min="20" max="21" width="3.28515625" style="6" customWidth="1"/>
    <col min="22" max="22" width="2.42578125" style="6" customWidth="1"/>
    <col min="23" max="24" width="3.28515625" style="6" customWidth="1"/>
    <col min="25" max="25" width="2.42578125" style="6" customWidth="1"/>
    <col min="26" max="27" width="3.28515625" style="6" customWidth="1"/>
    <col min="28" max="28" width="2.42578125" style="6" customWidth="1"/>
    <col min="29" max="30" width="3.28515625" style="6" customWidth="1"/>
    <col min="31" max="31" width="2.42578125" style="6" customWidth="1"/>
    <col min="32" max="33" width="3.28515625" style="6" customWidth="1"/>
    <col min="34" max="34" width="2.42578125" style="6" customWidth="1"/>
    <col min="35" max="36" width="3.28515625" style="6" customWidth="1"/>
    <col min="37" max="37" width="2.42578125" style="6" customWidth="1"/>
    <col min="38" max="39" width="3.28515625" style="6" customWidth="1"/>
    <col min="40" max="40" width="2.42578125" style="6" customWidth="1"/>
    <col min="41" max="42" width="3.28515625" style="6" customWidth="1"/>
    <col min="43" max="43" width="2.42578125" style="6" customWidth="1"/>
    <col min="44" max="45" width="3.28515625" style="6" customWidth="1"/>
    <col min="46" max="46" width="2.42578125" style="6" customWidth="1"/>
    <col min="47" max="48" width="3.28515625" style="6" customWidth="1"/>
    <col min="49" max="49" width="2.42578125" style="6" customWidth="1"/>
    <col min="50" max="51" width="3.28515625" style="6" customWidth="1"/>
    <col min="52" max="52" width="2.42578125" style="6" customWidth="1"/>
    <col min="53" max="54" width="3.28515625" style="6" customWidth="1"/>
    <col min="55" max="55" width="2.42578125" style="6" customWidth="1"/>
    <col min="56" max="57" width="3.28515625" style="6" customWidth="1"/>
    <col min="58" max="58" width="2.42578125" style="6" customWidth="1"/>
    <col min="59" max="60" width="3.28515625" style="6" customWidth="1"/>
    <col min="61" max="61" width="2.42578125" style="6" customWidth="1"/>
    <col min="62" max="63" width="3.28515625" style="6" customWidth="1"/>
    <col min="64" max="64" width="2.42578125" style="6" customWidth="1"/>
    <col min="65" max="66" width="3.28515625" style="6" customWidth="1"/>
    <col min="67" max="67" width="2.42578125" style="6" customWidth="1"/>
    <col min="68" max="69" width="3.28515625" style="6" customWidth="1"/>
    <col min="70" max="70" width="2.42578125" style="6" customWidth="1"/>
    <col min="71" max="72" width="3.28515625" style="6" customWidth="1"/>
    <col min="73" max="73" width="2.42578125" style="6" customWidth="1"/>
    <col min="74" max="75" width="3.28515625" style="6" customWidth="1"/>
    <col min="76" max="76" width="2.42578125" style="6" customWidth="1"/>
    <col min="77" max="78" width="3.28515625" style="6" customWidth="1"/>
    <col min="79" max="79" width="2.42578125" style="6" customWidth="1"/>
    <col min="80" max="81" width="3.28515625" style="6" customWidth="1"/>
    <col min="82" max="82" width="2.42578125" style="6" customWidth="1"/>
    <col min="83" max="84" width="3.28515625" style="6" customWidth="1"/>
    <col min="85" max="85" width="2.42578125" style="6" customWidth="1"/>
    <col min="86" max="87" width="3.28515625" style="6" customWidth="1"/>
    <col min="88" max="88" width="2.42578125" style="6" customWidth="1"/>
    <col min="89" max="90" width="3.28515625" style="6" customWidth="1"/>
    <col min="91" max="91" width="2.42578125" style="6" customWidth="1"/>
    <col min="92" max="93" width="3.28515625" style="6" customWidth="1"/>
    <col min="94" max="94" width="2.42578125" style="6" customWidth="1"/>
    <col min="95" max="96" width="3.28515625" style="6" customWidth="1"/>
    <col min="97" max="97" width="2.42578125" style="6" customWidth="1"/>
    <col min="98" max="99" width="3.28515625" style="6" hidden="1" customWidth="1" outlineLevel="1"/>
    <col min="100" max="100" width="2.42578125" style="6" hidden="1" customWidth="1" outlineLevel="1"/>
    <col min="101" max="102" width="3.28515625" style="6" hidden="1" customWidth="1" outlineLevel="1"/>
    <col min="103" max="103" width="2.42578125" style="6" hidden="1" customWidth="1" outlineLevel="1"/>
    <col min="104" max="105" width="3.28515625" style="6" hidden="1" customWidth="1" outlineLevel="1"/>
    <col min="106" max="106" width="2.42578125" style="6" hidden="1" customWidth="1" outlineLevel="1"/>
    <col min="107" max="108" width="3.28515625" style="6" hidden="1" customWidth="1" outlineLevel="1"/>
    <col min="109" max="109" width="2.42578125" style="6" hidden="1" customWidth="1" outlineLevel="1"/>
    <col min="110" max="111" width="3.28515625" style="6" hidden="1" customWidth="1" outlineLevel="1"/>
    <col min="112" max="112" width="2.42578125" style="6" hidden="1" customWidth="1" outlineLevel="1"/>
    <col min="113" max="114" width="3.28515625" style="6" hidden="1" customWidth="1" outlineLevel="1"/>
    <col min="115" max="115" width="2.42578125" style="6" hidden="1" customWidth="1" outlineLevel="1"/>
    <col min="116" max="117" width="3.28515625" style="6" hidden="1" customWidth="1" outlineLevel="1"/>
    <col min="118" max="118" width="2.42578125" style="6" hidden="1" customWidth="1" outlineLevel="1"/>
    <col min="119" max="120" width="3.28515625" style="6" hidden="1" customWidth="1" outlineLevel="1"/>
    <col min="121" max="121" width="2.42578125" style="6" hidden="1" customWidth="1" outlineLevel="1"/>
    <col min="122" max="123" width="3.28515625" style="6" hidden="1" customWidth="1" outlineLevel="1"/>
    <col min="124" max="124" width="2.42578125" style="6" hidden="1" customWidth="1" outlineLevel="1"/>
    <col min="125" max="126" width="3.28515625" style="6" hidden="1" customWidth="1" outlineLevel="1"/>
    <col min="127" max="127" width="2.42578125" style="6" hidden="1" customWidth="1" outlineLevel="1"/>
    <col min="128" max="128" width="2.42578125" style="6" customWidth="1" collapsed="1"/>
    <col min="129" max="129" width="6.5703125" style="6" customWidth="1"/>
    <col min="130" max="16384" width="9.140625" style="6"/>
  </cols>
  <sheetData>
    <row r="1" spans="1:129">
      <c r="A1" s="1"/>
      <c r="B1" s="1"/>
      <c r="C1" s="2"/>
      <c r="D1" s="3" t="s">
        <v>24</v>
      </c>
      <c r="E1" s="4">
        <v>38901</v>
      </c>
      <c r="F1" s="1"/>
      <c r="G1" s="1"/>
      <c r="H1" s="202">
        <f>SprintStart</f>
        <v>39314</v>
      </c>
      <c r="I1" s="202"/>
      <c r="J1" s="202"/>
      <c r="K1" s="202">
        <f>IF(AND(SkipWeekends, WEEKDAY(H1)=6),H1+3, H1+1)</f>
        <v>39315</v>
      </c>
      <c r="L1" s="202"/>
      <c r="M1" s="202"/>
      <c r="N1" s="202">
        <f>IF(AND(SkipWeekends, WEEKDAY(K1)=6),K1+3, K1+1)</f>
        <v>39316</v>
      </c>
      <c r="O1" s="202"/>
      <c r="P1" s="202"/>
      <c r="Q1" s="202">
        <f>IF(AND(SkipWeekends, WEEKDAY(N1)=6),N1+3, N1+1)</f>
        <v>39317</v>
      </c>
      <c r="R1" s="202"/>
      <c r="S1" s="202"/>
      <c r="T1" s="202">
        <f>IF(AND(SkipWeekends, WEEKDAY(Q1)=6),Q1+3, Q1+1)</f>
        <v>39318</v>
      </c>
      <c r="U1" s="202"/>
      <c r="V1" s="202"/>
      <c r="W1" s="202">
        <f>IF(AND(SkipWeekends, WEEKDAY(T1)=6),T1+3, T1+1)</f>
        <v>39319</v>
      </c>
      <c r="X1" s="202"/>
      <c r="Y1" s="202"/>
      <c r="Z1" s="202">
        <f>IF(AND(SkipWeekends, WEEKDAY(W1)=6),W1+3, W1+1)</f>
        <v>39320</v>
      </c>
      <c r="AA1" s="202"/>
      <c r="AB1" s="202"/>
      <c r="AC1" s="202">
        <f>IF(AND(SkipWeekends, WEEKDAY(Z1)=6),Z1+3, Z1+1)</f>
        <v>39321</v>
      </c>
      <c r="AD1" s="202"/>
      <c r="AE1" s="202"/>
      <c r="AF1" s="202">
        <f>IF(AND(SkipWeekends, WEEKDAY(AC1)=6),AC1+3, AC1+1)</f>
        <v>39322</v>
      </c>
      <c r="AG1" s="202"/>
      <c r="AH1" s="202"/>
      <c r="AI1" s="202">
        <f>IF(AND(SkipWeekends, WEEKDAY(AF1)=6),AF1+3, AF1+1)</f>
        <v>39323</v>
      </c>
      <c r="AJ1" s="202"/>
      <c r="AK1" s="202"/>
      <c r="AL1" s="202">
        <f>IF(AND(SkipWeekends, WEEKDAY(AI1)=6),AI1+3, AI1+1)</f>
        <v>39324</v>
      </c>
      <c r="AM1" s="202"/>
      <c r="AN1" s="202"/>
      <c r="AO1" s="202">
        <f>IF(AND(SkipWeekends, WEEKDAY(AL1)=6),AL1+3, AL1+1)</f>
        <v>39325</v>
      </c>
      <c r="AP1" s="202"/>
      <c r="AQ1" s="202"/>
      <c r="AR1" s="202">
        <f>IF(AND(SkipWeekends, WEEKDAY(AO1)=6),AO1+3, AO1+1)</f>
        <v>39326</v>
      </c>
      <c r="AS1" s="202"/>
      <c r="AT1" s="202"/>
      <c r="AU1" s="202">
        <f>IF(AND(SkipWeekends, WEEKDAY(AR1)=6),AR1+3, AR1+1)</f>
        <v>39327</v>
      </c>
      <c r="AV1" s="202"/>
      <c r="AW1" s="202"/>
      <c r="AX1" s="202">
        <f>IF(AND(SkipWeekends, WEEKDAY(AU1)=6),AU1+3, AU1+1)</f>
        <v>39328</v>
      </c>
      <c r="AY1" s="202"/>
      <c r="AZ1" s="202"/>
      <c r="BA1" s="202">
        <f>IF(AND(SkipWeekends, WEEKDAY(AX1)=6),AX1+3, AX1+1)</f>
        <v>39329</v>
      </c>
      <c r="BB1" s="202"/>
      <c r="BC1" s="202"/>
      <c r="BD1" s="202">
        <f>IF(AND(SkipWeekends, WEEKDAY(BA1)=6),BA1+3, BA1+1)</f>
        <v>39330</v>
      </c>
      <c r="BE1" s="202"/>
      <c r="BF1" s="202"/>
      <c r="BG1" s="202">
        <f>IF(AND(SkipWeekends, WEEKDAY(BD1)=6),BD1+3, BD1+1)</f>
        <v>39331</v>
      </c>
      <c r="BH1" s="202"/>
      <c r="BI1" s="202"/>
      <c r="BJ1" s="202">
        <f>IF(AND(SkipWeekends, WEEKDAY(BG1)=6),BG1+3, BG1+1)</f>
        <v>39332</v>
      </c>
      <c r="BK1" s="202"/>
      <c r="BL1" s="202"/>
      <c r="BM1" s="202">
        <f>IF(AND(SkipWeekends, WEEKDAY(BJ1)=6),BJ1+3, BJ1+1)</f>
        <v>39333</v>
      </c>
      <c r="BN1" s="202"/>
      <c r="BO1" s="202"/>
      <c r="BP1" s="202">
        <f>IF(AND(SkipWeekends, WEEKDAY(BM1)=6),BM1+3, BM1+1)</f>
        <v>39334</v>
      </c>
      <c r="BQ1" s="202"/>
      <c r="BR1" s="202"/>
      <c r="BS1" s="202">
        <f>IF(AND(SkipWeekends, WEEKDAY(BP1)=6),BP1+3, BP1+1)</f>
        <v>39335</v>
      </c>
      <c r="BT1" s="202"/>
      <c r="BU1" s="202"/>
      <c r="BV1" s="202">
        <f>IF(AND(SkipWeekends, WEEKDAY(BS1)=6),BS1+3, BS1+1)</f>
        <v>39336</v>
      </c>
      <c r="BW1" s="202"/>
      <c r="BX1" s="202"/>
      <c r="BY1" s="202">
        <f>IF(AND(SkipWeekends, WEEKDAY(BV1)=6),BV1+3, BV1+1)</f>
        <v>39337</v>
      </c>
      <c r="BZ1" s="202"/>
      <c r="CA1" s="202"/>
      <c r="CB1" s="202">
        <f>IF(AND(SkipWeekends, WEEKDAY(BY1)=6),BY1+3, BY1+1)</f>
        <v>39338</v>
      </c>
      <c r="CC1" s="202"/>
      <c r="CD1" s="202"/>
      <c r="CE1" s="202">
        <f>IF(AND(SkipWeekends, WEEKDAY(CB1)=6),CB1+3, CB1+1)</f>
        <v>39339</v>
      </c>
      <c r="CF1" s="202"/>
      <c r="CG1" s="202"/>
      <c r="CH1" s="202">
        <f>IF(AND(SkipWeekends, WEEKDAY(CE1)=6),CE1+3, CE1+1)</f>
        <v>39340</v>
      </c>
      <c r="CI1" s="202"/>
      <c r="CJ1" s="202"/>
      <c r="CK1" s="202">
        <f>IF(AND(SkipWeekends, WEEKDAY(CH1)=6),CH1+3, CH1+1)</f>
        <v>39341</v>
      </c>
      <c r="CL1" s="202"/>
      <c r="CM1" s="202"/>
      <c r="CN1" s="202">
        <f>IF(AND(SkipWeekends, WEEKDAY(CK1)=6),CK1+3, CK1+1)</f>
        <v>39342</v>
      </c>
      <c r="CO1" s="202"/>
      <c r="CP1" s="202"/>
      <c r="CQ1" s="202">
        <f>IF(AND(SkipWeekends, WEEKDAY(CN1)=6),CN1+3, CN1+1)</f>
        <v>39343</v>
      </c>
      <c r="CR1" s="202"/>
      <c r="CS1" s="202"/>
      <c r="CT1" s="202">
        <f>IF(AND(SkipWeekends, WEEKDAY(CQ1)=6),CQ1+3, CQ1+1)</f>
        <v>39344</v>
      </c>
      <c r="CU1" s="202"/>
      <c r="CV1" s="202"/>
      <c r="CW1" s="202">
        <f>IF(AND(SkipWeekends, WEEKDAY(CT1)=6),CT1+3, CT1+1)</f>
        <v>39345</v>
      </c>
      <c r="CX1" s="202"/>
      <c r="CY1" s="202"/>
      <c r="CZ1" s="202">
        <f>IF(AND(SkipWeekends, WEEKDAY(CW1)=6),CW1+3, CW1+1)</f>
        <v>39346</v>
      </c>
      <c r="DA1" s="202"/>
      <c r="DB1" s="202"/>
      <c r="DC1" s="202">
        <f>IF(AND(SkipWeekends, WEEKDAY(CZ1)=6),CZ1+3, CZ1+1)</f>
        <v>39347</v>
      </c>
      <c r="DD1" s="202"/>
      <c r="DE1" s="202"/>
      <c r="DF1" s="202">
        <f>IF(AND(SkipWeekends, WEEKDAY(DC1)=6),DC1+3, DC1+1)</f>
        <v>39348</v>
      </c>
      <c r="DG1" s="202"/>
      <c r="DH1" s="202"/>
      <c r="DI1" s="202">
        <f>IF(AND(SkipWeekends, WEEKDAY(DF1)=6),DF1+3, DF1+1)</f>
        <v>39349</v>
      </c>
      <c r="DJ1" s="202"/>
      <c r="DK1" s="202"/>
      <c r="DL1" s="202">
        <f>IF(AND(SkipWeekends, WEEKDAY(DI1)=6),DI1+3, DI1+1)</f>
        <v>39350</v>
      </c>
      <c r="DM1" s="202"/>
      <c r="DN1" s="202"/>
      <c r="DO1" s="202">
        <f>IF(AND(SkipWeekends, WEEKDAY(DL1)=6),DL1+3, DL1+1)</f>
        <v>39351</v>
      </c>
      <c r="DP1" s="202"/>
      <c r="DQ1" s="202"/>
      <c r="DR1" s="202">
        <f>IF(AND(SkipWeekends, WEEKDAY(DO1)=6),DO1+3, DO1+1)</f>
        <v>39352</v>
      </c>
      <c r="DS1" s="202"/>
      <c r="DT1" s="202"/>
      <c r="DU1" s="202">
        <f>IF(AND(SkipWeekends, WEEKDAY(DR1)=6),DR1+3, DR1+1)</f>
        <v>39353</v>
      </c>
      <c r="DV1" s="202"/>
      <c r="DW1" s="202"/>
      <c r="DX1" s="5"/>
      <c r="DY1" s="1"/>
    </row>
    <row r="2" spans="1:129">
      <c r="A2" s="1"/>
      <c r="B2" s="1"/>
      <c r="C2" s="7"/>
      <c r="D2" s="8"/>
      <c r="E2" s="9"/>
      <c r="F2" s="1"/>
      <c r="G2" s="1"/>
      <c r="H2" s="193"/>
      <c r="I2" s="193" t="s">
        <v>63</v>
      </c>
      <c r="J2" s="10"/>
      <c r="K2" s="10"/>
      <c r="L2" s="10" t="s">
        <v>64</v>
      </c>
      <c r="M2" s="10"/>
      <c r="N2" s="10"/>
      <c r="O2" s="10" t="s">
        <v>65</v>
      </c>
      <c r="P2" s="10"/>
      <c r="Q2" s="10"/>
      <c r="R2" s="10" t="s">
        <v>66</v>
      </c>
      <c r="S2" s="10"/>
      <c r="T2" s="10"/>
      <c r="U2" s="10" t="s">
        <v>67</v>
      </c>
      <c r="V2" s="10"/>
      <c r="W2" s="10"/>
      <c r="X2" s="10" t="s">
        <v>68</v>
      </c>
      <c r="Y2" s="10"/>
      <c r="Z2" s="10"/>
      <c r="AA2" s="10" t="s">
        <v>69</v>
      </c>
      <c r="AB2" s="10"/>
      <c r="AC2" s="10"/>
      <c r="AD2" s="10" t="s">
        <v>70</v>
      </c>
      <c r="AE2" s="10"/>
      <c r="AF2" s="10"/>
      <c r="AG2" s="10" t="s">
        <v>71</v>
      </c>
      <c r="AH2" s="10"/>
      <c r="AI2" s="10"/>
      <c r="AJ2" s="10" t="s">
        <v>72</v>
      </c>
      <c r="AK2" s="10"/>
      <c r="AL2" s="10"/>
      <c r="AM2" s="10" t="s">
        <v>73</v>
      </c>
      <c r="AN2" s="10"/>
      <c r="AO2" s="10"/>
      <c r="AP2" s="10" t="s">
        <v>74</v>
      </c>
      <c r="AQ2" s="10"/>
      <c r="AR2" s="10"/>
      <c r="AS2" s="10" t="s">
        <v>75</v>
      </c>
      <c r="AT2" s="10"/>
      <c r="AU2" s="10"/>
      <c r="AV2" s="10" t="s">
        <v>76</v>
      </c>
      <c r="AW2" s="10"/>
      <c r="AX2" s="10"/>
      <c r="AY2" s="10" t="s">
        <v>77</v>
      </c>
      <c r="AZ2" s="10"/>
      <c r="BA2" s="10"/>
      <c r="BB2" s="10" t="s">
        <v>78</v>
      </c>
      <c r="BC2" s="10"/>
      <c r="BD2" s="10"/>
      <c r="BE2" s="10" t="s">
        <v>79</v>
      </c>
      <c r="BF2" s="10"/>
      <c r="BG2" s="10"/>
      <c r="BH2" s="10" t="s">
        <v>80</v>
      </c>
      <c r="BI2" s="10"/>
      <c r="BJ2" s="10"/>
      <c r="BK2" s="10" t="s">
        <v>81</v>
      </c>
      <c r="BL2" s="10"/>
      <c r="BM2" s="10"/>
      <c r="BN2" s="10" t="s">
        <v>82</v>
      </c>
      <c r="BO2" s="10"/>
      <c r="BP2" s="10"/>
      <c r="BQ2" s="10" t="s">
        <v>83</v>
      </c>
      <c r="BR2" s="10"/>
      <c r="BS2" s="10"/>
      <c r="BT2" s="10" t="s">
        <v>84</v>
      </c>
      <c r="BU2" s="10"/>
      <c r="BV2" s="10"/>
      <c r="BW2" s="10" t="s">
        <v>85</v>
      </c>
      <c r="BX2" s="10"/>
      <c r="BY2" s="10"/>
      <c r="BZ2" s="10" t="s">
        <v>86</v>
      </c>
      <c r="CA2" s="10"/>
      <c r="CB2" s="10"/>
      <c r="CC2" s="10" t="s">
        <v>87</v>
      </c>
      <c r="CD2" s="10"/>
      <c r="CE2" s="10"/>
      <c r="CF2" s="10" t="s">
        <v>88</v>
      </c>
      <c r="CG2" s="10"/>
      <c r="CH2" s="10"/>
      <c r="CI2" s="10" t="s">
        <v>89</v>
      </c>
      <c r="CJ2" s="10"/>
      <c r="CK2" s="10"/>
      <c r="CL2" s="10" t="s">
        <v>90</v>
      </c>
      <c r="CM2" s="10"/>
      <c r="CN2" s="10"/>
      <c r="CO2" s="10" t="s">
        <v>91</v>
      </c>
      <c r="CP2" s="10"/>
      <c r="CQ2" s="10"/>
      <c r="CR2" s="10" t="s">
        <v>92</v>
      </c>
      <c r="CS2" s="10"/>
      <c r="CT2" s="10"/>
      <c r="CU2" s="10" t="s">
        <v>93</v>
      </c>
      <c r="CV2" s="10"/>
      <c r="CW2" s="10"/>
      <c r="CX2" s="10" t="s">
        <v>94</v>
      </c>
      <c r="CY2" s="10"/>
      <c r="CZ2" s="10"/>
      <c r="DA2" s="10" t="s">
        <v>95</v>
      </c>
      <c r="DB2" s="10"/>
      <c r="DC2" s="10"/>
      <c r="DD2" s="10" t="s">
        <v>96</v>
      </c>
      <c r="DE2" s="10"/>
      <c r="DF2" s="10"/>
      <c r="DG2" s="10" t="s">
        <v>97</v>
      </c>
      <c r="DH2" s="10"/>
      <c r="DI2" s="10"/>
      <c r="DJ2" s="10" t="s">
        <v>98</v>
      </c>
      <c r="DK2" s="10"/>
      <c r="DL2" s="10"/>
      <c r="DM2" s="10" t="s">
        <v>99</v>
      </c>
      <c r="DN2" s="10"/>
      <c r="DO2" s="10"/>
      <c r="DP2" s="10" t="s">
        <v>100</v>
      </c>
      <c r="DQ2" s="10"/>
      <c r="DR2" s="10"/>
      <c r="DS2" s="10" t="s">
        <v>101</v>
      </c>
      <c r="DT2" s="10"/>
      <c r="DU2" s="10"/>
      <c r="DV2" s="10" t="s">
        <v>102</v>
      </c>
      <c r="DW2" s="10"/>
      <c r="DX2" s="5"/>
      <c r="DY2" s="1"/>
    </row>
    <row r="3" spans="1:129" ht="38.25" customHeight="1">
      <c r="A3" s="11" t="s">
        <v>103</v>
      </c>
      <c r="B3" s="11" t="s">
        <v>104</v>
      </c>
      <c r="C3" s="1" t="s">
        <v>105</v>
      </c>
      <c r="D3" s="1" t="s">
        <v>0</v>
      </c>
      <c r="E3" s="1" t="s">
        <v>1</v>
      </c>
      <c r="F3" s="12" t="s">
        <v>2</v>
      </c>
      <c r="G3" s="12" t="s">
        <v>106</v>
      </c>
      <c r="H3" s="194" t="s">
        <v>13</v>
      </c>
      <c r="I3" s="195" t="s">
        <v>3</v>
      </c>
      <c r="J3" s="14"/>
      <c r="K3" s="13" t="s">
        <v>13</v>
      </c>
      <c r="L3" s="14" t="s">
        <v>3</v>
      </c>
      <c r="M3" s="14"/>
      <c r="N3" s="13" t="s">
        <v>13</v>
      </c>
      <c r="O3" s="14" t="s">
        <v>3</v>
      </c>
      <c r="P3" s="14"/>
      <c r="Q3" s="13" t="s">
        <v>13</v>
      </c>
      <c r="R3" s="14" t="s">
        <v>3</v>
      </c>
      <c r="S3" s="14"/>
      <c r="T3" s="13" t="s">
        <v>13</v>
      </c>
      <c r="U3" s="14" t="s">
        <v>3</v>
      </c>
      <c r="V3" s="14"/>
      <c r="W3" s="13" t="s">
        <v>13</v>
      </c>
      <c r="X3" s="14" t="s">
        <v>3</v>
      </c>
      <c r="Y3" s="14"/>
      <c r="Z3" s="13" t="s">
        <v>13</v>
      </c>
      <c r="AA3" s="14" t="s">
        <v>3</v>
      </c>
      <c r="AB3" s="14"/>
      <c r="AC3" s="13" t="s">
        <v>13</v>
      </c>
      <c r="AD3" s="14" t="s">
        <v>3</v>
      </c>
      <c r="AE3" s="14"/>
      <c r="AF3" s="13" t="s">
        <v>13</v>
      </c>
      <c r="AG3" s="14" t="s">
        <v>3</v>
      </c>
      <c r="AH3" s="14"/>
      <c r="AI3" s="13" t="s">
        <v>13</v>
      </c>
      <c r="AJ3" s="14" t="s">
        <v>3</v>
      </c>
      <c r="AK3" s="14"/>
      <c r="AL3" s="13" t="s">
        <v>13</v>
      </c>
      <c r="AM3" s="14" t="s">
        <v>3</v>
      </c>
      <c r="AN3" s="14"/>
      <c r="AO3" s="13" t="s">
        <v>13</v>
      </c>
      <c r="AP3" s="14" t="s">
        <v>3</v>
      </c>
      <c r="AQ3" s="14"/>
      <c r="AR3" s="13" t="s">
        <v>13</v>
      </c>
      <c r="AS3" s="14" t="s">
        <v>3</v>
      </c>
      <c r="AT3" s="14"/>
      <c r="AU3" s="13" t="s">
        <v>13</v>
      </c>
      <c r="AV3" s="14" t="s">
        <v>3</v>
      </c>
      <c r="AW3" s="14"/>
      <c r="AX3" s="13" t="s">
        <v>13</v>
      </c>
      <c r="AY3" s="14" t="s">
        <v>3</v>
      </c>
      <c r="AZ3" s="14"/>
      <c r="BA3" s="13" t="s">
        <v>13</v>
      </c>
      <c r="BB3" s="14" t="s">
        <v>3</v>
      </c>
      <c r="BC3" s="14"/>
      <c r="BD3" s="13" t="s">
        <v>13</v>
      </c>
      <c r="BE3" s="14" t="s">
        <v>3</v>
      </c>
      <c r="BF3" s="14"/>
      <c r="BG3" s="13" t="s">
        <v>13</v>
      </c>
      <c r="BH3" s="14" t="s">
        <v>3</v>
      </c>
      <c r="BI3" s="14"/>
      <c r="BJ3" s="13" t="s">
        <v>13</v>
      </c>
      <c r="BK3" s="14" t="s">
        <v>3</v>
      </c>
      <c r="BL3" s="14"/>
      <c r="BM3" s="13" t="s">
        <v>13</v>
      </c>
      <c r="BN3" s="14" t="s">
        <v>3</v>
      </c>
      <c r="BO3" s="14"/>
      <c r="BP3" s="13" t="s">
        <v>13</v>
      </c>
      <c r="BQ3" s="14" t="s">
        <v>3</v>
      </c>
      <c r="BR3" s="14"/>
      <c r="BS3" s="13" t="s">
        <v>13</v>
      </c>
      <c r="BT3" s="14" t="s">
        <v>3</v>
      </c>
      <c r="BU3" s="14"/>
      <c r="BV3" s="13" t="s">
        <v>13</v>
      </c>
      <c r="BW3" s="14" t="s">
        <v>3</v>
      </c>
      <c r="BX3" s="14"/>
      <c r="BY3" s="13" t="s">
        <v>13</v>
      </c>
      <c r="BZ3" s="14" t="s">
        <v>3</v>
      </c>
      <c r="CA3" s="14"/>
      <c r="CB3" s="13" t="s">
        <v>13</v>
      </c>
      <c r="CC3" s="14" t="s">
        <v>3</v>
      </c>
      <c r="CD3" s="14"/>
      <c r="CE3" s="13" t="s">
        <v>13</v>
      </c>
      <c r="CF3" s="14" t="s">
        <v>3</v>
      </c>
      <c r="CG3" s="14"/>
      <c r="CH3" s="13" t="s">
        <v>13</v>
      </c>
      <c r="CI3" s="14" t="s">
        <v>3</v>
      </c>
      <c r="CJ3" s="14"/>
      <c r="CK3" s="13" t="s">
        <v>13</v>
      </c>
      <c r="CL3" s="14" t="s">
        <v>3</v>
      </c>
      <c r="CM3" s="14"/>
      <c r="CN3" s="13" t="s">
        <v>13</v>
      </c>
      <c r="CO3" s="14" t="s">
        <v>3</v>
      </c>
      <c r="CP3" s="14"/>
      <c r="CQ3" s="13" t="s">
        <v>13</v>
      </c>
      <c r="CR3" s="14" t="s">
        <v>3</v>
      </c>
      <c r="CS3" s="14"/>
      <c r="CT3" s="13" t="s">
        <v>13</v>
      </c>
      <c r="CU3" s="14" t="s">
        <v>3</v>
      </c>
      <c r="CV3" s="14"/>
      <c r="CW3" s="13" t="s">
        <v>13</v>
      </c>
      <c r="CX3" s="14" t="s">
        <v>3</v>
      </c>
      <c r="CY3" s="14"/>
      <c r="CZ3" s="13" t="s">
        <v>13</v>
      </c>
      <c r="DA3" s="14" t="s">
        <v>3</v>
      </c>
      <c r="DB3" s="14"/>
      <c r="DC3" s="13" t="s">
        <v>13</v>
      </c>
      <c r="DD3" s="14" t="s">
        <v>3</v>
      </c>
      <c r="DE3" s="14"/>
      <c r="DF3" s="13" t="s">
        <v>13</v>
      </c>
      <c r="DG3" s="14" t="s">
        <v>3</v>
      </c>
      <c r="DH3" s="14"/>
      <c r="DI3" s="13" t="s">
        <v>13</v>
      </c>
      <c r="DJ3" s="14" t="s">
        <v>3</v>
      </c>
      <c r="DK3" s="14"/>
      <c r="DL3" s="13" t="s">
        <v>13</v>
      </c>
      <c r="DM3" s="14" t="s">
        <v>3</v>
      </c>
      <c r="DN3" s="14"/>
      <c r="DO3" s="13" t="s">
        <v>13</v>
      </c>
      <c r="DP3" s="14" t="s">
        <v>3</v>
      </c>
      <c r="DQ3" s="14"/>
      <c r="DR3" s="13" t="s">
        <v>13</v>
      </c>
      <c r="DS3" s="14" t="s">
        <v>3</v>
      </c>
      <c r="DT3" s="14"/>
      <c r="DU3" s="13" t="s">
        <v>13</v>
      </c>
      <c r="DV3" s="14" t="s">
        <v>3</v>
      </c>
      <c r="DW3" s="14"/>
      <c r="DX3" s="14"/>
      <c r="DY3" s="15" t="s">
        <v>31</v>
      </c>
    </row>
    <row r="4" spans="1:129">
      <c r="A4" s="16"/>
      <c r="B4" s="17"/>
      <c r="C4" s="26"/>
      <c r="D4" s="18" t="s">
        <v>54</v>
      </c>
      <c r="E4" s="19" t="str">
        <f t="shared" ref="E4:E45" ca="1" si="0">(INDEX(Burndown,ROW(E4)-ROW(E$3),MIN(TODAY()-SprintStart,29)*3+3))</f>
        <v>Pending</v>
      </c>
      <c r="F4" s="20">
        <v>1</v>
      </c>
      <c r="G4" s="21">
        <v>0</v>
      </c>
      <c r="H4" s="22">
        <v>0</v>
      </c>
      <c r="I4" s="22">
        <f>MAX(G4-H4, 0)</f>
        <v>0</v>
      </c>
      <c r="J4" s="23" t="str">
        <f>IF(SUMPRODUCT($H$48:I$48,$H4:I4)&lt;0.5, "Pending", IF(I4&lt;0.5, "Complete", "In Progress"))</f>
        <v>Pending</v>
      </c>
      <c r="K4" s="22">
        <v>0</v>
      </c>
      <c r="L4" s="22">
        <f>MAX(I4-K4,0)</f>
        <v>0</v>
      </c>
      <c r="M4" s="23" t="str">
        <f>IF(SUMPRODUCT($H$48:L$48,$H4:L4)&lt;0.5, "Pending", IF(L4&lt;0.5, "Complete", "In Progress"))</f>
        <v>Pending</v>
      </c>
      <c r="N4" s="22">
        <v>0</v>
      </c>
      <c r="O4" s="22">
        <f>MAX(L4-N4,0)</f>
        <v>0</v>
      </c>
      <c r="P4" s="23" t="str">
        <f>IF(SUMPRODUCT($H$48:O$48,$H4:O4)&lt;0.5, "Pending", IF(O4&lt;0.5, "Complete", "In Progress"))</f>
        <v>Pending</v>
      </c>
      <c r="Q4" s="22">
        <v>0</v>
      </c>
      <c r="R4" s="22">
        <f>MAX(O4-Q4,0)</f>
        <v>0</v>
      </c>
      <c r="S4" s="23" t="str">
        <f>IF(SUMPRODUCT($H$48:R$48,$H4:R4)&lt;0.5, "Pending", IF(R4&lt;0.5, "Complete", "In Progress"))</f>
        <v>Pending</v>
      </c>
      <c r="T4" s="22">
        <v>0</v>
      </c>
      <c r="U4" s="22">
        <f>MAX(R4-T4,0)</f>
        <v>0</v>
      </c>
      <c r="V4" s="23" t="str">
        <f>IF(SUMPRODUCT($H$48:U$48,$H4:U4)&lt;0.5, "Pending", IF(U4&lt;0.5, "Complete", "In Progress"))</f>
        <v>Pending</v>
      </c>
      <c r="W4" s="22">
        <v>0</v>
      </c>
      <c r="X4" s="22">
        <f>MAX(U4-W4,0)</f>
        <v>0</v>
      </c>
      <c r="Y4" s="23" t="str">
        <f>IF(SUMPRODUCT($H$48:X$48,$H4:X4)&lt;0.5, "Pending", IF(X4&lt;0.5, "Complete", "In Progress"))</f>
        <v>Pending</v>
      </c>
      <c r="Z4" s="22">
        <v>0</v>
      </c>
      <c r="AA4" s="22">
        <f>MAX(X4-Z4,0)</f>
        <v>0</v>
      </c>
      <c r="AB4" s="23" t="str">
        <f>IF(SUMPRODUCT($H$48:AA$48,$H4:AA4)&lt;0.5, "Pending", IF(AA4&lt;0.5, "Complete", "In Progress"))</f>
        <v>Pending</v>
      </c>
      <c r="AC4" s="22">
        <v>0</v>
      </c>
      <c r="AD4" s="22">
        <f>MAX(AA4-AC4,0)</f>
        <v>0</v>
      </c>
      <c r="AE4" s="23" t="str">
        <f>IF(SUMPRODUCT($H$48:AD$48,$H4:AD4)&lt;0.5, "Pending", IF(AD4&lt;0.5, "Complete", "In Progress"))</f>
        <v>Pending</v>
      </c>
      <c r="AF4" s="22">
        <v>0</v>
      </c>
      <c r="AG4" s="22">
        <f>MAX(AD4-AF4,0)</f>
        <v>0</v>
      </c>
      <c r="AH4" s="23" t="str">
        <f>IF(SUMPRODUCT($H$48:AG$48,$H4:AG4)&lt;0.5, "Pending", IF(AG4&lt;0.5, "Complete", "In Progress"))</f>
        <v>Pending</v>
      </c>
      <c r="AI4" s="22">
        <v>0</v>
      </c>
      <c r="AJ4" s="22">
        <f>MAX(AG4-AI4,0)</f>
        <v>0</v>
      </c>
      <c r="AK4" s="23" t="str">
        <f>IF(SUMPRODUCT($H$48:AJ$48,$H4:AJ4)&lt;0.5, "Pending", IF(AJ4&lt;0.5, "Complete", "In Progress"))</f>
        <v>Pending</v>
      </c>
      <c r="AL4" s="22">
        <v>0</v>
      </c>
      <c r="AM4" s="22">
        <f>MAX(AJ4-AL4,0)</f>
        <v>0</v>
      </c>
      <c r="AN4" s="23" t="str">
        <f>IF(SUMPRODUCT($H$48:AM$48,$H4:AM4)&lt;0.5, "Pending", IF(AM4&lt;0.5, "Complete", "In Progress"))</f>
        <v>Pending</v>
      </c>
      <c r="AO4" s="22">
        <v>0</v>
      </c>
      <c r="AP4" s="22">
        <f>MAX(AM4-AO4,0)</f>
        <v>0</v>
      </c>
      <c r="AQ4" s="23" t="str">
        <f>IF(SUMPRODUCT($H$48:AP$48,$H4:AP4)&lt;0.5, "Pending", IF(AP4&lt;0.5, "Complete", "In Progress"))</f>
        <v>Pending</v>
      </c>
      <c r="AR4" s="22">
        <v>0</v>
      </c>
      <c r="AS4" s="22">
        <f>MAX(AP4-AR4,0)</f>
        <v>0</v>
      </c>
      <c r="AT4" s="23" t="str">
        <f>IF(SUMPRODUCT($H$48:AS$48,$H4:AS4)&lt;0.5, "Pending", IF(AS4&lt;0.5, "Complete", "In Progress"))</f>
        <v>Pending</v>
      </c>
      <c r="AU4" s="22">
        <v>0</v>
      </c>
      <c r="AV4" s="22">
        <f>MAX(AS4-AU4,0)</f>
        <v>0</v>
      </c>
      <c r="AW4" s="23" t="str">
        <f>IF(SUMPRODUCT($H$48:AV$48,$H4:AV4)&lt;0.5, "Pending", IF(AV4&lt;0.5, "Complete", "In Progress"))</f>
        <v>Pending</v>
      </c>
      <c r="AX4" s="22">
        <v>0</v>
      </c>
      <c r="AY4" s="22">
        <f>MAX(AV4-AX4,0)</f>
        <v>0</v>
      </c>
      <c r="AZ4" s="23" t="str">
        <f>IF(SUMPRODUCT($H$48:AY$48,$H4:AY4)&lt;0.5, "Pending", IF(AY4&lt;0.5, "Complete", "In Progress"))</f>
        <v>Pending</v>
      </c>
      <c r="BA4" s="22">
        <v>0</v>
      </c>
      <c r="BB4" s="22">
        <f>MAX(AY4-BA4,0)</f>
        <v>0</v>
      </c>
      <c r="BC4" s="23" t="str">
        <f>IF(SUMPRODUCT($H$48:BB$48,$H4:BB4)&lt;0.5, "Pending", IF(BB4&lt;0.5, "Complete", "In Progress"))</f>
        <v>Pending</v>
      </c>
      <c r="BD4" s="22">
        <v>0</v>
      </c>
      <c r="BE4" s="22">
        <f>MAX(BB4-BD4,0)</f>
        <v>0</v>
      </c>
      <c r="BF4" s="23" t="str">
        <f>IF(SUMPRODUCT($H$48:BE$48,$H4:BE4)&lt;0.5, "Pending", IF(BE4&lt;0.5, "Complete", "In Progress"))</f>
        <v>Pending</v>
      </c>
      <c r="BG4" s="22">
        <v>0</v>
      </c>
      <c r="BH4" s="22">
        <f>MAX(BE4-BG4,0)</f>
        <v>0</v>
      </c>
      <c r="BI4" s="23" t="str">
        <f>IF(SUMPRODUCT($H$48:BH$48,$H4:BH4)&lt;0.5, "Pending", IF(BH4&lt;0.5, "Complete", "In Progress"))</f>
        <v>Pending</v>
      </c>
      <c r="BJ4" s="22">
        <v>0</v>
      </c>
      <c r="BK4" s="22">
        <f>MAX(BH4-BJ4,0)</f>
        <v>0</v>
      </c>
      <c r="BL4" s="23" t="str">
        <f>IF(SUMPRODUCT($H$48:BK$48,$H4:BK4)&lt;0.5, "Pending", IF(BK4&lt;0.5, "Complete", "In Progress"))</f>
        <v>Pending</v>
      </c>
      <c r="BM4" s="22">
        <v>0</v>
      </c>
      <c r="BN4" s="22">
        <f>MAX(BK4-BM4,0)</f>
        <v>0</v>
      </c>
      <c r="BO4" s="23" t="str">
        <f>IF(SUMPRODUCT($H$48:BN$48,$H4:BN4)&lt;0.5, "Pending", IF(BN4&lt;0.5, "Complete", "In Progress"))</f>
        <v>Pending</v>
      </c>
      <c r="BP4" s="22">
        <v>0</v>
      </c>
      <c r="BQ4" s="22">
        <f>MAX(BN4-BP4,0)</f>
        <v>0</v>
      </c>
      <c r="BR4" s="23" t="str">
        <f>IF(SUMPRODUCT($H$48:BQ$48,$H4:BQ4)&lt;0.5, "Pending", IF(BQ4&lt;0.5, "Complete", "In Progress"))</f>
        <v>Pending</v>
      </c>
      <c r="BS4" s="22">
        <v>0</v>
      </c>
      <c r="BT4" s="22">
        <f>MAX(BQ4-BS4,0)</f>
        <v>0</v>
      </c>
      <c r="BU4" s="23" t="str">
        <f>IF(SUMPRODUCT($H$48:BT$48,$H4:BT4)&lt;0.5, "Pending", IF(BT4&lt;0.5, "Complete", "In Progress"))</f>
        <v>Pending</v>
      </c>
      <c r="BV4" s="22">
        <v>0</v>
      </c>
      <c r="BW4" s="22">
        <f>MAX(BT4-BV4,0)</f>
        <v>0</v>
      </c>
      <c r="BX4" s="23" t="str">
        <f>IF(SUMPRODUCT($H$48:BW$48,$H4:BW4)&lt;0.5, "Pending", IF(BW4&lt;0.5, "Complete", "In Progress"))</f>
        <v>Pending</v>
      </c>
      <c r="BY4" s="22">
        <v>0</v>
      </c>
      <c r="BZ4" s="22">
        <f>MAX(BW4-BY4,0)</f>
        <v>0</v>
      </c>
      <c r="CA4" s="23" t="str">
        <f>IF(SUMPRODUCT($H$48:BZ$48,$H4:BZ4)&lt;0.5, "Pending", IF(BZ4&lt;0.5, "Complete", "In Progress"))</f>
        <v>Pending</v>
      </c>
      <c r="CB4" s="22">
        <v>0</v>
      </c>
      <c r="CC4" s="22">
        <f>MAX(BZ4-CB4,0)</f>
        <v>0</v>
      </c>
      <c r="CD4" s="23" t="str">
        <f>IF(SUMPRODUCT($H$48:CC$48,$H4:CC4)&lt;0.5, "Pending", IF(CC4&lt;0.5, "Complete", "In Progress"))</f>
        <v>Pending</v>
      </c>
      <c r="CE4" s="22">
        <v>0</v>
      </c>
      <c r="CF4" s="22">
        <f>MAX(CC4-CE4,0)</f>
        <v>0</v>
      </c>
      <c r="CG4" s="23" t="str">
        <f>IF(SUMPRODUCT($H$48:CF$48,$H4:CF4)&lt;0.5, "Pending", IF(CF4&lt;0.5, "Complete", "In Progress"))</f>
        <v>Pending</v>
      </c>
      <c r="CH4" s="22">
        <v>0</v>
      </c>
      <c r="CI4" s="22">
        <f>MAX(CF4-CH4,0)</f>
        <v>0</v>
      </c>
      <c r="CJ4" s="23" t="str">
        <f>IF(SUMPRODUCT($H$48:CI$48,$H4:CI4)&lt;0.5, "Pending", IF(CI4&lt;0.5, "Complete", "In Progress"))</f>
        <v>Pending</v>
      </c>
      <c r="CK4" s="22">
        <v>0</v>
      </c>
      <c r="CL4" s="22">
        <f>MAX(CI4-CK4,0)</f>
        <v>0</v>
      </c>
      <c r="CM4" s="23" t="str">
        <f>IF(SUMPRODUCT($H$48:CL$48,$H4:CL4)&lt;0.5, "Pending", IF(CL4&lt;0.5, "Complete", "In Progress"))</f>
        <v>Pending</v>
      </c>
      <c r="CN4" s="22">
        <v>0</v>
      </c>
      <c r="CO4" s="22">
        <f>MAX(CL4-CN4,0)</f>
        <v>0</v>
      </c>
      <c r="CP4" s="23" t="str">
        <f>IF(SUMPRODUCT($H$48:CO$48,$H4:CO4)&lt;0.5, "Pending", IF(CO4&lt;0.5, "Complete", "In Progress"))</f>
        <v>Pending</v>
      </c>
      <c r="CQ4" s="22">
        <v>0</v>
      </c>
      <c r="CR4" s="22">
        <f>MAX(CO4-CQ4,0)</f>
        <v>0</v>
      </c>
      <c r="CS4" s="23" t="str">
        <f>IF(SUMPRODUCT($H$48:CR$48,$H4:CR4)&lt;0.5, "Pending", IF(CR4&lt;0.5, "Complete", "In Progress"))</f>
        <v>Pending</v>
      </c>
      <c r="CT4" s="22">
        <v>0</v>
      </c>
      <c r="CU4" s="22">
        <f t="shared" ref="CU4:CU15" si="1">MAX(CR4-CT4,0)</f>
        <v>0</v>
      </c>
      <c r="CV4" s="23" t="str">
        <f>IF(SUMPRODUCT($H$48:CU$48,$H4:CU4)&lt;0.5, "Pending", IF(CU4&lt;0.5, "Complete", "In Progress"))</f>
        <v>Pending</v>
      </c>
      <c r="CW4" s="22">
        <v>0</v>
      </c>
      <c r="CX4" s="22">
        <f t="shared" ref="CX4:CX15" si="2">MAX(CU4-CW4,0)</f>
        <v>0</v>
      </c>
      <c r="CY4" s="23" t="str">
        <f>IF(SUMPRODUCT($H$48:CX$48,$H4:CX4)&lt;0.5, "Pending", IF(CX4&lt;0.5, "Complete", "In Progress"))</f>
        <v>Pending</v>
      </c>
      <c r="CZ4" s="22">
        <v>0</v>
      </c>
      <c r="DA4" s="22">
        <f t="shared" ref="DA4:DA15" si="3">MAX(CX4-CZ4,0)</f>
        <v>0</v>
      </c>
      <c r="DB4" s="23" t="str">
        <f>IF(SUMPRODUCT($H$48:DA$48,$H4:DA4)&lt;0.5, "Pending", IF(DA4&lt;0.5, "Complete", "In Progress"))</f>
        <v>Pending</v>
      </c>
      <c r="DC4" s="22">
        <v>0</v>
      </c>
      <c r="DD4" s="22">
        <f t="shared" ref="DD4:DD15" si="4">MAX(DA4-DC4,0)</f>
        <v>0</v>
      </c>
      <c r="DE4" s="23" t="str">
        <f>IF(SUMPRODUCT($H$48:DD$48,$H4:DD4)&lt;0.5, "Pending", IF(DD4&lt;0.5, "Complete", "In Progress"))</f>
        <v>Pending</v>
      </c>
      <c r="DF4" s="22">
        <v>0</v>
      </c>
      <c r="DG4" s="22">
        <f t="shared" ref="DG4:DG15" si="5">MAX(DD4-DF4,0)</f>
        <v>0</v>
      </c>
      <c r="DH4" s="23" t="str">
        <f>IF(SUMPRODUCT($H$48:DG$48,$H4:DG4)&lt;0.5, "Pending", IF(DG4&lt;0.5, "Complete", "In Progress"))</f>
        <v>Pending</v>
      </c>
      <c r="DI4" s="22">
        <v>0</v>
      </c>
      <c r="DJ4" s="22">
        <f t="shared" ref="DJ4:DJ15" si="6">MAX(DG4-DI4,0)</f>
        <v>0</v>
      </c>
      <c r="DK4" s="23" t="str">
        <f>IF(SUMPRODUCT($H$48:DJ$48,$H4:DJ4)&lt;0.5, "Pending", IF(DJ4&lt;0.5, "Complete", "In Progress"))</f>
        <v>Pending</v>
      </c>
      <c r="DL4" s="22">
        <v>0</v>
      </c>
      <c r="DM4" s="22">
        <f t="shared" ref="DM4:DM15" si="7">MAX(DJ4-DL4,0)</f>
        <v>0</v>
      </c>
      <c r="DN4" s="23" t="str">
        <f>IF(SUMPRODUCT($H$48:DM$48,$H4:DM4)&lt;0.5, "Pending", IF(DM4&lt;0.5, "Complete", "In Progress"))</f>
        <v>Pending</v>
      </c>
      <c r="DO4" s="22">
        <v>0</v>
      </c>
      <c r="DP4" s="22">
        <f t="shared" ref="DP4:DP15" si="8">MAX(DM4-DO4,0)</f>
        <v>0</v>
      </c>
      <c r="DQ4" s="23" t="str">
        <f>IF(SUMPRODUCT($H$48:DP$48,$H4:DP4)&lt;0.5, "Pending", IF(DP4&lt;0.5, "Complete", "In Progress"))</f>
        <v>Pending</v>
      </c>
      <c r="DR4" s="22">
        <v>0</v>
      </c>
      <c r="DS4" s="22">
        <f t="shared" ref="DS4:DS15" si="9">MAX(DP4-DR4,0)</f>
        <v>0</v>
      </c>
      <c r="DT4" s="23" t="str">
        <f>IF(SUMPRODUCT($H$48:DS$48,$H4:DS4)&lt;0.5, "Pending", IF(DS4&lt;0.5, "Complete", "In Progress"))</f>
        <v>Pending</v>
      </c>
      <c r="DU4" s="22">
        <v>0</v>
      </c>
      <c r="DV4" s="22">
        <f t="shared" ref="DV4:DV15" si="10">MAX(DS4-DU4,0)</f>
        <v>0</v>
      </c>
      <c r="DW4" s="23" t="str">
        <f>IF(SUMPRODUCT($H$48:DV$48,$H4:DV4)&lt;0.5, "Pending", IF(DV4&lt;0.5, "Complete", "In Progress"))</f>
        <v>Pending</v>
      </c>
      <c r="DX4" s="24"/>
      <c r="DY4" s="25">
        <f>SUMPRODUCT($F$48:DE$48,$F4:DE4)</f>
        <v>0</v>
      </c>
    </row>
    <row r="5" spans="1:129">
      <c r="A5" s="16"/>
      <c r="B5" s="17"/>
      <c r="C5" s="26"/>
      <c r="D5" s="18" t="s">
        <v>54</v>
      </c>
      <c r="E5" s="19" t="str">
        <f t="shared" ca="1" si="0"/>
        <v>Pending</v>
      </c>
      <c r="F5" s="20">
        <v>1</v>
      </c>
      <c r="G5" s="21">
        <v>0</v>
      </c>
      <c r="H5" s="22">
        <v>0</v>
      </c>
      <c r="I5" s="22">
        <f t="shared" ref="I5:I45" si="11">MAX(G5-H5, 0)</f>
        <v>0</v>
      </c>
      <c r="J5" s="23" t="str">
        <f>IF(SUMPRODUCT($H$48:I$48,$H5:I5)&lt;0.5, "Pending", IF(I5&lt;0.5, "Complete", "In Progress"))</f>
        <v>Pending</v>
      </c>
      <c r="K5" s="22">
        <v>0</v>
      </c>
      <c r="L5" s="22">
        <f t="shared" ref="L5:L45" si="12">MAX(I5-K5,0)</f>
        <v>0</v>
      </c>
      <c r="M5" s="23" t="str">
        <f>IF(SUMPRODUCT($H$48:L$48,$H5:L5)&lt;0.5, "Pending", IF(L5&lt;0.5, "Complete", "In Progress"))</f>
        <v>Pending</v>
      </c>
      <c r="N5" s="22">
        <v>0</v>
      </c>
      <c r="O5" s="22">
        <f t="shared" ref="O5:O45" si="13">MAX(L5-N5,0)</f>
        <v>0</v>
      </c>
      <c r="P5" s="23" t="str">
        <f>IF(SUMPRODUCT($H$48:O$48,$H5:O5)&lt;0.5, "Pending", IF(O5&lt;0.5, "Complete", "In Progress"))</f>
        <v>Pending</v>
      </c>
      <c r="Q5" s="22">
        <v>0</v>
      </c>
      <c r="R5" s="22">
        <f t="shared" ref="R5:R45" si="14">MAX(O5-Q5,0)</f>
        <v>0</v>
      </c>
      <c r="S5" s="23" t="str">
        <f>IF(SUMPRODUCT($H$48:R$48,$H5:R5)&lt;0.5, "Pending", IF(R5&lt;0.5, "Complete", "In Progress"))</f>
        <v>Pending</v>
      </c>
      <c r="T5" s="22">
        <v>0</v>
      </c>
      <c r="U5" s="22">
        <f t="shared" ref="U5:U45" si="15">MAX(R5-T5,0)</f>
        <v>0</v>
      </c>
      <c r="V5" s="23" t="str">
        <f>IF(SUMPRODUCT($H$48:U$48,$H5:U5)&lt;0.5, "Pending", IF(U5&lt;0.5, "Complete", "In Progress"))</f>
        <v>Pending</v>
      </c>
      <c r="W5" s="22">
        <v>0</v>
      </c>
      <c r="X5" s="22">
        <f t="shared" ref="X5:X45" si="16">MAX(U5-W5,0)</f>
        <v>0</v>
      </c>
      <c r="Y5" s="23" t="str">
        <f>IF(SUMPRODUCT($H$48:X$48,$H5:X5)&lt;0.5, "Pending", IF(X5&lt;0.5, "Complete", "In Progress"))</f>
        <v>Pending</v>
      </c>
      <c r="Z5" s="22">
        <v>0</v>
      </c>
      <c r="AA5" s="22">
        <f t="shared" ref="AA5:AA45" si="17">MAX(X5-Z5,0)</f>
        <v>0</v>
      </c>
      <c r="AB5" s="23" t="str">
        <f>IF(SUMPRODUCT($H$48:AA$48,$H5:AA5)&lt;0.5, "Pending", IF(AA5&lt;0.5, "Complete", "In Progress"))</f>
        <v>Pending</v>
      </c>
      <c r="AC5" s="22">
        <v>0</v>
      </c>
      <c r="AD5" s="22">
        <f t="shared" ref="AD5:AD45" si="18">MAX(AA5-AC5,0)</f>
        <v>0</v>
      </c>
      <c r="AE5" s="23" t="str">
        <f>IF(SUMPRODUCT($H$48:AD$48,$H5:AD5)&lt;0.5, "Pending", IF(AD5&lt;0.5, "Complete", "In Progress"))</f>
        <v>Pending</v>
      </c>
      <c r="AF5" s="22">
        <v>0</v>
      </c>
      <c r="AG5" s="22">
        <f t="shared" ref="AG5:AG45" si="19">MAX(AD5-AF5,0)</f>
        <v>0</v>
      </c>
      <c r="AH5" s="23" t="str">
        <f>IF(SUMPRODUCT($H$48:AG$48,$H5:AG5)&lt;0.5, "Pending", IF(AG5&lt;0.5, "Complete", "In Progress"))</f>
        <v>Pending</v>
      </c>
      <c r="AI5" s="22">
        <v>0</v>
      </c>
      <c r="AJ5" s="22">
        <f t="shared" ref="AJ5:AJ45" si="20">MAX(AG5-AI5,0)</f>
        <v>0</v>
      </c>
      <c r="AK5" s="23" t="str">
        <f>IF(SUMPRODUCT($H$48:AJ$48,$H5:AJ5)&lt;0.5, "Pending", IF(AJ5&lt;0.5, "Complete", "In Progress"))</f>
        <v>Pending</v>
      </c>
      <c r="AL5" s="22">
        <v>0</v>
      </c>
      <c r="AM5" s="22">
        <f t="shared" ref="AM5:AM45" si="21">MAX(AJ5-AL5,0)</f>
        <v>0</v>
      </c>
      <c r="AN5" s="23" t="str">
        <f>IF(SUMPRODUCT($H$48:AM$48,$H5:AM5)&lt;0.5, "Pending", IF(AM5&lt;0.5, "Complete", "In Progress"))</f>
        <v>Pending</v>
      </c>
      <c r="AO5" s="22">
        <v>0</v>
      </c>
      <c r="AP5" s="22">
        <f t="shared" ref="AP5:AP45" si="22">MAX(AM5-AO5,0)</f>
        <v>0</v>
      </c>
      <c r="AQ5" s="23" t="str">
        <f>IF(SUMPRODUCT($H$48:AP$48,$H5:AP5)&lt;0.5, "Pending", IF(AP5&lt;0.5, "Complete", "In Progress"))</f>
        <v>Pending</v>
      </c>
      <c r="AR5" s="22">
        <v>0</v>
      </c>
      <c r="AS5" s="22">
        <f t="shared" ref="AS5:AS45" si="23">MAX(AP5-AR5,0)</f>
        <v>0</v>
      </c>
      <c r="AT5" s="23" t="str">
        <f>IF(SUMPRODUCT($H$48:AS$48,$H5:AS5)&lt;0.5, "Pending", IF(AS5&lt;0.5, "Complete", "In Progress"))</f>
        <v>Pending</v>
      </c>
      <c r="AU5" s="22">
        <v>0</v>
      </c>
      <c r="AV5" s="22">
        <f t="shared" ref="AV5:AV45" si="24">MAX(AS5-AU5,0)</f>
        <v>0</v>
      </c>
      <c r="AW5" s="23" t="str">
        <f>IF(SUMPRODUCT($H$48:AV$48,$H5:AV5)&lt;0.5, "Pending", IF(AV5&lt;0.5, "Complete", "In Progress"))</f>
        <v>Pending</v>
      </c>
      <c r="AX5" s="22">
        <v>0</v>
      </c>
      <c r="AY5" s="22">
        <f t="shared" ref="AY5:AY45" si="25">MAX(AV5-AX5,0)</f>
        <v>0</v>
      </c>
      <c r="AZ5" s="23" t="str">
        <f>IF(SUMPRODUCT($H$48:AY$48,$H5:AY5)&lt;0.5, "Pending", IF(AY5&lt;0.5, "Complete", "In Progress"))</f>
        <v>Pending</v>
      </c>
      <c r="BA5" s="22">
        <v>0</v>
      </c>
      <c r="BB5" s="22">
        <f t="shared" ref="BB5:BB45" si="26">MAX(AY5-BA5,0)</f>
        <v>0</v>
      </c>
      <c r="BC5" s="23" t="str">
        <f>IF(SUMPRODUCT($H$48:BB$48,$H5:BB5)&lt;0.5, "Pending", IF(BB5&lt;0.5, "Complete", "In Progress"))</f>
        <v>Pending</v>
      </c>
      <c r="BD5" s="22">
        <v>0</v>
      </c>
      <c r="BE5" s="22">
        <f t="shared" ref="BE5:BE45" si="27">MAX(BB5-BD5,0)</f>
        <v>0</v>
      </c>
      <c r="BF5" s="23" t="str">
        <f>IF(SUMPRODUCT($H$48:BE$48,$H5:BE5)&lt;0.5, "Pending", IF(BE5&lt;0.5, "Complete", "In Progress"))</f>
        <v>Pending</v>
      </c>
      <c r="BG5" s="22">
        <v>0</v>
      </c>
      <c r="BH5" s="22">
        <f t="shared" ref="BH5:BH45" si="28">MAX(BE5-BG5,0)</f>
        <v>0</v>
      </c>
      <c r="BI5" s="23" t="str">
        <f>IF(SUMPRODUCT($H$48:BH$48,$H5:BH5)&lt;0.5, "Pending", IF(BH5&lt;0.5, "Complete", "In Progress"))</f>
        <v>Pending</v>
      </c>
      <c r="BJ5" s="22">
        <v>0</v>
      </c>
      <c r="BK5" s="22">
        <f t="shared" ref="BK5:BK45" si="29">MAX(BH5-BJ5,0)</f>
        <v>0</v>
      </c>
      <c r="BL5" s="23" t="str">
        <f>IF(SUMPRODUCT($H$48:BK$48,$H5:BK5)&lt;0.5, "Pending", IF(BK5&lt;0.5, "Complete", "In Progress"))</f>
        <v>Pending</v>
      </c>
      <c r="BM5" s="22">
        <v>0</v>
      </c>
      <c r="BN5" s="22">
        <f t="shared" ref="BN5:BN45" si="30">MAX(BK5-BM5,0)</f>
        <v>0</v>
      </c>
      <c r="BO5" s="23" t="str">
        <f>IF(SUMPRODUCT($H$48:BN$48,$H5:BN5)&lt;0.5, "Pending", IF(BN5&lt;0.5, "Complete", "In Progress"))</f>
        <v>Pending</v>
      </c>
      <c r="BP5" s="22">
        <v>0</v>
      </c>
      <c r="BQ5" s="22">
        <f t="shared" ref="BQ5:BQ45" si="31">MAX(BN5-BP5,0)</f>
        <v>0</v>
      </c>
      <c r="BR5" s="23" t="str">
        <f>IF(SUMPRODUCT($H$48:BQ$48,$H5:BQ5)&lt;0.5, "Pending", IF(BQ5&lt;0.5, "Complete", "In Progress"))</f>
        <v>Pending</v>
      </c>
      <c r="BS5" s="22">
        <v>0</v>
      </c>
      <c r="BT5" s="22">
        <f t="shared" ref="BT5:BT45" si="32">MAX(BQ5-BS5,0)</f>
        <v>0</v>
      </c>
      <c r="BU5" s="23" t="str">
        <f>IF(SUMPRODUCT($H$48:BT$48,$H5:BT5)&lt;0.5, "Pending", IF(BT5&lt;0.5, "Complete", "In Progress"))</f>
        <v>Pending</v>
      </c>
      <c r="BV5" s="22">
        <v>0</v>
      </c>
      <c r="BW5" s="22">
        <f t="shared" ref="BW5:BW45" si="33">MAX(BT5-BV5,0)</f>
        <v>0</v>
      </c>
      <c r="BX5" s="23" t="str">
        <f>IF(SUMPRODUCT($H$48:BW$48,$H5:BW5)&lt;0.5, "Pending", IF(BW5&lt;0.5, "Complete", "In Progress"))</f>
        <v>Pending</v>
      </c>
      <c r="BY5" s="22">
        <v>0</v>
      </c>
      <c r="BZ5" s="22">
        <f t="shared" ref="BZ5:BZ45" si="34">MAX(BW5-BY5,0)</f>
        <v>0</v>
      </c>
      <c r="CA5" s="23" t="str">
        <f>IF(SUMPRODUCT($H$48:BZ$48,$H5:BZ5)&lt;0.5, "Pending", IF(BZ5&lt;0.5, "Complete", "In Progress"))</f>
        <v>Pending</v>
      </c>
      <c r="CB5" s="22">
        <v>0</v>
      </c>
      <c r="CC5" s="22">
        <f t="shared" ref="CC5:CC45" si="35">MAX(BZ5-CB5,0)</f>
        <v>0</v>
      </c>
      <c r="CD5" s="23" t="str">
        <f>IF(SUMPRODUCT($H$48:CC$48,$H5:CC5)&lt;0.5, "Pending", IF(CC5&lt;0.5, "Complete", "In Progress"))</f>
        <v>Pending</v>
      </c>
      <c r="CE5" s="22">
        <v>0</v>
      </c>
      <c r="CF5" s="22">
        <f t="shared" ref="CF5:CF45" si="36">MAX(CC5-CE5,0)</f>
        <v>0</v>
      </c>
      <c r="CG5" s="23" t="str">
        <f>IF(SUMPRODUCT($H$48:CF$48,$H5:CF5)&lt;0.5, "Pending", IF(CF5&lt;0.5, "Complete", "In Progress"))</f>
        <v>Pending</v>
      </c>
      <c r="CH5" s="22">
        <v>0</v>
      </c>
      <c r="CI5" s="22">
        <f t="shared" ref="CI5:CI45" si="37">MAX(CF5-CH5,0)</f>
        <v>0</v>
      </c>
      <c r="CJ5" s="23" t="str">
        <f>IF(SUMPRODUCT($H$48:CI$48,$H5:CI5)&lt;0.5, "Pending", IF(CI5&lt;0.5, "Complete", "In Progress"))</f>
        <v>Pending</v>
      </c>
      <c r="CK5" s="22">
        <v>0</v>
      </c>
      <c r="CL5" s="22">
        <f t="shared" ref="CL5:CL45" si="38">MAX(CI5-CK5,0)</f>
        <v>0</v>
      </c>
      <c r="CM5" s="23" t="str">
        <f>IF(SUMPRODUCT($H$48:CL$48,$H5:CL5)&lt;0.5, "Pending", IF(CL5&lt;0.5, "Complete", "In Progress"))</f>
        <v>Pending</v>
      </c>
      <c r="CN5" s="22">
        <v>0</v>
      </c>
      <c r="CO5" s="22">
        <f t="shared" ref="CO5:CO45" si="39">MAX(CL5-CN5,0)</f>
        <v>0</v>
      </c>
      <c r="CP5" s="23" t="str">
        <f>IF(SUMPRODUCT($H$48:CO$48,$H5:CO5)&lt;0.5, "Pending", IF(CO5&lt;0.5, "Complete", "In Progress"))</f>
        <v>Pending</v>
      </c>
      <c r="CQ5" s="22">
        <v>0</v>
      </c>
      <c r="CR5" s="22">
        <f t="shared" ref="CR5:CR45" si="40">MAX(CO5-CQ5,0)</f>
        <v>0</v>
      </c>
      <c r="CS5" s="23" t="str">
        <f>IF(SUMPRODUCT($H$48:CR$48,$H5:CR5)&lt;0.5, "Pending", IF(CR5&lt;0.5, "Complete", "In Progress"))</f>
        <v>Pending</v>
      </c>
      <c r="CT5" s="22">
        <v>0</v>
      </c>
      <c r="CU5" s="22">
        <f t="shared" si="1"/>
        <v>0</v>
      </c>
      <c r="CV5" s="23" t="str">
        <f>IF(SUMPRODUCT($H$48:CU$48,$H5:CU5)&lt;0.5, "Pending", IF(CU5&lt;0.5, "Complete", "In Progress"))</f>
        <v>Pending</v>
      </c>
      <c r="CW5" s="22">
        <v>0</v>
      </c>
      <c r="CX5" s="22">
        <f t="shared" si="2"/>
        <v>0</v>
      </c>
      <c r="CY5" s="23" t="str">
        <f>IF(SUMPRODUCT($H$48:CX$48,$H5:CX5)&lt;0.5, "Pending", IF(CX5&lt;0.5, "Complete", "In Progress"))</f>
        <v>Pending</v>
      </c>
      <c r="CZ5" s="22">
        <v>0</v>
      </c>
      <c r="DA5" s="22">
        <f t="shared" si="3"/>
        <v>0</v>
      </c>
      <c r="DB5" s="23" t="str">
        <f>IF(SUMPRODUCT($H$48:DA$48,$H5:DA5)&lt;0.5, "Pending", IF(DA5&lt;0.5, "Complete", "In Progress"))</f>
        <v>Pending</v>
      </c>
      <c r="DC5" s="22">
        <v>0</v>
      </c>
      <c r="DD5" s="22">
        <f t="shared" si="4"/>
        <v>0</v>
      </c>
      <c r="DE5" s="23" t="str">
        <f>IF(SUMPRODUCT($H$48:DD$48,$H5:DD5)&lt;0.5, "Pending", IF(DD5&lt;0.5, "Complete", "In Progress"))</f>
        <v>Pending</v>
      </c>
      <c r="DF5" s="22">
        <v>0</v>
      </c>
      <c r="DG5" s="22">
        <f t="shared" si="5"/>
        <v>0</v>
      </c>
      <c r="DH5" s="23" t="str">
        <f>IF(SUMPRODUCT($H$48:DG$48,$H5:DG5)&lt;0.5, "Pending", IF(DG5&lt;0.5, "Complete", "In Progress"))</f>
        <v>Pending</v>
      </c>
      <c r="DI5" s="22">
        <v>0</v>
      </c>
      <c r="DJ5" s="22">
        <f t="shared" si="6"/>
        <v>0</v>
      </c>
      <c r="DK5" s="23" t="str">
        <f>IF(SUMPRODUCT($H$48:DJ$48,$H5:DJ5)&lt;0.5, "Pending", IF(DJ5&lt;0.5, "Complete", "In Progress"))</f>
        <v>Pending</v>
      </c>
      <c r="DL5" s="22">
        <v>0</v>
      </c>
      <c r="DM5" s="22">
        <f t="shared" si="7"/>
        <v>0</v>
      </c>
      <c r="DN5" s="23" t="str">
        <f>IF(SUMPRODUCT($H$48:DM$48,$H5:DM5)&lt;0.5, "Pending", IF(DM5&lt;0.5, "Complete", "In Progress"))</f>
        <v>Pending</v>
      </c>
      <c r="DO5" s="22">
        <v>0</v>
      </c>
      <c r="DP5" s="22">
        <f t="shared" si="8"/>
        <v>0</v>
      </c>
      <c r="DQ5" s="23" t="str">
        <f>IF(SUMPRODUCT($H$48:DP$48,$H5:DP5)&lt;0.5, "Pending", IF(DP5&lt;0.5, "Complete", "In Progress"))</f>
        <v>Pending</v>
      </c>
      <c r="DR5" s="22">
        <v>0</v>
      </c>
      <c r="DS5" s="22">
        <f t="shared" si="9"/>
        <v>0</v>
      </c>
      <c r="DT5" s="23" t="str">
        <f>IF(SUMPRODUCT($H$48:DS$48,$H5:DS5)&lt;0.5, "Pending", IF(DS5&lt;0.5, "Complete", "In Progress"))</f>
        <v>Pending</v>
      </c>
      <c r="DU5" s="22">
        <v>0</v>
      </c>
      <c r="DV5" s="22">
        <f t="shared" si="10"/>
        <v>0</v>
      </c>
      <c r="DW5" s="23" t="str">
        <f>IF(SUMPRODUCT($H$48:DV$48,$H5:DV5)&lt;0.5, "Pending", IF(DV5&lt;0.5, "Complete", "In Progress"))</f>
        <v>Pending</v>
      </c>
      <c r="DX5" s="24"/>
      <c r="DY5" s="25">
        <f>SUMPRODUCT($F$48:DE$48,$F5:DE5)</f>
        <v>0</v>
      </c>
    </row>
    <row r="6" spans="1:129">
      <c r="A6" s="16"/>
      <c r="B6" s="17"/>
      <c r="C6" s="26"/>
      <c r="D6" s="18" t="s">
        <v>54</v>
      </c>
      <c r="E6" s="19" t="str">
        <f t="shared" ca="1" si="0"/>
        <v>Pending</v>
      </c>
      <c r="F6" s="20">
        <v>1</v>
      </c>
      <c r="G6" s="21">
        <v>0</v>
      </c>
      <c r="H6" s="22">
        <v>0</v>
      </c>
      <c r="I6" s="22">
        <f t="shared" si="11"/>
        <v>0</v>
      </c>
      <c r="J6" s="23" t="str">
        <f>IF(SUMPRODUCT($H$48:I$48,$H6:I6)&lt;0.5, "Pending", IF(I6&lt;0.5, "Complete", "In Progress"))</f>
        <v>Pending</v>
      </c>
      <c r="K6" s="22">
        <v>0</v>
      </c>
      <c r="L6" s="22">
        <f t="shared" si="12"/>
        <v>0</v>
      </c>
      <c r="M6" s="23" t="str">
        <f>IF(SUMPRODUCT($H$48:L$48,$H6:L6)&lt;0.5, "Pending", IF(L6&lt;0.5, "Complete", "In Progress"))</f>
        <v>Pending</v>
      </c>
      <c r="N6" s="22">
        <v>0</v>
      </c>
      <c r="O6" s="22">
        <f t="shared" si="13"/>
        <v>0</v>
      </c>
      <c r="P6" s="23" t="str">
        <f>IF(SUMPRODUCT($H$48:O$48,$H6:O6)&lt;0.5, "Pending", IF(O6&lt;0.5, "Complete", "In Progress"))</f>
        <v>Pending</v>
      </c>
      <c r="Q6" s="22">
        <v>0</v>
      </c>
      <c r="R6" s="22">
        <f t="shared" si="14"/>
        <v>0</v>
      </c>
      <c r="S6" s="23" t="str">
        <f>IF(SUMPRODUCT($H$48:R$48,$H6:R6)&lt;0.5, "Pending", IF(R6&lt;0.5, "Complete", "In Progress"))</f>
        <v>Pending</v>
      </c>
      <c r="T6" s="22">
        <v>0</v>
      </c>
      <c r="U6" s="22">
        <f t="shared" si="15"/>
        <v>0</v>
      </c>
      <c r="V6" s="23" t="str">
        <f>IF(SUMPRODUCT($H$48:U$48,$H6:U6)&lt;0.5, "Pending", IF(U6&lt;0.5, "Complete", "In Progress"))</f>
        <v>Pending</v>
      </c>
      <c r="W6" s="22">
        <v>0</v>
      </c>
      <c r="X6" s="22">
        <f t="shared" si="16"/>
        <v>0</v>
      </c>
      <c r="Y6" s="23" t="str">
        <f>IF(SUMPRODUCT($H$48:X$48,$H6:X6)&lt;0.5, "Pending", IF(X6&lt;0.5, "Complete", "In Progress"))</f>
        <v>Pending</v>
      </c>
      <c r="Z6" s="22">
        <v>0</v>
      </c>
      <c r="AA6" s="22">
        <f t="shared" si="17"/>
        <v>0</v>
      </c>
      <c r="AB6" s="23" t="str">
        <f>IF(SUMPRODUCT($H$48:AA$48,$H6:AA6)&lt;0.5, "Pending", IF(AA6&lt;0.5, "Complete", "In Progress"))</f>
        <v>Pending</v>
      </c>
      <c r="AC6" s="22">
        <v>0</v>
      </c>
      <c r="AD6" s="22">
        <f t="shared" si="18"/>
        <v>0</v>
      </c>
      <c r="AE6" s="23" t="str">
        <f>IF(SUMPRODUCT($H$48:AD$48,$H6:AD6)&lt;0.5, "Pending", IF(AD6&lt;0.5, "Complete", "In Progress"))</f>
        <v>Pending</v>
      </c>
      <c r="AF6" s="22">
        <v>0</v>
      </c>
      <c r="AG6" s="22">
        <f t="shared" si="19"/>
        <v>0</v>
      </c>
      <c r="AH6" s="23" t="str">
        <f>IF(SUMPRODUCT($H$48:AG$48,$H6:AG6)&lt;0.5, "Pending", IF(AG6&lt;0.5, "Complete", "In Progress"))</f>
        <v>Pending</v>
      </c>
      <c r="AI6" s="22">
        <v>0</v>
      </c>
      <c r="AJ6" s="22">
        <f t="shared" si="20"/>
        <v>0</v>
      </c>
      <c r="AK6" s="23" t="str">
        <f>IF(SUMPRODUCT($H$48:AJ$48,$H6:AJ6)&lt;0.5, "Pending", IF(AJ6&lt;0.5, "Complete", "In Progress"))</f>
        <v>Pending</v>
      </c>
      <c r="AL6" s="22">
        <v>0</v>
      </c>
      <c r="AM6" s="22">
        <f t="shared" si="21"/>
        <v>0</v>
      </c>
      <c r="AN6" s="23" t="str">
        <f>IF(SUMPRODUCT($H$48:AM$48,$H6:AM6)&lt;0.5, "Pending", IF(AM6&lt;0.5, "Complete", "In Progress"))</f>
        <v>Pending</v>
      </c>
      <c r="AO6" s="22">
        <v>0</v>
      </c>
      <c r="AP6" s="22">
        <f t="shared" si="22"/>
        <v>0</v>
      </c>
      <c r="AQ6" s="23" t="str">
        <f>IF(SUMPRODUCT($H$48:AP$48,$H6:AP6)&lt;0.5, "Pending", IF(AP6&lt;0.5, "Complete", "In Progress"))</f>
        <v>Pending</v>
      </c>
      <c r="AR6" s="22">
        <v>0</v>
      </c>
      <c r="AS6" s="22">
        <f t="shared" si="23"/>
        <v>0</v>
      </c>
      <c r="AT6" s="23" t="str">
        <f>IF(SUMPRODUCT($H$48:AS$48,$H6:AS6)&lt;0.5, "Pending", IF(AS6&lt;0.5, "Complete", "In Progress"))</f>
        <v>Pending</v>
      </c>
      <c r="AU6" s="22">
        <v>0</v>
      </c>
      <c r="AV6" s="22">
        <f t="shared" si="24"/>
        <v>0</v>
      </c>
      <c r="AW6" s="23" t="str">
        <f>IF(SUMPRODUCT($H$48:AV$48,$H6:AV6)&lt;0.5, "Pending", IF(AV6&lt;0.5, "Complete", "In Progress"))</f>
        <v>Pending</v>
      </c>
      <c r="AX6" s="22">
        <v>0</v>
      </c>
      <c r="AY6" s="22">
        <f t="shared" si="25"/>
        <v>0</v>
      </c>
      <c r="AZ6" s="23" t="str">
        <f>IF(SUMPRODUCT($H$48:AY$48,$H6:AY6)&lt;0.5, "Pending", IF(AY6&lt;0.5, "Complete", "In Progress"))</f>
        <v>Pending</v>
      </c>
      <c r="BA6" s="22">
        <v>0</v>
      </c>
      <c r="BB6" s="22">
        <f t="shared" si="26"/>
        <v>0</v>
      </c>
      <c r="BC6" s="23" t="str">
        <f>IF(SUMPRODUCT($H$48:BB$48,$H6:BB6)&lt;0.5, "Pending", IF(BB6&lt;0.5, "Complete", "In Progress"))</f>
        <v>Pending</v>
      </c>
      <c r="BD6" s="22">
        <v>0</v>
      </c>
      <c r="BE6" s="22">
        <f t="shared" si="27"/>
        <v>0</v>
      </c>
      <c r="BF6" s="23" t="str">
        <f>IF(SUMPRODUCT($H$48:BE$48,$H6:BE6)&lt;0.5, "Pending", IF(BE6&lt;0.5, "Complete", "In Progress"))</f>
        <v>Pending</v>
      </c>
      <c r="BG6" s="22">
        <v>0</v>
      </c>
      <c r="BH6" s="22">
        <f t="shared" si="28"/>
        <v>0</v>
      </c>
      <c r="BI6" s="23" t="str">
        <f>IF(SUMPRODUCT($H$48:BH$48,$H6:BH6)&lt;0.5, "Pending", IF(BH6&lt;0.5, "Complete", "In Progress"))</f>
        <v>Pending</v>
      </c>
      <c r="BJ6" s="22">
        <v>0</v>
      </c>
      <c r="BK6" s="22">
        <f t="shared" si="29"/>
        <v>0</v>
      </c>
      <c r="BL6" s="23" t="str">
        <f>IF(SUMPRODUCT($H$48:BK$48,$H6:BK6)&lt;0.5, "Pending", IF(BK6&lt;0.5, "Complete", "In Progress"))</f>
        <v>Pending</v>
      </c>
      <c r="BM6" s="22">
        <v>0</v>
      </c>
      <c r="BN6" s="22">
        <f t="shared" si="30"/>
        <v>0</v>
      </c>
      <c r="BO6" s="23" t="str">
        <f>IF(SUMPRODUCT($H$48:BN$48,$H6:BN6)&lt;0.5, "Pending", IF(BN6&lt;0.5, "Complete", "In Progress"))</f>
        <v>Pending</v>
      </c>
      <c r="BP6" s="22">
        <v>0</v>
      </c>
      <c r="BQ6" s="22">
        <f t="shared" si="31"/>
        <v>0</v>
      </c>
      <c r="BR6" s="23" t="str">
        <f>IF(SUMPRODUCT($H$48:BQ$48,$H6:BQ6)&lt;0.5, "Pending", IF(BQ6&lt;0.5, "Complete", "In Progress"))</f>
        <v>Pending</v>
      </c>
      <c r="BS6" s="22">
        <v>0</v>
      </c>
      <c r="BT6" s="22">
        <f t="shared" si="32"/>
        <v>0</v>
      </c>
      <c r="BU6" s="23" t="str">
        <f>IF(SUMPRODUCT($H$48:BT$48,$H6:BT6)&lt;0.5, "Pending", IF(BT6&lt;0.5, "Complete", "In Progress"))</f>
        <v>Pending</v>
      </c>
      <c r="BV6" s="22">
        <v>0</v>
      </c>
      <c r="BW6" s="22">
        <f t="shared" si="33"/>
        <v>0</v>
      </c>
      <c r="BX6" s="23" t="str">
        <f>IF(SUMPRODUCT($H$48:BW$48,$H6:BW6)&lt;0.5, "Pending", IF(BW6&lt;0.5, "Complete", "In Progress"))</f>
        <v>Pending</v>
      </c>
      <c r="BY6" s="22">
        <v>0</v>
      </c>
      <c r="BZ6" s="22">
        <f t="shared" si="34"/>
        <v>0</v>
      </c>
      <c r="CA6" s="23" t="str">
        <f>IF(SUMPRODUCT($H$48:BZ$48,$H6:BZ6)&lt;0.5, "Pending", IF(BZ6&lt;0.5, "Complete", "In Progress"))</f>
        <v>Pending</v>
      </c>
      <c r="CB6" s="22">
        <v>0</v>
      </c>
      <c r="CC6" s="22">
        <f t="shared" si="35"/>
        <v>0</v>
      </c>
      <c r="CD6" s="23" t="str">
        <f>IF(SUMPRODUCT($H$48:CC$48,$H6:CC6)&lt;0.5, "Pending", IF(CC6&lt;0.5, "Complete", "In Progress"))</f>
        <v>Pending</v>
      </c>
      <c r="CE6" s="22">
        <v>0</v>
      </c>
      <c r="CF6" s="22">
        <f t="shared" si="36"/>
        <v>0</v>
      </c>
      <c r="CG6" s="23" t="str">
        <f>IF(SUMPRODUCT($H$48:CF$48,$H6:CF6)&lt;0.5, "Pending", IF(CF6&lt;0.5, "Complete", "In Progress"))</f>
        <v>Pending</v>
      </c>
      <c r="CH6" s="22">
        <v>0</v>
      </c>
      <c r="CI6" s="22">
        <f t="shared" si="37"/>
        <v>0</v>
      </c>
      <c r="CJ6" s="23" t="str">
        <f>IF(SUMPRODUCT($H$48:CI$48,$H6:CI6)&lt;0.5, "Pending", IF(CI6&lt;0.5, "Complete", "In Progress"))</f>
        <v>Pending</v>
      </c>
      <c r="CK6" s="22">
        <v>0</v>
      </c>
      <c r="CL6" s="22">
        <f t="shared" si="38"/>
        <v>0</v>
      </c>
      <c r="CM6" s="23" t="str">
        <f>IF(SUMPRODUCT($H$48:CL$48,$H6:CL6)&lt;0.5, "Pending", IF(CL6&lt;0.5, "Complete", "In Progress"))</f>
        <v>Pending</v>
      </c>
      <c r="CN6" s="22">
        <v>0</v>
      </c>
      <c r="CO6" s="22">
        <f t="shared" si="39"/>
        <v>0</v>
      </c>
      <c r="CP6" s="23" t="str">
        <f>IF(SUMPRODUCT($H$48:CO$48,$H6:CO6)&lt;0.5, "Pending", IF(CO6&lt;0.5, "Complete", "In Progress"))</f>
        <v>Pending</v>
      </c>
      <c r="CQ6" s="22">
        <v>0</v>
      </c>
      <c r="CR6" s="22">
        <f t="shared" si="40"/>
        <v>0</v>
      </c>
      <c r="CS6" s="23" t="str">
        <f>IF(SUMPRODUCT($H$48:CR$48,$H6:CR6)&lt;0.5, "Pending", IF(CR6&lt;0.5, "Complete", "In Progress"))</f>
        <v>Pending</v>
      </c>
      <c r="CT6" s="22">
        <v>0</v>
      </c>
      <c r="CU6" s="22">
        <f t="shared" si="1"/>
        <v>0</v>
      </c>
      <c r="CV6" s="23" t="str">
        <f>IF(SUMPRODUCT($H$48:CU$48,$H6:CU6)&lt;0.5, "Pending", IF(CU6&lt;0.5, "Complete", "In Progress"))</f>
        <v>Pending</v>
      </c>
      <c r="CW6" s="22">
        <v>0</v>
      </c>
      <c r="CX6" s="22">
        <f t="shared" si="2"/>
        <v>0</v>
      </c>
      <c r="CY6" s="23" t="str">
        <f>IF(SUMPRODUCT($H$48:CX$48,$H6:CX6)&lt;0.5, "Pending", IF(CX6&lt;0.5, "Complete", "In Progress"))</f>
        <v>Pending</v>
      </c>
      <c r="CZ6" s="22">
        <v>0</v>
      </c>
      <c r="DA6" s="22">
        <f t="shared" si="3"/>
        <v>0</v>
      </c>
      <c r="DB6" s="23" t="str">
        <f>IF(SUMPRODUCT($H$48:DA$48,$H6:DA6)&lt;0.5, "Pending", IF(DA6&lt;0.5, "Complete", "In Progress"))</f>
        <v>Pending</v>
      </c>
      <c r="DC6" s="22">
        <v>0</v>
      </c>
      <c r="DD6" s="22">
        <f t="shared" si="4"/>
        <v>0</v>
      </c>
      <c r="DE6" s="23" t="str">
        <f>IF(SUMPRODUCT($H$48:DD$48,$H6:DD6)&lt;0.5, "Pending", IF(DD6&lt;0.5, "Complete", "In Progress"))</f>
        <v>Pending</v>
      </c>
      <c r="DF6" s="22">
        <v>0</v>
      </c>
      <c r="DG6" s="22">
        <f t="shared" si="5"/>
        <v>0</v>
      </c>
      <c r="DH6" s="23" t="str">
        <f>IF(SUMPRODUCT($H$48:DG$48,$H6:DG6)&lt;0.5, "Pending", IF(DG6&lt;0.5, "Complete", "In Progress"))</f>
        <v>Pending</v>
      </c>
      <c r="DI6" s="22">
        <v>0</v>
      </c>
      <c r="DJ6" s="22">
        <f t="shared" si="6"/>
        <v>0</v>
      </c>
      <c r="DK6" s="23" t="str">
        <f>IF(SUMPRODUCT($H$48:DJ$48,$H6:DJ6)&lt;0.5, "Pending", IF(DJ6&lt;0.5, "Complete", "In Progress"))</f>
        <v>Pending</v>
      </c>
      <c r="DL6" s="22">
        <v>0</v>
      </c>
      <c r="DM6" s="22">
        <f t="shared" si="7"/>
        <v>0</v>
      </c>
      <c r="DN6" s="23" t="str">
        <f>IF(SUMPRODUCT($H$48:DM$48,$H6:DM6)&lt;0.5, "Pending", IF(DM6&lt;0.5, "Complete", "In Progress"))</f>
        <v>Pending</v>
      </c>
      <c r="DO6" s="22">
        <v>0</v>
      </c>
      <c r="DP6" s="22">
        <f t="shared" si="8"/>
        <v>0</v>
      </c>
      <c r="DQ6" s="23" t="str">
        <f>IF(SUMPRODUCT($H$48:DP$48,$H6:DP6)&lt;0.5, "Pending", IF(DP6&lt;0.5, "Complete", "In Progress"))</f>
        <v>Pending</v>
      </c>
      <c r="DR6" s="22">
        <v>0</v>
      </c>
      <c r="DS6" s="22">
        <f t="shared" si="9"/>
        <v>0</v>
      </c>
      <c r="DT6" s="23" t="str">
        <f>IF(SUMPRODUCT($H$48:DS$48,$H6:DS6)&lt;0.5, "Pending", IF(DS6&lt;0.5, "Complete", "In Progress"))</f>
        <v>Pending</v>
      </c>
      <c r="DU6" s="22">
        <v>0</v>
      </c>
      <c r="DV6" s="22">
        <f t="shared" si="10"/>
        <v>0</v>
      </c>
      <c r="DW6" s="23" t="str">
        <f>IF(SUMPRODUCT($H$48:DV$48,$H6:DV6)&lt;0.5, "Pending", IF(DV6&lt;0.5, "Complete", "In Progress"))</f>
        <v>Pending</v>
      </c>
      <c r="DX6" s="24"/>
      <c r="DY6" s="25">
        <f>SUMPRODUCT($F$48:DE$48,$F6:DE6)</f>
        <v>0</v>
      </c>
    </row>
    <row r="7" spans="1:129">
      <c r="A7" s="16"/>
      <c r="B7" s="17"/>
      <c r="C7" s="26"/>
      <c r="D7" s="18" t="s">
        <v>54</v>
      </c>
      <c r="E7" s="19" t="str">
        <f t="shared" ca="1" si="0"/>
        <v>Pending</v>
      </c>
      <c r="F7" s="20">
        <v>1</v>
      </c>
      <c r="G7" s="21">
        <v>0</v>
      </c>
      <c r="H7" s="22">
        <v>0</v>
      </c>
      <c r="I7" s="22">
        <f t="shared" si="11"/>
        <v>0</v>
      </c>
      <c r="J7" s="23" t="str">
        <f>IF(SUMPRODUCT($H$48:I$48,$H7:I7)&lt;0.5, "Pending", IF(I7&lt;0.5, "Complete", "In Progress"))</f>
        <v>Pending</v>
      </c>
      <c r="K7" s="22">
        <v>0</v>
      </c>
      <c r="L7" s="22">
        <f t="shared" si="12"/>
        <v>0</v>
      </c>
      <c r="M7" s="23" t="str">
        <f>IF(SUMPRODUCT($H$48:L$48,$H7:L7)&lt;0.5, "Pending", IF(L7&lt;0.5, "Complete", "In Progress"))</f>
        <v>Pending</v>
      </c>
      <c r="N7" s="22">
        <v>0</v>
      </c>
      <c r="O7" s="22">
        <f t="shared" si="13"/>
        <v>0</v>
      </c>
      <c r="P7" s="23" t="str">
        <f>IF(SUMPRODUCT($H$48:O$48,$H7:O7)&lt;0.5, "Pending", IF(O7&lt;0.5, "Complete", "In Progress"))</f>
        <v>Pending</v>
      </c>
      <c r="Q7" s="22">
        <v>0</v>
      </c>
      <c r="R7" s="22">
        <f t="shared" si="14"/>
        <v>0</v>
      </c>
      <c r="S7" s="23" t="str">
        <f>IF(SUMPRODUCT($H$48:R$48,$H7:R7)&lt;0.5, "Pending", IF(R7&lt;0.5, "Complete", "In Progress"))</f>
        <v>Pending</v>
      </c>
      <c r="T7" s="22">
        <v>0</v>
      </c>
      <c r="U7" s="22">
        <f t="shared" si="15"/>
        <v>0</v>
      </c>
      <c r="V7" s="23" t="str">
        <f>IF(SUMPRODUCT($H$48:U$48,$H7:U7)&lt;0.5, "Pending", IF(U7&lt;0.5, "Complete", "In Progress"))</f>
        <v>Pending</v>
      </c>
      <c r="W7" s="22">
        <v>0</v>
      </c>
      <c r="X7" s="22">
        <f t="shared" si="16"/>
        <v>0</v>
      </c>
      <c r="Y7" s="23" t="str">
        <f>IF(SUMPRODUCT($H$48:X$48,$H7:X7)&lt;0.5, "Pending", IF(X7&lt;0.5, "Complete", "In Progress"))</f>
        <v>Pending</v>
      </c>
      <c r="Z7" s="22">
        <v>0</v>
      </c>
      <c r="AA7" s="22">
        <f t="shared" si="17"/>
        <v>0</v>
      </c>
      <c r="AB7" s="23" t="str">
        <f>IF(SUMPRODUCT($H$48:AA$48,$H7:AA7)&lt;0.5, "Pending", IF(AA7&lt;0.5, "Complete", "In Progress"))</f>
        <v>Pending</v>
      </c>
      <c r="AC7" s="22">
        <v>0</v>
      </c>
      <c r="AD7" s="22">
        <f t="shared" si="18"/>
        <v>0</v>
      </c>
      <c r="AE7" s="23" t="str">
        <f>IF(SUMPRODUCT($H$48:AD$48,$H7:AD7)&lt;0.5, "Pending", IF(AD7&lt;0.5, "Complete", "In Progress"))</f>
        <v>Pending</v>
      </c>
      <c r="AF7" s="22">
        <v>0</v>
      </c>
      <c r="AG7" s="22">
        <f t="shared" si="19"/>
        <v>0</v>
      </c>
      <c r="AH7" s="23" t="str">
        <f>IF(SUMPRODUCT($H$48:AG$48,$H7:AG7)&lt;0.5, "Pending", IF(AG7&lt;0.5, "Complete", "In Progress"))</f>
        <v>Pending</v>
      </c>
      <c r="AI7" s="22">
        <v>0</v>
      </c>
      <c r="AJ7" s="22">
        <f t="shared" si="20"/>
        <v>0</v>
      </c>
      <c r="AK7" s="23" t="str">
        <f>IF(SUMPRODUCT($H$48:AJ$48,$H7:AJ7)&lt;0.5, "Pending", IF(AJ7&lt;0.5, "Complete", "In Progress"))</f>
        <v>Pending</v>
      </c>
      <c r="AL7" s="22">
        <v>0</v>
      </c>
      <c r="AM7" s="22">
        <f t="shared" si="21"/>
        <v>0</v>
      </c>
      <c r="AN7" s="23" t="str">
        <f>IF(SUMPRODUCT($H$48:AM$48,$H7:AM7)&lt;0.5, "Pending", IF(AM7&lt;0.5, "Complete", "In Progress"))</f>
        <v>Pending</v>
      </c>
      <c r="AO7" s="22">
        <v>0</v>
      </c>
      <c r="AP7" s="22">
        <f t="shared" si="22"/>
        <v>0</v>
      </c>
      <c r="AQ7" s="23" t="str">
        <f>IF(SUMPRODUCT($H$48:AP$48,$H7:AP7)&lt;0.5, "Pending", IF(AP7&lt;0.5, "Complete", "In Progress"))</f>
        <v>Pending</v>
      </c>
      <c r="AR7" s="22">
        <v>0</v>
      </c>
      <c r="AS7" s="22">
        <f t="shared" si="23"/>
        <v>0</v>
      </c>
      <c r="AT7" s="23" t="str">
        <f>IF(SUMPRODUCT($H$48:AS$48,$H7:AS7)&lt;0.5, "Pending", IF(AS7&lt;0.5, "Complete", "In Progress"))</f>
        <v>Pending</v>
      </c>
      <c r="AU7" s="22">
        <v>0</v>
      </c>
      <c r="AV7" s="22">
        <f t="shared" si="24"/>
        <v>0</v>
      </c>
      <c r="AW7" s="23" t="str">
        <f>IF(SUMPRODUCT($H$48:AV$48,$H7:AV7)&lt;0.5, "Pending", IF(AV7&lt;0.5, "Complete", "In Progress"))</f>
        <v>Pending</v>
      </c>
      <c r="AX7" s="22">
        <v>0</v>
      </c>
      <c r="AY7" s="22">
        <f t="shared" si="25"/>
        <v>0</v>
      </c>
      <c r="AZ7" s="23" t="str">
        <f>IF(SUMPRODUCT($H$48:AY$48,$H7:AY7)&lt;0.5, "Pending", IF(AY7&lt;0.5, "Complete", "In Progress"))</f>
        <v>Pending</v>
      </c>
      <c r="BA7" s="22">
        <v>0</v>
      </c>
      <c r="BB7" s="22">
        <f t="shared" si="26"/>
        <v>0</v>
      </c>
      <c r="BC7" s="23" t="str">
        <f>IF(SUMPRODUCT($H$48:BB$48,$H7:BB7)&lt;0.5, "Pending", IF(BB7&lt;0.5, "Complete", "In Progress"))</f>
        <v>Pending</v>
      </c>
      <c r="BD7" s="22">
        <v>0</v>
      </c>
      <c r="BE7" s="22">
        <f t="shared" si="27"/>
        <v>0</v>
      </c>
      <c r="BF7" s="23" t="str">
        <f>IF(SUMPRODUCT($H$48:BE$48,$H7:BE7)&lt;0.5, "Pending", IF(BE7&lt;0.5, "Complete", "In Progress"))</f>
        <v>Pending</v>
      </c>
      <c r="BG7" s="22">
        <v>0</v>
      </c>
      <c r="BH7" s="22">
        <f t="shared" si="28"/>
        <v>0</v>
      </c>
      <c r="BI7" s="23" t="str">
        <f>IF(SUMPRODUCT($H$48:BH$48,$H7:BH7)&lt;0.5, "Pending", IF(BH7&lt;0.5, "Complete", "In Progress"))</f>
        <v>Pending</v>
      </c>
      <c r="BJ7" s="22">
        <v>0</v>
      </c>
      <c r="BK7" s="22">
        <f t="shared" si="29"/>
        <v>0</v>
      </c>
      <c r="BL7" s="23" t="str">
        <f>IF(SUMPRODUCT($H$48:BK$48,$H7:BK7)&lt;0.5, "Pending", IF(BK7&lt;0.5, "Complete", "In Progress"))</f>
        <v>Pending</v>
      </c>
      <c r="BM7" s="22">
        <v>0</v>
      </c>
      <c r="BN7" s="22">
        <f t="shared" si="30"/>
        <v>0</v>
      </c>
      <c r="BO7" s="23" t="str">
        <f>IF(SUMPRODUCT($H$48:BN$48,$H7:BN7)&lt;0.5, "Pending", IF(BN7&lt;0.5, "Complete", "In Progress"))</f>
        <v>Pending</v>
      </c>
      <c r="BP7" s="22">
        <v>0</v>
      </c>
      <c r="BQ7" s="22">
        <f t="shared" si="31"/>
        <v>0</v>
      </c>
      <c r="BR7" s="23" t="str">
        <f>IF(SUMPRODUCT($H$48:BQ$48,$H7:BQ7)&lt;0.5, "Pending", IF(BQ7&lt;0.5, "Complete", "In Progress"))</f>
        <v>Pending</v>
      </c>
      <c r="BS7" s="22">
        <v>0</v>
      </c>
      <c r="BT7" s="22">
        <f t="shared" si="32"/>
        <v>0</v>
      </c>
      <c r="BU7" s="23" t="str">
        <f>IF(SUMPRODUCT($H$48:BT$48,$H7:BT7)&lt;0.5, "Pending", IF(BT7&lt;0.5, "Complete", "In Progress"))</f>
        <v>Pending</v>
      </c>
      <c r="BV7" s="22">
        <v>0</v>
      </c>
      <c r="BW7" s="22">
        <f t="shared" si="33"/>
        <v>0</v>
      </c>
      <c r="BX7" s="23" t="str">
        <f>IF(SUMPRODUCT($H$48:BW$48,$H7:BW7)&lt;0.5, "Pending", IF(BW7&lt;0.5, "Complete", "In Progress"))</f>
        <v>Pending</v>
      </c>
      <c r="BY7" s="22">
        <v>0</v>
      </c>
      <c r="BZ7" s="22">
        <f t="shared" si="34"/>
        <v>0</v>
      </c>
      <c r="CA7" s="23" t="str">
        <f>IF(SUMPRODUCT($H$48:BZ$48,$H7:BZ7)&lt;0.5, "Pending", IF(BZ7&lt;0.5, "Complete", "In Progress"))</f>
        <v>Pending</v>
      </c>
      <c r="CB7" s="22">
        <v>0</v>
      </c>
      <c r="CC7" s="22">
        <f t="shared" si="35"/>
        <v>0</v>
      </c>
      <c r="CD7" s="23" t="str">
        <f>IF(SUMPRODUCT($H$48:CC$48,$H7:CC7)&lt;0.5, "Pending", IF(CC7&lt;0.5, "Complete", "In Progress"))</f>
        <v>Pending</v>
      </c>
      <c r="CE7" s="22">
        <v>0</v>
      </c>
      <c r="CF7" s="22">
        <f t="shared" si="36"/>
        <v>0</v>
      </c>
      <c r="CG7" s="23" t="str">
        <f>IF(SUMPRODUCT($H$48:CF$48,$H7:CF7)&lt;0.5, "Pending", IF(CF7&lt;0.5, "Complete", "In Progress"))</f>
        <v>Pending</v>
      </c>
      <c r="CH7" s="22">
        <v>0</v>
      </c>
      <c r="CI7" s="22">
        <f t="shared" si="37"/>
        <v>0</v>
      </c>
      <c r="CJ7" s="23" t="str">
        <f>IF(SUMPRODUCT($H$48:CI$48,$H7:CI7)&lt;0.5, "Pending", IF(CI7&lt;0.5, "Complete", "In Progress"))</f>
        <v>Pending</v>
      </c>
      <c r="CK7" s="22">
        <v>0</v>
      </c>
      <c r="CL7" s="22">
        <f t="shared" si="38"/>
        <v>0</v>
      </c>
      <c r="CM7" s="23" t="str">
        <f>IF(SUMPRODUCT($H$48:CL$48,$H7:CL7)&lt;0.5, "Pending", IF(CL7&lt;0.5, "Complete", "In Progress"))</f>
        <v>Pending</v>
      </c>
      <c r="CN7" s="22">
        <v>0</v>
      </c>
      <c r="CO7" s="22">
        <f t="shared" si="39"/>
        <v>0</v>
      </c>
      <c r="CP7" s="23" t="str">
        <f>IF(SUMPRODUCT($H$48:CO$48,$H7:CO7)&lt;0.5, "Pending", IF(CO7&lt;0.5, "Complete", "In Progress"))</f>
        <v>Pending</v>
      </c>
      <c r="CQ7" s="22">
        <v>0</v>
      </c>
      <c r="CR7" s="22">
        <f t="shared" si="40"/>
        <v>0</v>
      </c>
      <c r="CS7" s="23" t="str">
        <f>IF(SUMPRODUCT($H$48:CR$48,$H7:CR7)&lt;0.5, "Pending", IF(CR7&lt;0.5, "Complete", "In Progress"))</f>
        <v>Pending</v>
      </c>
      <c r="CT7" s="22">
        <v>0</v>
      </c>
      <c r="CU7" s="22">
        <f t="shared" si="1"/>
        <v>0</v>
      </c>
      <c r="CV7" s="23" t="str">
        <f>IF(SUMPRODUCT($H$48:CU$48,$H7:CU7)&lt;0.5, "Pending", IF(CU7&lt;0.5, "Complete", "In Progress"))</f>
        <v>Pending</v>
      </c>
      <c r="CW7" s="22">
        <v>0</v>
      </c>
      <c r="CX7" s="22">
        <f t="shared" si="2"/>
        <v>0</v>
      </c>
      <c r="CY7" s="23" t="str">
        <f>IF(SUMPRODUCT($H$48:CX$48,$H7:CX7)&lt;0.5, "Pending", IF(CX7&lt;0.5, "Complete", "In Progress"))</f>
        <v>Pending</v>
      </c>
      <c r="CZ7" s="22">
        <v>0</v>
      </c>
      <c r="DA7" s="22">
        <f t="shared" si="3"/>
        <v>0</v>
      </c>
      <c r="DB7" s="23" t="str">
        <f>IF(SUMPRODUCT($H$48:DA$48,$H7:DA7)&lt;0.5, "Pending", IF(DA7&lt;0.5, "Complete", "In Progress"))</f>
        <v>Pending</v>
      </c>
      <c r="DC7" s="22">
        <v>0</v>
      </c>
      <c r="DD7" s="22">
        <f t="shared" si="4"/>
        <v>0</v>
      </c>
      <c r="DE7" s="23" t="str">
        <f>IF(SUMPRODUCT($H$48:DD$48,$H7:DD7)&lt;0.5, "Pending", IF(DD7&lt;0.5, "Complete", "In Progress"))</f>
        <v>Pending</v>
      </c>
      <c r="DF7" s="22">
        <v>0</v>
      </c>
      <c r="DG7" s="22">
        <f t="shared" si="5"/>
        <v>0</v>
      </c>
      <c r="DH7" s="23" t="str">
        <f>IF(SUMPRODUCT($H$48:DG$48,$H7:DG7)&lt;0.5, "Pending", IF(DG7&lt;0.5, "Complete", "In Progress"))</f>
        <v>Pending</v>
      </c>
      <c r="DI7" s="22">
        <v>0</v>
      </c>
      <c r="DJ7" s="22">
        <f t="shared" si="6"/>
        <v>0</v>
      </c>
      <c r="DK7" s="23" t="str">
        <f>IF(SUMPRODUCT($H$48:DJ$48,$H7:DJ7)&lt;0.5, "Pending", IF(DJ7&lt;0.5, "Complete", "In Progress"))</f>
        <v>Pending</v>
      </c>
      <c r="DL7" s="22">
        <v>0</v>
      </c>
      <c r="DM7" s="22">
        <f t="shared" si="7"/>
        <v>0</v>
      </c>
      <c r="DN7" s="23" t="str">
        <f>IF(SUMPRODUCT($H$48:DM$48,$H7:DM7)&lt;0.5, "Pending", IF(DM7&lt;0.5, "Complete", "In Progress"))</f>
        <v>Pending</v>
      </c>
      <c r="DO7" s="22">
        <v>0</v>
      </c>
      <c r="DP7" s="22">
        <f t="shared" si="8"/>
        <v>0</v>
      </c>
      <c r="DQ7" s="23" t="str">
        <f>IF(SUMPRODUCT($H$48:DP$48,$H7:DP7)&lt;0.5, "Pending", IF(DP7&lt;0.5, "Complete", "In Progress"))</f>
        <v>Pending</v>
      </c>
      <c r="DR7" s="22">
        <v>0</v>
      </c>
      <c r="DS7" s="22">
        <f t="shared" si="9"/>
        <v>0</v>
      </c>
      <c r="DT7" s="23" t="str">
        <f>IF(SUMPRODUCT($H$48:DS$48,$H7:DS7)&lt;0.5, "Pending", IF(DS7&lt;0.5, "Complete", "In Progress"))</f>
        <v>Pending</v>
      </c>
      <c r="DU7" s="22">
        <v>0</v>
      </c>
      <c r="DV7" s="22">
        <f t="shared" si="10"/>
        <v>0</v>
      </c>
      <c r="DW7" s="23" t="str">
        <f>IF(SUMPRODUCT($H$48:DV$48,$H7:DV7)&lt;0.5, "Pending", IF(DV7&lt;0.5, "Complete", "In Progress"))</f>
        <v>Pending</v>
      </c>
      <c r="DX7" s="24"/>
      <c r="DY7" s="25">
        <f>SUMPRODUCT($F$48:DE$48,$F7:DE7)</f>
        <v>0</v>
      </c>
    </row>
    <row r="8" spans="1:129">
      <c r="A8" s="16"/>
      <c r="B8" s="17"/>
      <c r="C8" s="26"/>
      <c r="D8" s="18" t="s">
        <v>54</v>
      </c>
      <c r="E8" s="19" t="str">
        <f t="shared" ca="1" si="0"/>
        <v>Pending</v>
      </c>
      <c r="F8" s="20">
        <v>1</v>
      </c>
      <c r="G8" s="21">
        <v>0</v>
      </c>
      <c r="H8" s="22">
        <v>0</v>
      </c>
      <c r="I8" s="22">
        <f t="shared" si="11"/>
        <v>0</v>
      </c>
      <c r="J8" s="23" t="str">
        <f>IF(SUMPRODUCT($H$48:I$48,$H8:I8)&lt;0.5, "Pending", IF(I8&lt;0.5, "Complete", "In Progress"))</f>
        <v>Pending</v>
      </c>
      <c r="K8" s="22">
        <v>0</v>
      </c>
      <c r="L8" s="22">
        <f t="shared" si="12"/>
        <v>0</v>
      </c>
      <c r="M8" s="23" t="str">
        <f>IF(SUMPRODUCT($H$48:L$48,$H8:L8)&lt;0.5,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IF(SUMPRODUCT($H$48:O$48,$H8:O8)&lt;0.5,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IF(SUMPRODUCT($H$48:R$48,$H8:R8)&lt;0.5,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IF(SUMPRODUCT($H$48:U$48,$H8:U8)&lt;0.5,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IF(SUMPRODUCT($H$48:X$48,$H8:X8)&lt;0.5,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IF(SUMPRODUCT($H$48:AA$48,$H8:AA8)&lt;0.5,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IF(SUMPRODUCT($H$48:AD$48,$H8:AD8)&lt;0.5,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IF(SUMPRODUCT($H$48:AG$48,$H8:AG8)&lt;0.5,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IF(SUMPRODUCT($H$48:AJ$48,$H8:AJ8)&lt;0.5,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IF(SUMPRODUCT($H$48:AM$48,$H8:AM8)&lt;0.5,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IF(SUMPRODUCT($H$48:AP$48,$H8:AP8)&lt;0.5,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IF(SUMPRODUCT($H$48:AS$48,$H8:AS8)&lt;0.5,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IF(SUMPRODUCT($H$48:AV$48,$H8:AV8)&lt;0.5,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IF(SUMPRODUCT($H$48:AY$48,$H8:AY8)&lt;0.5,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IF(SUMPRODUCT($H$48:BB$48,$H8:BB8)&lt;0.5,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IF(SUMPRODUCT($H$48:BE$48,$H8:BE8)&lt;0.5,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IF(SUMPRODUCT($H$48:BH$48,$H8:BH8)&lt;0.5,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IF(SUMPRODUCT($H$48:BK$48,$H8:BK8)&lt;0.5,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IF(SUMPRODUCT($H$48:BN$48,$H8:BN8)&lt;0.5,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IF(SUMPRODUCT($H$48:BQ$48,$H8:BQ8)&lt;0.5,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IF(SUMPRODUCT($H$48:BT$48,$H8:BT8)&lt;0.5,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IF(SUMPRODUCT($H$48:BW$48,$H8:BW8)&lt;0.5,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IF(SUMPRODUCT($H$48:BZ$48,$H8:BZ8)&lt;0.5,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IF(SUMPRODUCT($H$48:CC$48,$H8:CC8)&lt;0.5,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IF(SUMPRODUCT($H$48:CF$48,$H8:CF8)&lt;0.5,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IF(SUMPRODUCT($H$48:CI$48,$H8:CI8)&lt;0.5,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IF(SUMPRODUCT($H$48:CL$48,$H8:CL8)&lt;0.5,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IF(SUMPRODUCT($H$48:CO$48,$H8:CO8)&lt;0.5,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IF(SUMPRODUCT($H$48:CR$48,$H8:CR8)&lt;0.5, "Pending", IF(CR8&lt;0.5, "Complete", "In Progress"))</f>
        <v>Pending</v>
      </c>
      <c r="CT8" s="22">
        <v>0</v>
      </c>
      <c r="CU8" s="22">
        <f t="shared" si="1"/>
        <v>0</v>
      </c>
      <c r="CV8" s="23" t="str">
        <f>IF(SUMPRODUCT($H$48:CU$48,$H8:CU8)&lt;0.5,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IF(SUMPRODUCT($H$48:CX$48,$H8:CX8)&lt;0.5,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IF(SUMPRODUCT($H$48:DA$48,$H8:DA8)&lt;0.5,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IF(SUMPRODUCT($H$48:DD$48,$H8:DD8)&lt;0.5,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IF(SUMPRODUCT($H$48:DG$48,$H8:DG8)&lt;0.5,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IF(SUMPRODUCT($H$48:DJ$48,$H8:DJ8)&lt;0.5,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IF(SUMPRODUCT($H$48:DM$48,$H8:DM8)&lt;0.5,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IF(SUMPRODUCT($H$48:DP$48,$H8:DP8)&lt;0.5,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IF(SUMPRODUCT($H$48:DS$48,$H8:DS8)&lt;0.5,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IF(SUMPRODUCT($H$48:DV$48,$H8:DV8)&lt;0.5, "Pending", IF(DV8&lt;0.5, "Complete", "In Progress"))</f>
        <v>Pending</v>
      </c>
      <c r="DX8" s="24"/>
      <c r="DY8" s="25">
        <f>SUMPRODUCT($F$48:DE$48,$F8:DE8)</f>
        <v>0</v>
      </c>
    </row>
    <row r="9" spans="1:129">
      <c r="A9" s="16"/>
      <c r="B9" s="17"/>
      <c r="C9" s="26"/>
      <c r="D9" s="18" t="s">
        <v>54</v>
      </c>
      <c r="E9" s="19" t="str">
        <f t="shared" ca="1" si="0"/>
        <v>Pending</v>
      </c>
      <c r="F9" s="20">
        <v>1</v>
      </c>
      <c r="G9" s="21">
        <v>0</v>
      </c>
      <c r="H9" s="22">
        <v>0</v>
      </c>
      <c r="I9" s="22">
        <f t="shared" si="11"/>
        <v>0</v>
      </c>
      <c r="J9" s="23" t="str">
        <f>IF(SUMPRODUCT($H$48:I$48,$H9:I9)&lt;0.5, "Pending", IF(I9&lt;0.5, "Complete", "In Progress"))</f>
        <v>Pending</v>
      </c>
      <c r="K9" s="22">
        <v>0</v>
      </c>
      <c r="L9" s="22">
        <f t="shared" si="12"/>
        <v>0</v>
      </c>
      <c r="M9" s="23" t="str">
        <f>IF(SUMPRODUCT($H$48:L$48,$H9:L9)&lt;0.5,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IF(SUMPRODUCT($H$48:O$48,$H9:O9)&lt;0.5,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IF(SUMPRODUCT($H$48:R$48,$H9:R9)&lt;0.5,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IF(SUMPRODUCT($H$48:U$48,$H9:U9)&lt;0.5,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IF(SUMPRODUCT($H$48:X$48,$H9:X9)&lt;0.5,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IF(SUMPRODUCT($H$48:AA$48,$H9:AA9)&lt;0.5,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IF(SUMPRODUCT($H$48:AD$48,$H9:AD9)&lt;0.5,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IF(SUMPRODUCT($H$48:AG$48,$H9:AG9)&lt;0.5,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IF(SUMPRODUCT($H$48:AJ$48,$H9:AJ9)&lt;0.5,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IF(SUMPRODUCT($H$48:AM$48,$H9:AM9)&lt;0.5,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IF(SUMPRODUCT($H$48:AP$48,$H9:AP9)&lt;0.5,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IF(SUMPRODUCT($H$48:AS$48,$H9:AS9)&lt;0.5,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IF(SUMPRODUCT($H$48:AV$48,$H9:AV9)&lt;0.5,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IF(SUMPRODUCT($H$48:AY$48,$H9:AY9)&lt;0.5,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IF(SUMPRODUCT($H$48:BB$48,$H9:BB9)&lt;0.5,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IF(SUMPRODUCT($H$48:BE$48,$H9:BE9)&lt;0.5,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IF(SUMPRODUCT($H$48:BH$48,$H9:BH9)&lt;0.5,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IF(SUMPRODUCT($H$48:BK$48,$H9:BK9)&lt;0.5,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IF(SUMPRODUCT($H$48:BN$48,$H9:BN9)&lt;0.5,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IF(SUMPRODUCT($H$48:BQ$48,$H9:BQ9)&lt;0.5,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IF(SUMPRODUCT($H$48:BT$48,$H9:BT9)&lt;0.5,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IF(SUMPRODUCT($H$48:BW$48,$H9:BW9)&lt;0.5,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IF(SUMPRODUCT($H$48:BZ$48,$H9:BZ9)&lt;0.5,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IF(SUMPRODUCT($H$48:CC$48,$H9:CC9)&lt;0.5,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IF(SUMPRODUCT($H$48:CF$48,$H9:CF9)&lt;0.5,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IF(SUMPRODUCT($H$48:CI$48,$H9:CI9)&lt;0.5,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IF(SUMPRODUCT($H$48:CL$48,$H9:CL9)&lt;0.5,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IF(SUMPRODUCT($H$48:CO$48,$H9:CO9)&lt;0.5,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IF(SUMPRODUCT($H$48:CR$48,$H9:CR9)&lt;0.5, "Pending", IF(CR9&lt;0.5, "Complete", "In Progress"))</f>
        <v>Pending</v>
      </c>
      <c r="CT9" s="22">
        <v>0</v>
      </c>
      <c r="CU9" s="22">
        <f t="shared" si="1"/>
        <v>0</v>
      </c>
      <c r="CV9" s="23" t="str">
        <f>IF(SUMPRODUCT($H$48:CU$48,$H9:CU9)&lt;0.5,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IF(SUMPRODUCT($H$48:CX$48,$H9:CX9)&lt;0.5,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IF(SUMPRODUCT($H$48:DA$48,$H9:DA9)&lt;0.5,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IF(SUMPRODUCT($H$48:DD$48,$H9:DD9)&lt;0.5,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IF(SUMPRODUCT($H$48:DG$48,$H9:DG9)&lt;0.5,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IF(SUMPRODUCT($H$48:DJ$48,$H9:DJ9)&lt;0.5,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IF(SUMPRODUCT($H$48:DM$48,$H9:DM9)&lt;0.5,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IF(SUMPRODUCT($H$48:DP$48,$H9:DP9)&lt;0.5,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IF(SUMPRODUCT($H$48:DS$48,$H9:DS9)&lt;0.5,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IF(SUMPRODUCT($H$48:DV$48,$H9:DV9)&lt;0.5, "Pending", IF(DV9&lt;0.5, "Complete", "In Progress"))</f>
        <v>Pending</v>
      </c>
      <c r="DX9" s="24"/>
      <c r="DY9" s="25">
        <f>SUMPRODUCT($F$48:DE$48,$F9:DE9)</f>
        <v>0</v>
      </c>
    </row>
    <row r="10" spans="1:129">
      <c r="A10" s="16"/>
      <c r="B10" s="17"/>
      <c r="C10" s="26"/>
      <c r="D10" s="18" t="s">
        <v>54</v>
      </c>
      <c r="E10" s="19" t="str">
        <f t="shared" ca="1" si="0"/>
        <v>Pending</v>
      </c>
      <c r="F10" s="20">
        <v>1</v>
      </c>
      <c r="G10" s="21">
        <v>0</v>
      </c>
      <c r="H10" s="22">
        <v>0</v>
      </c>
      <c r="I10" s="22">
        <f t="shared" si="11"/>
        <v>0</v>
      </c>
      <c r="J10" s="23" t="str">
        <f>IF(SUMPRODUCT($H$48:I$48,$H10:I10)&lt;0.5, "Pending", IF(I10&lt;0.5, "Complete", "In Progress"))</f>
        <v>Pending</v>
      </c>
      <c r="K10" s="22">
        <v>0</v>
      </c>
      <c r="L10" s="22">
        <f t="shared" si="12"/>
        <v>0</v>
      </c>
      <c r="M10" s="23" t="str">
        <f>IF(SUMPRODUCT($H$48:L$48,$H10:L10)&lt;0.5,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IF(SUMPRODUCT($H$48:O$48,$H10:O10)&lt;0.5,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IF(SUMPRODUCT($H$48:R$48,$H10:R10)&lt;0.5,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IF(SUMPRODUCT($H$48:U$48,$H10:U10)&lt;0.5,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IF(SUMPRODUCT($H$48:X$48,$H10:X10)&lt;0.5,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IF(SUMPRODUCT($H$48:AA$48,$H10:AA10)&lt;0.5,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IF(SUMPRODUCT($H$48:AD$48,$H10:AD10)&lt;0.5,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IF(SUMPRODUCT($H$48:AG$48,$H10:AG10)&lt;0.5,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IF(SUMPRODUCT($H$48:AJ$48,$H10:AJ10)&lt;0.5,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IF(SUMPRODUCT($H$48:AM$48,$H10:AM10)&lt;0.5,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IF(SUMPRODUCT($H$48:AP$48,$H10:AP10)&lt;0.5,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IF(SUMPRODUCT($H$48:AS$48,$H10:AS10)&lt;0.5,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IF(SUMPRODUCT($H$48:AV$48,$H10:AV10)&lt;0.5,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IF(SUMPRODUCT($H$48:AY$48,$H10:AY10)&lt;0.5,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IF(SUMPRODUCT($H$48:BB$48,$H10:BB10)&lt;0.5,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IF(SUMPRODUCT($H$48:BE$48,$H10:BE10)&lt;0.5,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IF(SUMPRODUCT($H$48:BH$48,$H10:BH10)&lt;0.5,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IF(SUMPRODUCT($H$48:BK$48,$H10:BK10)&lt;0.5,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IF(SUMPRODUCT($H$48:BN$48,$H10:BN10)&lt;0.5,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IF(SUMPRODUCT($H$48:BQ$48,$H10:BQ10)&lt;0.5,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IF(SUMPRODUCT($H$48:BT$48,$H10:BT10)&lt;0.5,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IF(SUMPRODUCT($H$48:BW$48,$H10:BW10)&lt;0.5,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IF(SUMPRODUCT($H$48:BZ$48,$H10:BZ10)&lt;0.5,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IF(SUMPRODUCT($H$48:CC$48,$H10:CC10)&lt;0.5,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IF(SUMPRODUCT($H$48:CF$48,$H10:CF10)&lt;0.5,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IF(SUMPRODUCT($H$48:CI$48,$H10:CI10)&lt;0.5,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IF(SUMPRODUCT($H$48:CL$48,$H10:CL10)&lt;0.5,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IF(SUMPRODUCT($H$48:CO$48,$H10:CO10)&lt;0.5,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IF(SUMPRODUCT($H$48:CR$48,$H10:CR10)&lt;0.5, "Pending", IF(CR10&lt;0.5, "Complete", "In Progress"))</f>
        <v>Pending</v>
      </c>
      <c r="CT10" s="22">
        <v>0</v>
      </c>
      <c r="CU10" s="22">
        <f t="shared" si="1"/>
        <v>0</v>
      </c>
      <c r="CV10" s="23" t="str">
        <f>IF(SUMPRODUCT($H$48:CU$48,$H10:CU10)&lt;0.5,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IF(SUMPRODUCT($H$48:CX$48,$H10:CX10)&lt;0.5,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IF(SUMPRODUCT($H$48:DA$48,$H10:DA10)&lt;0.5,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IF(SUMPRODUCT($H$48:DD$48,$H10:DD10)&lt;0.5,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IF(SUMPRODUCT($H$48:DG$48,$H10:DG10)&lt;0.5,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IF(SUMPRODUCT($H$48:DJ$48,$H10:DJ10)&lt;0.5,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IF(SUMPRODUCT($H$48:DM$48,$H10:DM10)&lt;0.5,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IF(SUMPRODUCT($H$48:DP$48,$H10:DP10)&lt;0.5,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IF(SUMPRODUCT($H$48:DS$48,$H10:DS10)&lt;0.5,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IF(SUMPRODUCT($H$48:DV$48,$H10:DV10)&lt;0.5, "Pending", IF(DV10&lt;0.5, "Complete", "In Progress"))</f>
        <v>Pending</v>
      </c>
      <c r="DX10" s="24"/>
      <c r="DY10" s="25">
        <f>SUMPRODUCT($F$48:DE$48,$F10:DE10)</f>
        <v>0</v>
      </c>
    </row>
    <row r="11" spans="1:129">
      <c r="A11" s="16"/>
      <c r="B11" s="17"/>
      <c r="C11" s="26"/>
      <c r="D11" s="18" t="s">
        <v>54</v>
      </c>
      <c r="E11" s="19" t="str">
        <f t="shared" ca="1" si="0"/>
        <v>Pending</v>
      </c>
      <c r="F11" s="20">
        <v>1</v>
      </c>
      <c r="G11" s="21">
        <v>0</v>
      </c>
      <c r="H11" s="22">
        <v>0</v>
      </c>
      <c r="I11" s="22">
        <f t="shared" si="11"/>
        <v>0</v>
      </c>
      <c r="J11" s="23" t="str">
        <f>IF(SUMPRODUCT($H$48:I$48,$H11:I11)&lt;0.5, "Pending", IF(I11&lt;0.5, "Complete", "In Progress"))</f>
        <v>Pending</v>
      </c>
      <c r="K11" s="22">
        <v>0</v>
      </c>
      <c r="L11" s="22">
        <f t="shared" si="12"/>
        <v>0</v>
      </c>
      <c r="M11" s="23" t="str">
        <f>IF(SUMPRODUCT($H$48:L$48,$H11:L11)&lt;0.5,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IF(SUMPRODUCT($H$48:O$48,$H11:O11)&lt;0.5,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IF(SUMPRODUCT($H$48:R$48,$H11:R11)&lt;0.5,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IF(SUMPRODUCT($H$48:U$48,$H11:U11)&lt;0.5,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IF(SUMPRODUCT($H$48:X$48,$H11:X11)&lt;0.5,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IF(SUMPRODUCT($H$48:AA$48,$H11:AA11)&lt;0.5,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IF(SUMPRODUCT($H$48:AD$48,$H11:AD11)&lt;0.5,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IF(SUMPRODUCT($H$48:AG$48,$H11:AG11)&lt;0.5,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IF(SUMPRODUCT($H$48:AJ$48,$H11:AJ11)&lt;0.5,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IF(SUMPRODUCT($H$48:AM$48,$H11:AM11)&lt;0.5,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IF(SUMPRODUCT($H$48:AP$48,$H11:AP11)&lt;0.5,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IF(SUMPRODUCT($H$48:AS$48,$H11:AS11)&lt;0.5,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IF(SUMPRODUCT($H$48:AV$48,$H11:AV11)&lt;0.5,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IF(SUMPRODUCT($H$48:AY$48,$H11:AY11)&lt;0.5,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IF(SUMPRODUCT($H$48:BB$48,$H11:BB11)&lt;0.5,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IF(SUMPRODUCT($H$48:BE$48,$H11:BE11)&lt;0.5,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IF(SUMPRODUCT($H$48:BH$48,$H11:BH11)&lt;0.5,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IF(SUMPRODUCT($H$48:BK$48,$H11:BK11)&lt;0.5,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IF(SUMPRODUCT($H$48:BN$48,$H11:BN11)&lt;0.5,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IF(SUMPRODUCT($H$48:BQ$48,$H11:BQ11)&lt;0.5,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IF(SUMPRODUCT($H$48:BT$48,$H11:BT11)&lt;0.5,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IF(SUMPRODUCT($H$48:BW$48,$H11:BW11)&lt;0.5,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IF(SUMPRODUCT($H$48:BZ$48,$H11:BZ11)&lt;0.5,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IF(SUMPRODUCT($H$48:CC$48,$H11:CC11)&lt;0.5,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IF(SUMPRODUCT($H$48:CF$48,$H11:CF11)&lt;0.5,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IF(SUMPRODUCT($H$48:CI$48,$H11:CI11)&lt;0.5,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IF(SUMPRODUCT($H$48:CL$48,$H11:CL11)&lt;0.5,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IF(SUMPRODUCT($H$48:CO$48,$H11:CO11)&lt;0.5,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IF(SUMPRODUCT($H$48:CR$48,$H11:CR11)&lt;0.5, "Pending", IF(CR11&lt;0.5, "Complete", "In Progress"))</f>
        <v>Pending</v>
      </c>
      <c r="CT11" s="22">
        <v>0</v>
      </c>
      <c r="CU11" s="22">
        <f t="shared" si="1"/>
        <v>0</v>
      </c>
      <c r="CV11" s="23" t="str">
        <f>IF(SUMPRODUCT($H$48:CU$48,$H11:CU11)&lt;0.5,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IF(SUMPRODUCT($H$48:CX$48,$H11:CX11)&lt;0.5,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IF(SUMPRODUCT($H$48:DA$48,$H11:DA11)&lt;0.5,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IF(SUMPRODUCT($H$48:DD$48,$H11:DD11)&lt;0.5,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IF(SUMPRODUCT($H$48:DG$48,$H11:DG11)&lt;0.5,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IF(SUMPRODUCT($H$48:DJ$48,$H11:DJ11)&lt;0.5,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IF(SUMPRODUCT($H$48:DM$48,$H11:DM11)&lt;0.5,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IF(SUMPRODUCT($H$48:DP$48,$H11:DP11)&lt;0.5,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IF(SUMPRODUCT($H$48:DS$48,$H11:DS11)&lt;0.5,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IF(SUMPRODUCT($H$48:DV$48,$H11:DV11)&lt;0.5, "Pending", IF(DV11&lt;0.5, "Complete", "In Progress"))</f>
        <v>Pending</v>
      </c>
      <c r="DX11" s="24"/>
      <c r="DY11" s="25">
        <f>SUMPRODUCT($F$48:DE$48,$F11:DE11)</f>
        <v>0</v>
      </c>
    </row>
    <row r="12" spans="1:129">
      <c r="A12" s="16"/>
      <c r="B12" s="17"/>
      <c r="C12" s="26"/>
      <c r="D12" s="18" t="s">
        <v>54</v>
      </c>
      <c r="E12" s="19" t="str">
        <f t="shared" ca="1" si="0"/>
        <v>Pending</v>
      </c>
      <c r="F12" s="20">
        <v>1</v>
      </c>
      <c r="G12" s="21">
        <v>0</v>
      </c>
      <c r="H12" s="22">
        <v>0</v>
      </c>
      <c r="I12" s="22">
        <f t="shared" si="11"/>
        <v>0</v>
      </c>
      <c r="J12" s="23" t="str">
        <f>IF(SUMPRODUCT($H$48:I$48,$H12:I12)&lt;0.5, "Pending", IF(I12&lt;0.5, "Complete", "In Progress"))</f>
        <v>Pending</v>
      </c>
      <c r="K12" s="22">
        <v>0</v>
      </c>
      <c r="L12" s="22">
        <f t="shared" si="12"/>
        <v>0</v>
      </c>
      <c r="M12" s="23" t="str">
        <f>IF(SUMPRODUCT($H$48:L$48,$H12:L12)&lt;0.5,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IF(SUMPRODUCT($H$48:O$48,$H12:O12)&lt;0.5,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IF(SUMPRODUCT($H$48:R$48,$H12:R12)&lt;0.5,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IF(SUMPRODUCT($H$48:U$48,$H12:U12)&lt;0.5,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IF(SUMPRODUCT($H$48:X$48,$H12:X12)&lt;0.5,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IF(SUMPRODUCT($H$48:AA$48,$H12:AA12)&lt;0.5,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IF(SUMPRODUCT($H$48:AD$48,$H12:AD12)&lt;0.5,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IF(SUMPRODUCT($H$48:AG$48,$H12:AG12)&lt;0.5,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IF(SUMPRODUCT($H$48:AJ$48,$H12:AJ12)&lt;0.5,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IF(SUMPRODUCT($H$48:AM$48,$H12:AM12)&lt;0.5,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IF(SUMPRODUCT($H$48:AP$48,$H12:AP12)&lt;0.5,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IF(SUMPRODUCT($H$48:AS$48,$H12:AS12)&lt;0.5,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IF(SUMPRODUCT($H$48:AV$48,$H12:AV12)&lt;0.5,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IF(SUMPRODUCT($H$48:AY$48,$H12:AY12)&lt;0.5,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IF(SUMPRODUCT($H$48:BB$48,$H12:BB12)&lt;0.5,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IF(SUMPRODUCT($H$48:BE$48,$H12:BE12)&lt;0.5,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IF(SUMPRODUCT($H$48:BH$48,$H12:BH12)&lt;0.5,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IF(SUMPRODUCT($H$48:BK$48,$H12:BK12)&lt;0.5,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IF(SUMPRODUCT($H$48:BN$48,$H12:BN12)&lt;0.5,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IF(SUMPRODUCT($H$48:BQ$48,$H12:BQ12)&lt;0.5,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IF(SUMPRODUCT($H$48:BT$48,$H12:BT12)&lt;0.5,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IF(SUMPRODUCT($H$48:BW$48,$H12:BW12)&lt;0.5,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IF(SUMPRODUCT($H$48:BZ$48,$H12:BZ12)&lt;0.5,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IF(SUMPRODUCT($H$48:CC$48,$H12:CC12)&lt;0.5,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IF(SUMPRODUCT($H$48:CF$48,$H12:CF12)&lt;0.5,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IF(SUMPRODUCT($H$48:CI$48,$H12:CI12)&lt;0.5,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IF(SUMPRODUCT($H$48:CL$48,$H12:CL12)&lt;0.5,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IF(SUMPRODUCT($H$48:CO$48,$H12:CO12)&lt;0.5,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IF(SUMPRODUCT($H$48:CR$48,$H12:CR12)&lt;0.5, "Pending", IF(CR12&lt;0.5, "Complete", "In Progress"))</f>
        <v>Pending</v>
      </c>
      <c r="CT12" s="22">
        <v>0</v>
      </c>
      <c r="CU12" s="22">
        <f t="shared" si="1"/>
        <v>0</v>
      </c>
      <c r="CV12" s="23" t="str">
        <f>IF(SUMPRODUCT($H$48:CU$48,$H12:CU12)&lt;0.5,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IF(SUMPRODUCT($H$48:CX$48,$H12:CX12)&lt;0.5,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IF(SUMPRODUCT($H$48:DA$48,$H12:DA12)&lt;0.5,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IF(SUMPRODUCT($H$48:DD$48,$H12:DD12)&lt;0.5,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IF(SUMPRODUCT($H$48:DG$48,$H12:DG12)&lt;0.5,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IF(SUMPRODUCT($H$48:DJ$48,$H12:DJ12)&lt;0.5,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IF(SUMPRODUCT($H$48:DM$48,$H12:DM12)&lt;0.5,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IF(SUMPRODUCT($H$48:DP$48,$H12:DP12)&lt;0.5,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IF(SUMPRODUCT($H$48:DS$48,$H12:DS12)&lt;0.5,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IF(SUMPRODUCT($H$48:DV$48,$H12:DV12)&lt;0.5, "Pending", IF(DV12&lt;0.5, "Complete", "In Progress"))</f>
        <v>Pending</v>
      </c>
      <c r="DX12" s="24"/>
      <c r="DY12" s="25">
        <f>SUMPRODUCT($F$48:DE$48,$F12:DE12)</f>
        <v>0</v>
      </c>
    </row>
    <row r="13" spans="1:129">
      <c r="A13" s="16"/>
      <c r="B13" s="17"/>
      <c r="C13" s="26"/>
      <c r="D13" s="18" t="s">
        <v>54</v>
      </c>
      <c r="E13" s="19" t="str">
        <f t="shared" ca="1" si="0"/>
        <v>Pending</v>
      </c>
      <c r="F13" s="20">
        <v>1</v>
      </c>
      <c r="G13" s="21">
        <v>0</v>
      </c>
      <c r="H13" s="22">
        <v>0</v>
      </c>
      <c r="I13" s="22">
        <f t="shared" si="11"/>
        <v>0</v>
      </c>
      <c r="J13" s="23" t="str">
        <f>IF(SUMPRODUCT($H$48:I$48,$H13:I13)&lt;0.5, "Pending", IF(I13&lt;0.5, "Complete", "In Progress"))</f>
        <v>Pending</v>
      </c>
      <c r="K13" s="22">
        <v>0</v>
      </c>
      <c r="L13" s="22">
        <f t="shared" si="12"/>
        <v>0</v>
      </c>
      <c r="M13" s="23" t="str">
        <f>IF(SUMPRODUCT($H$48:L$48,$H13:L13)&lt;0.5,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IF(SUMPRODUCT($H$48:O$48,$H13:O13)&lt;0.5,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IF(SUMPRODUCT($H$48:R$48,$H13:R13)&lt;0.5,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IF(SUMPRODUCT($H$48:U$48,$H13:U13)&lt;0.5,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IF(SUMPRODUCT($H$48:X$48,$H13:X13)&lt;0.5,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IF(SUMPRODUCT($H$48:AA$48,$H13:AA13)&lt;0.5,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IF(SUMPRODUCT($H$48:AD$48,$H13:AD13)&lt;0.5,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IF(SUMPRODUCT($H$48:AG$48,$H13:AG13)&lt;0.5,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IF(SUMPRODUCT($H$48:AJ$48,$H13:AJ13)&lt;0.5,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IF(SUMPRODUCT($H$48:AM$48,$H13:AM13)&lt;0.5,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IF(SUMPRODUCT($H$48:AP$48,$H13:AP13)&lt;0.5,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IF(SUMPRODUCT($H$48:AS$48,$H13:AS13)&lt;0.5,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IF(SUMPRODUCT($H$48:AV$48,$H13:AV13)&lt;0.5,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IF(SUMPRODUCT($H$48:AY$48,$H13:AY13)&lt;0.5,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IF(SUMPRODUCT($H$48:BB$48,$H13:BB13)&lt;0.5,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IF(SUMPRODUCT($H$48:BE$48,$H13:BE13)&lt;0.5,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IF(SUMPRODUCT($H$48:BH$48,$H13:BH13)&lt;0.5,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IF(SUMPRODUCT($H$48:BK$48,$H13:BK13)&lt;0.5,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IF(SUMPRODUCT($H$48:BN$48,$H13:BN13)&lt;0.5,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IF(SUMPRODUCT($H$48:BQ$48,$H13:BQ13)&lt;0.5,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IF(SUMPRODUCT($H$48:BT$48,$H13:BT13)&lt;0.5,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IF(SUMPRODUCT($H$48:BW$48,$H13:BW13)&lt;0.5,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IF(SUMPRODUCT($H$48:BZ$48,$H13:BZ13)&lt;0.5,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IF(SUMPRODUCT($H$48:CC$48,$H13:CC13)&lt;0.5,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IF(SUMPRODUCT($H$48:CF$48,$H13:CF13)&lt;0.5,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IF(SUMPRODUCT($H$48:CI$48,$H13:CI13)&lt;0.5,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IF(SUMPRODUCT($H$48:CL$48,$H13:CL13)&lt;0.5,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IF(SUMPRODUCT($H$48:CO$48,$H13:CO13)&lt;0.5,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IF(SUMPRODUCT($H$48:CR$48,$H13:CR13)&lt;0.5, "Pending", IF(CR13&lt;0.5, "Complete", "In Progress"))</f>
        <v>Pending</v>
      </c>
      <c r="CT13" s="22">
        <v>0</v>
      </c>
      <c r="CU13" s="22">
        <f t="shared" si="1"/>
        <v>0</v>
      </c>
      <c r="CV13" s="23" t="str">
        <f>IF(SUMPRODUCT($H$48:CU$48,$H13:CU13)&lt;0.5,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IF(SUMPRODUCT($H$48:CX$48,$H13:CX13)&lt;0.5,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IF(SUMPRODUCT($H$48:DA$48,$H13:DA13)&lt;0.5,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IF(SUMPRODUCT($H$48:DD$48,$H13:DD13)&lt;0.5,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IF(SUMPRODUCT($H$48:DG$48,$H13:DG13)&lt;0.5,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IF(SUMPRODUCT($H$48:DJ$48,$H13:DJ13)&lt;0.5,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IF(SUMPRODUCT($H$48:DM$48,$H13:DM13)&lt;0.5,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IF(SUMPRODUCT($H$48:DP$48,$H13:DP13)&lt;0.5,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IF(SUMPRODUCT($H$48:DS$48,$H13:DS13)&lt;0.5,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IF(SUMPRODUCT($H$48:DV$48,$H13:DV13)&lt;0.5, "Pending", IF(DV13&lt;0.5, "Complete", "In Progress"))</f>
        <v>Pending</v>
      </c>
      <c r="DX13" s="24"/>
      <c r="DY13" s="25">
        <f>SUMPRODUCT($F$48:DE$48,$F13:DE13)</f>
        <v>0</v>
      </c>
    </row>
    <row r="14" spans="1:129">
      <c r="A14" s="16"/>
      <c r="B14" s="17"/>
      <c r="C14" s="26"/>
      <c r="D14" s="18" t="s">
        <v>54</v>
      </c>
      <c r="E14" s="19" t="str">
        <f t="shared" ca="1" si="0"/>
        <v>Pending</v>
      </c>
      <c r="F14" s="20">
        <v>1</v>
      </c>
      <c r="G14" s="21">
        <v>0</v>
      </c>
      <c r="H14" s="22">
        <v>0</v>
      </c>
      <c r="I14" s="22">
        <f t="shared" si="11"/>
        <v>0</v>
      </c>
      <c r="J14" s="23" t="str">
        <f>IF(SUMPRODUCT($H$48:I$48,$H14:I14)&lt;0.5, "Pending", IF(I14&lt;0.5, "Complete", "In Progress"))</f>
        <v>Pending</v>
      </c>
      <c r="K14" s="22">
        <v>0</v>
      </c>
      <c r="L14" s="22">
        <f t="shared" si="12"/>
        <v>0</v>
      </c>
      <c r="M14" s="23" t="str">
        <f>IF(SUMPRODUCT($H$48:L$48,$H14:L14)&lt;0.5,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IF(SUMPRODUCT($H$48:O$48,$H14:O14)&lt;0.5,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IF(SUMPRODUCT($H$48:R$48,$H14:R14)&lt;0.5,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IF(SUMPRODUCT($H$48:U$48,$H14:U14)&lt;0.5,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IF(SUMPRODUCT($H$48:X$48,$H14:X14)&lt;0.5,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IF(SUMPRODUCT($H$48:AA$48,$H14:AA14)&lt;0.5,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IF(SUMPRODUCT($H$48:AD$48,$H14:AD14)&lt;0.5,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IF(SUMPRODUCT($H$48:AG$48,$H14:AG14)&lt;0.5,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IF(SUMPRODUCT($H$48:AJ$48,$H14:AJ14)&lt;0.5,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IF(SUMPRODUCT($H$48:AM$48,$H14:AM14)&lt;0.5,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IF(SUMPRODUCT($H$48:AP$48,$H14:AP14)&lt;0.5,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IF(SUMPRODUCT($H$48:AS$48,$H14:AS14)&lt;0.5,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IF(SUMPRODUCT($H$48:AV$48,$H14:AV14)&lt;0.5,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IF(SUMPRODUCT($H$48:AY$48,$H14:AY14)&lt;0.5,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IF(SUMPRODUCT($H$48:BB$48,$H14:BB14)&lt;0.5,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IF(SUMPRODUCT($H$48:BE$48,$H14:BE14)&lt;0.5,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IF(SUMPRODUCT($H$48:BH$48,$H14:BH14)&lt;0.5,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IF(SUMPRODUCT($H$48:BK$48,$H14:BK14)&lt;0.5,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IF(SUMPRODUCT($H$48:BN$48,$H14:BN14)&lt;0.5,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IF(SUMPRODUCT($H$48:BQ$48,$H14:BQ14)&lt;0.5,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IF(SUMPRODUCT($H$48:BT$48,$H14:BT14)&lt;0.5,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IF(SUMPRODUCT($H$48:BW$48,$H14:BW14)&lt;0.5,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IF(SUMPRODUCT($H$48:BZ$48,$H14:BZ14)&lt;0.5,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IF(SUMPRODUCT($H$48:CC$48,$H14:CC14)&lt;0.5,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IF(SUMPRODUCT($H$48:CF$48,$H14:CF14)&lt;0.5,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IF(SUMPRODUCT($H$48:CI$48,$H14:CI14)&lt;0.5,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IF(SUMPRODUCT($H$48:CL$48,$H14:CL14)&lt;0.5,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IF(SUMPRODUCT($H$48:CO$48,$H14:CO14)&lt;0.5,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IF(SUMPRODUCT($H$48:CR$48,$H14:CR14)&lt;0.5, "Pending", IF(CR14&lt;0.5, "Complete", "In Progress"))</f>
        <v>Pending</v>
      </c>
      <c r="CT14" s="22">
        <v>0</v>
      </c>
      <c r="CU14" s="22">
        <f t="shared" si="1"/>
        <v>0</v>
      </c>
      <c r="CV14" s="23" t="str">
        <f>IF(SUMPRODUCT($H$48:CU$48,$H14:CU14)&lt;0.5,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IF(SUMPRODUCT($H$48:CX$48,$H14:CX14)&lt;0.5,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IF(SUMPRODUCT($H$48:DA$48,$H14:DA14)&lt;0.5,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IF(SUMPRODUCT($H$48:DD$48,$H14:DD14)&lt;0.5,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IF(SUMPRODUCT($H$48:DG$48,$H14:DG14)&lt;0.5,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IF(SUMPRODUCT($H$48:DJ$48,$H14:DJ14)&lt;0.5,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IF(SUMPRODUCT($H$48:DM$48,$H14:DM14)&lt;0.5,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IF(SUMPRODUCT($H$48:DP$48,$H14:DP14)&lt;0.5,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IF(SUMPRODUCT($H$48:DS$48,$H14:DS14)&lt;0.5,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IF(SUMPRODUCT($H$48:DV$48,$H14:DV14)&lt;0.5, "Pending", IF(DV14&lt;0.5, "Complete", "In Progress"))</f>
        <v>Pending</v>
      </c>
      <c r="DX14" s="24"/>
      <c r="DY14" s="25">
        <f>SUMPRODUCT($F$48:DE$48,$F14:DE14)</f>
        <v>0</v>
      </c>
    </row>
    <row r="15" spans="1:129">
      <c r="A15" s="16"/>
      <c r="B15" s="17"/>
      <c r="C15" s="26"/>
      <c r="D15" s="18" t="s">
        <v>54</v>
      </c>
      <c r="E15" s="19" t="str">
        <f t="shared" ca="1" si="0"/>
        <v>Pending</v>
      </c>
      <c r="F15" s="20">
        <v>1</v>
      </c>
      <c r="G15" s="21">
        <v>0</v>
      </c>
      <c r="H15" s="22">
        <v>0</v>
      </c>
      <c r="I15" s="22">
        <f t="shared" si="11"/>
        <v>0</v>
      </c>
      <c r="J15" s="23" t="str">
        <f>IF(SUMPRODUCT($H$48:I$48,$H15:I15)&lt;0.5, "Pending", IF(I15&lt;0.5, "Complete", "In Progress"))</f>
        <v>Pending</v>
      </c>
      <c r="K15" s="22">
        <v>0</v>
      </c>
      <c r="L15" s="22">
        <f t="shared" si="12"/>
        <v>0</v>
      </c>
      <c r="M15" s="23" t="str">
        <f>IF(SUMPRODUCT($H$48:L$48,$H15:L15)&lt;0.5,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IF(SUMPRODUCT($H$48:O$48,$H15:O15)&lt;0.5,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IF(SUMPRODUCT($H$48:R$48,$H15:R15)&lt;0.5,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IF(SUMPRODUCT($H$48:U$48,$H15:U15)&lt;0.5,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IF(SUMPRODUCT($H$48:X$48,$H15:X15)&lt;0.5,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IF(SUMPRODUCT($H$48:AA$48,$H15:AA15)&lt;0.5,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IF(SUMPRODUCT($H$48:AD$48,$H15:AD15)&lt;0.5,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IF(SUMPRODUCT($H$48:AG$48,$H15:AG15)&lt;0.5,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IF(SUMPRODUCT($H$48:AJ$48,$H15:AJ15)&lt;0.5,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IF(SUMPRODUCT($H$48:AM$48,$H15:AM15)&lt;0.5,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IF(SUMPRODUCT($H$48:AP$48,$H15:AP15)&lt;0.5,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IF(SUMPRODUCT($H$48:AS$48,$H15:AS15)&lt;0.5,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IF(SUMPRODUCT($H$48:AV$48,$H15:AV15)&lt;0.5,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IF(SUMPRODUCT($H$48:AY$48,$H15:AY15)&lt;0.5,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IF(SUMPRODUCT($H$48:BB$48,$H15:BB15)&lt;0.5,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IF(SUMPRODUCT($H$48:BE$48,$H15:BE15)&lt;0.5,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IF(SUMPRODUCT($H$48:BH$48,$H15:BH15)&lt;0.5,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IF(SUMPRODUCT($H$48:BK$48,$H15:BK15)&lt;0.5,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IF(SUMPRODUCT($H$48:BN$48,$H15:BN15)&lt;0.5,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IF(SUMPRODUCT($H$48:BQ$48,$H15:BQ15)&lt;0.5,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IF(SUMPRODUCT($H$48:BT$48,$H15:BT15)&lt;0.5,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IF(SUMPRODUCT($H$48:BW$48,$H15:BW15)&lt;0.5,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IF(SUMPRODUCT($H$48:BZ$48,$H15:BZ15)&lt;0.5,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IF(SUMPRODUCT($H$48:CC$48,$H15:CC15)&lt;0.5,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IF(SUMPRODUCT($H$48:CF$48,$H15:CF15)&lt;0.5,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IF(SUMPRODUCT($H$48:CI$48,$H15:CI15)&lt;0.5,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IF(SUMPRODUCT($H$48:CL$48,$H15:CL15)&lt;0.5,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IF(SUMPRODUCT($H$48:CO$48,$H15:CO15)&lt;0.5,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IF(SUMPRODUCT($H$48:CR$48,$H15:CR15)&lt;0.5, "Pending", IF(CR15&lt;0.5, "Complete", "In Progress"))</f>
        <v>Pending</v>
      </c>
      <c r="CT15" s="22">
        <v>0</v>
      </c>
      <c r="CU15" s="22">
        <f t="shared" si="1"/>
        <v>0</v>
      </c>
      <c r="CV15" s="23" t="str">
        <f>IF(SUMPRODUCT($H$48:CU$48,$H15:CU15)&lt;0.5,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IF(SUMPRODUCT($H$48:CX$48,$H15:CX15)&lt;0.5,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IF(SUMPRODUCT($H$48:DA$48,$H15:DA15)&lt;0.5,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IF(SUMPRODUCT($H$48:DD$48,$H15:DD15)&lt;0.5,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IF(SUMPRODUCT($H$48:DG$48,$H15:DG15)&lt;0.5,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IF(SUMPRODUCT($H$48:DJ$48,$H15:DJ15)&lt;0.5,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IF(SUMPRODUCT($H$48:DM$48,$H15:DM15)&lt;0.5,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IF(SUMPRODUCT($H$48:DP$48,$H15:DP15)&lt;0.5,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IF(SUMPRODUCT($H$48:DS$48,$H15:DS15)&lt;0.5,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IF(SUMPRODUCT($H$48:DV$48,$H15:DV15)&lt;0.5, "Pending", IF(DV15&lt;0.5, "Complete", "In Progress"))</f>
        <v>Pending</v>
      </c>
      <c r="DX15" s="24"/>
      <c r="DY15" s="25">
        <f>SUMPRODUCT($F$48:DE$48,$F15:DE15)</f>
        <v>0</v>
      </c>
    </row>
    <row r="16" spans="1:129">
      <c r="A16" s="16"/>
      <c r="B16" s="17"/>
      <c r="C16" s="26"/>
      <c r="D16" s="18" t="s">
        <v>54</v>
      </c>
      <c r="E16" s="19" t="str">
        <f t="shared" ca="1" si="0"/>
        <v>Pending</v>
      </c>
      <c r="F16" s="20">
        <v>1</v>
      </c>
      <c r="G16" s="21">
        <v>0</v>
      </c>
      <c r="H16" s="22">
        <v>0</v>
      </c>
      <c r="I16" s="22">
        <f t="shared" si="11"/>
        <v>0</v>
      </c>
      <c r="J16" s="23" t="str">
        <f>IF(SUMPRODUCT($H$48:I$48,$H16:I16)&lt;0.5, "Pending", IF(I16&lt;0.5, "Complete", "In Progress"))</f>
        <v>Pending</v>
      </c>
      <c r="K16" s="22">
        <v>0</v>
      </c>
      <c r="L16" s="22">
        <f t="shared" si="12"/>
        <v>0</v>
      </c>
      <c r="M16" s="23" t="str">
        <f>IF(SUMPRODUCT($H$48:L$48,$H16:L16)&lt;0.5,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IF(SUMPRODUCT($H$48:O$48,$H16:O16)&lt;0.5,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IF(SUMPRODUCT($H$48:R$48,$H16:R16)&lt;0.5,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IF(SUMPRODUCT($H$48:U$48,$H16:U16)&lt;0.5,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IF(SUMPRODUCT($H$48:X$48,$H16:X16)&lt;0.5,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IF(SUMPRODUCT($H$48:AA$48,$H16:AA16)&lt;0.5,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IF(SUMPRODUCT($H$48:AD$48,$H16:AD16)&lt;0.5,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IF(SUMPRODUCT($H$48:AG$48,$H16:AG16)&lt;0.5,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IF(SUMPRODUCT($H$48:AJ$48,$H16:AJ16)&lt;0.5,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IF(SUMPRODUCT($H$48:AM$48,$H16:AM16)&lt;0.5,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IF(SUMPRODUCT($H$48:AP$48,$H16:AP16)&lt;0.5,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IF(SUMPRODUCT($H$48:AS$48,$H16:AS16)&lt;0.5,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IF(SUMPRODUCT($H$48:AV$48,$H16:AV16)&lt;0.5,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IF(SUMPRODUCT($H$48:AY$48,$H16:AY16)&lt;0.5,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IF(SUMPRODUCT($H$48:BB$48,$H16:BB16)&lt;0.5,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IF(SUMPRODUCT($H$48:BE$48,$H16:BE16)&lt;0.5,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IF(SUMPRODUCT($H$48:BH$48,$H16:BH16)&lt;0.5,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IF(SUMPRODUCT($H$48:BK$48,$H16:BK16)&lt;0.5,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IF(SUMPRODUCT($H$48:BN$48,$H16:BN16)&lt;0.5,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IF(SUMPRODUCT($H$48:BQ$48,$H16:BQ16)&lt;0.5,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IF(SUMPRODUCT($H$48:BT$48,$H16:BT16)&lt;0.5,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IF(SUMPRODUCT($H$48:BW$48,$H16:BW16)&lt;0.5,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IF(SUMPRODUCT($H$48:BZ$48,$H16:BZ16)&lt;0.5,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IF(SUMPRODUCT($H$48:CC$48,$H16:CC16)&lt;0.5,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IF(SUMPRODUCT($H$48:CF$48,$H16:CF16)&lt;0.5,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IF(SUMPRODUCT($H$48:CI$48,$H16:CI16)&lt;0.5,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IF(SUMPRODUCT($H$48:CL$48,$H16:CL16)&lt;0.5,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IF(SUMPRODUCT($H$48:CO$48,$H16:CO16)&lt;0.5,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IF(SUMPRODUCT($H$48:CR$48,$H16:CR16)&lt;0.5, "Pending", IF(CR16&lt;0.5, "Complete", "In Progress"))</f>
        <v>Pending</v>
      </c>
      <c r="CT16" s="22"/>
      <c r="CU16" s="22"/>
      <c r="CV16" s="23"/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4"/>
      <c r="DY16" s="25">
        <f>SUMPRODUCT($F$48:DE$48,$F16:DE16)</f>
        <v>0</v>
      </c>
    </row>
    <row r="17" spans="1:129">
      <c r="A17" s="16"/>
      <c r="B17" s="17"/>
      <c r="C17" s="26"/>
      <c r="D17" s="18" t="s">
        <v>54</v>
      </c>
      <c r="E17" s="19" t="str">
        <f t="shared" ca="1" si="0"/>
        <v>Pending</v>
      </c>
      <c r="F17" s="20">
        <v>1</v>
      </c>
      <c r="G17" s="21">
        <v>0</v>
      </c>
      <c r="H17" s="22">
        <v>0</v>
      </c>
      <c r="I17" s="22">
        <f t="shared" si="11"/>
        <v>0</v>
      </c>
      <c r="J17" s="23" t="str">
        <f>IF(SUMPRODUCT($H$48:I$48,$H17:I17)&lt;0.5, "Pending", IF(I17&lt;0.5, "Complete", "In Progress"))</f>
        <v>Pending</v>
      </c>
      <c r="K17" s="22">
        <v>0</v>
      </c>
      <c r="L17" s="22">
        <f t="shared" si="12"/>
        <v>0</v>
      </c>
      <c r="M17" s="23" t="str">
        <f>IF(SUMPRODUCT($H$48:L$48,$H17:L17)&lt;0.5,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IF(SUMPRODUCT($H$48:O$48,$H17:O17)&lt;0.5,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IF(SUMPRODUCT($H$48:R$48,$H17:R17)&lt;0.5,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IF(SUMPRODUCT($H$48:U$48,$H17:U17)&lt;0.5,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IF(SUMPRODUCT($H$48:X$48,$H17:X17)&lt;0.5,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IF(SUMPRODUCT($H$48:AA$48,$H17:AA17)&lt;0.5,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IF(SUMPRODUCT($H$48:AD$48,$H17:AD17)&lt;0.5,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IF(SUMPRODUCT($H$48:AG$48,$H17:AG17)&lt;0.5,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IF(SUMPRODUCT($H$48:AJ$48,$H17:AJ17)&lt;0.5,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IF(SUMPRODUCT($H$48:AM$48,$H17:AM17)&lt;0.5,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IF(SUMPRODUCT($H$48:AP$48,$H17:AP17)&lt;0.5,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IF(SUMPRODUCT($H$48:AS$48,$H17:AS17)&lt;0.5,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IF(SUMPRODUCT($H$48:AV$48,$H17:AV17)&lt;0.5,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IF(SUMPRODUCT($H$48:AY$48,$H17:AY17)&lt;0.5,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IF(SUMPRODUCT($H$48:BB$48,$H17:BB17)&lt;0.5,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IF(SUMPRODUCT($H$48:BE$48,$H17:BE17)&lt;0.5,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IF(SUMPRODUCT($H$48:BH$48,$H17:BH17)&lt;0.5,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IF(SUMPRODUCT($H$48:BK$48,$H17:BK17)&lt;0.5,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IF(SUMPRODUCT($H$48:BN$48,$H17:BN17)&lt;0.5,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IF(SUMPRODUCT($H$48:BQ$48,$H17:BQ17)&lt;0.5,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IF(SUMPRODUCT($H$48:BT$48,$H17:BT17)&lt;0.5,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IF(SUMPRODUCT($H$48:BW$48,$H17:BW17)&lt;0.5,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IF(SUMPRODUCT($H$48:BZ$48,$H17:BZ17)&lt;0.5,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IF(SUMPRODUCT($H$48:CC$48,$H17:CC17)&lt;0.5,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IF(SUMPRODUCT($H$48:CF$48,$H17:CF17)&lt;0.5,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IF(SUMPRODUCT($H$48:CI$48,$H17:CI17)&lt;0.5,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IF(SUMPRODUCT($H$48:CL$48,$H17:CL17)&lt;0.5,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IF(SUMPRODUCT($H$48:CO$48,$H17:CO17)&lt;0.5,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IF(SUMPRODUCT($H$48:CR$48,$H17:CR17)&lt;0.5, "Pending", IF(CR17&lt;0.5, "Complete", "In Progress"))</f>
        <v>Pending</v>
      </c>
      <c r="CT17" s="22"/>
      <c r="CU17" s="22"/>
      <c r="CV17" s="23"/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4"/>
      <c r="DY17" s="25">
        <f>SUMPRODUCT($F$48:DE$48,$F17:DE17)</f>
        <v>0</v>
      </c>
    </row>
    <row r="18" spans="1:129">
      <c r="A18" s="16"/>
      <c r="B18" s="17"/>
      <c r="C18" s="26"/>
      <c r="D18" s="18" t="s">
        <v>54</v>
      </c>
      <c r="E18" s="19" t="str">
        <f t="shared" ca="1" si="0"/>
        <v>Pending</v>
      </c>
      <c r="F18" s="20">
        <v>1</v>
      </c>
      <c r="G18" s="21">
        <v>0</v>
      </c>
      <c r="H18" s="22">
        <v>0</v>
      </c>
      <c r="I18" s="22">
        <f t="shared" si="11"/>
        <v>0</v>
      </c>
      <c r="J18" s="23" t="str">
        <f>IF(SUMPRODUCT($H$48:I$48,$H18:I18)&lt;0.5, "Pending", IF(I18&lt;0.5, "Complete", "In Progress"))</f>
        <v>Pending</v>
      </c>
      <c r="K18" s="22">
        <v>0</v>
      </c>
      <c r="L18" s="22">
        <f t="shared" si="12"/>
        <v>0</v>
      </c>
      <c r="M18" s="23" t="str">
        <f>IF(SUMPRODUCT($H$48:L$48,$H18:L18)&lt;0.5,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IF(SUMPRODUCT($H$48:O$48,$H18:O18)&lt;0.5,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IF(SUMPRODUCT($H$48:R$48,$H18:R18)&lt;0.5,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IF(SUMPRODUCT($H$48:U$48,$H18:U18)&lt;0.5,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IF(SUMPRODUCT($H$48:X$48,$H18:X18)&lt;0.5,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IF(SUMPRODUCT($H$48:AA$48,$H18:AA18)&lt;0.5,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IF(SUMPRODUCT($H$48:AD$48,$H18:AD18)&lt;0.5,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IF(SUMPRODUCT($H$48:AG$48,$H18:AG18)&lt;0.5,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IF(SUMPRODUCT($H$48:AJ$48,$H18:AJ18)&lt;0.5,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IF(SUMPRODUCT($H$48:AM$48,$H18:AM18)&lt;0.5,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IF(SUMPRODUCT($H$48:AP$48,$H18:AP18)&lt;0.5,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IF(SUMPRODUCT($H$48:AS$48,$H18:AS18)&lt;0.5,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IF(SUMPRODUCT($H$48:AV$48,$H18:AV18)&lt;0.5,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IF(SUMPRODUCT($H$48:AY$48,$H18:AY18)&lt;0.5,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IF(SUMPRODUCT($H$48:BB$48,$H18:BB18)&lt;0.5,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IF(SUMPRODUCT($H$48:BE$48,$H18:BE18)&lt;0.5,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IF(SUMPRODUCT($H$48:BH$48,$H18:BH18)&lt;0.5,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IF(SUMPRODUCT($H$48:BK$48,$H18:BK18)&lt;0.5,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IF(SUMPRODUCT($H$48:BN$48,$H18:BN18)&lt;0.5,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IF(SUMPRODUCT($H$48:BQ$48,$H18:BQ18)&lt;0.5,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IF(SUMPRODUCT($H$48:BT$48,$H18:BT18)&lt;0.5,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IF(SUMPRODUCT($H$48:BW$48,$H18:BW18)&lt;0.5,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IF(SUMPRODUCT($H$48:BZ$48,$H18:BZ18)&lt;0.5,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IF(SUMPRODUCT($H$48:CC$48,$H18:CC18)&lt;0.5,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IF(SUMPRODUCT($H$48:CF$48,$H18:CF18)&lt;0.5,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IF(SUMPRODUCT($H$48:CI$48,$H18:CI18)&lt;0.5,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IF(SUMPRODUCT($H$48:CL$48,$H18:CL18)&lt;0.5,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IF(SUMPRODUCT($H$48:CO$48,$H18:CO18)&lt;0.5,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IF(SUMPRODUCT($H$48:CR$48,$H18:CR18)&lt;0.5, "Pending", IF(CR18&lt;0.5, "Complete", "In Progress"))</f>
        <v>Pending</v>
      </c>
      <c r="CT18" s="22"/>
      <c r="CU18" s="22"/>
      <c r="CV18" s="23"/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4"/>
      <c r="DY18" s="25">
        <f>SUMPRODUCT($F$48:DE$48,$F18:DE18)</f>
        <v>0</v>
      </c>
    </row>
    <row r="19" spans="1:129">
      <c r="A19" s="16"/>
      <c r="B19" s="17"/>
      <c r="C19" s="26"/>
      <c r="D19" s="18" t="s">
        <v>54</v>
      </c>
      <c r="E19" s="19" t="str">
        <f t="shared" ca="1" si="0"/>
        <v>Pending</v>
      </c>
      <c r="F19" s="20">
        <v>1</v>
      </c>
      <c r="G19" s="21">
        <v>0</v>
      </c>
      <c r="H19" s="22">
        <v>0</v>
      </c>
      <c r="I19" s="22">
        <f t="shared" si="11"/>
        <v>0</v>
      </c>
      <c r="J19" s="23" t="str">
        <f>IF(SUMPRODUCT($H$48:I$48,$H19:I19)&lt;0.5, "Pending", IF(I19&lt;0.5, "Complete", "In Progress"))</f>
        <v>Pending</v>
      </c>
      <c r="K19" s="22">
        <v>0</v>
      </c>
      <c r="L19" s="22">
        <f t="shared" si="12"/>
        <v>0</v>
      </c>
      <c r="M19" s="23" t="str">
        <f>IF(SUMPRODUCT($H$48:L$48,$H19:L19)&lt;0.5,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IF(SUMPRODUCT($H$48:O$48,$H19:O19)&lt;0.5,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IF(SUMPRODUCT($H$48:R$48,$H19:R19)&lt;0.5,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IF(SUMPRODUCT($H$48:U$48,$H19:U19)&lt;0.5,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IF(SUMPRODUCT($H$48:X$48,$H19:X19)&lt;0.5,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IF(SUMPRODUCT($H$48:AA$48,$H19:AA19)&lt;0.5,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IF(SUMPRODUCT($H$48:AD$48,$H19:AD19)&lt;0.5,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IF(SUMPRODUCT($H$48:AG$48,$H19:AG19)&lt;0.5,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IF(SUMPRODUCT($H$48:AJ$48,$H19:AJ19)&lt;0.5,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IF(SUMPRODUCT($H$48:AM$48,$H19:AM19)&lt;0.5,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IF(SUMPRODUCT($H$48:AP$48,$H19:AP19)&lt;0.5,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IF(SUMPRODUCT($H$48:AS$48,$H19:AS19)&lt;0.5,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IF(SUMPRODUCT($H$48:AV$48,$H19:AV19)&lt;0.5,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IF(SUMPRODUCT($H$48:AY$48,$H19:AY19)&lt;0.5,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IF(SUMPRODUCT($H$48:BB$48,$H19:BB19)&lt;0.5,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IF(SUMPRODUCT($H$48:BE$48,$H19:BE19)&lt;0.5,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IF(SUMPRODUCT($H$48:BH$48,$H19:BH19)&lt;0.5,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IF(SUMPRODUCT($H$48:BK$48,$H19:BK19)&lt;0.5,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IF(SUMPRODUCT($H$48:BN$48,$H19:BN19)&lt;0.5,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IF(SUMPRODUCT($H$48:BQ$48,$H19:BQ19)&lt;0.5,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IF(SUMPRODUCT($H$48:BT$48,$H19:BT19)&lt;0.5,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IF(SUMPRODUCT($H$48:BW$48,$H19:BW19)&lt;0.5,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IF(SUMPRODUCT($H$48:BZ$48,$H19:BZ19)&lt;0.5,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IF(SUMPRODUCT($H$48:CC$48,$H19:CC19)&lt;0.5,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IF(SUMPRODUCT($H$48:CF$48,$H19:CF19)&lt;0.5,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IF(SUMPRODUCT($H$48:CI$48,$H19:CI19)&lt;0.5,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IF(SUMPRODUCT($H$48:CL$48,$H19:CL19)&lt;0.5,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IF(SUMPRODUCT($H$48:CO$48,$H19:CO19)&lt;0.5,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IF(SUMPRODUCT($H$48:CR$48,$H19:CR19)&lt;0.5, "Pending", IF(CR19&lt;0.5, "Complete", "In Progress"))</f>
        <v>Pending</v>
      </c>
      <c r="CT19" s="22"/>
      <c r="CU19" s="22"/>
      <c r="CV19" s="23"/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4"/>
      <c r="DY19" s="25">
        <f>SUMPRODUCT($F$48:DE$48,$F19:DE19)</f>
        <v>0</v>
      </c>
    </row>
    <row r="20" spans="1:129">
      <c r="A20" s="16"/>
      <c r="B20" s="17"/>
      <c r="C20" s="26"/>
      <c r="D20" s="18" t="s">
        <v>54</v>
      </c>
      <c r="E20" s="19" t="str">
        <f t="shared" ca="1" si="0"/>
        <v>Pending</v>
      </c>
      <c r="F20" s="20">
        <v>1</v>
      </c>
      <c r="G20" s="21">
        <v>0</v>
      </c>
      <c r="H20" s="22">
        <v>0</v>
      </c>
      <c r="I20" s="22">
        <f t="shared" si="11"/>
        <v>0</v>
      </c>
      <c r="J20" s="23" t="str">
        <f>IF(SUMPRODUCT($H$48:I$48,$H20:I20)&lt;0.5, "Pending", IF(I20&lt;0.5, "Complete", "In Progress"))</f>
        <v>Pending</v>
      </c>
      <c r="K20" s="22">
        <v>0</v>
      </c>
      <c r="L20" s="22">
        <f t="shared" si="12"/>
        <v>0</v>
      </c>
      <c r="M20" s="23" t="str">
        <f>IF(SUMPRODUCT($H$48:L$48,$H20:L20)&lt;0.5,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IF(SUMPRODUCT($H$48:O$48,$H20:O20)&lt;0.5,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IF(SUMPRODUCT($H$48:R$48,$H20:R20)&lt;0.5,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IF(SUMPRODUCT($H$48:U$48,$H20:U20)&lt;0.5,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IF(SUMPRODUCT($H$48:X$48,$H20:X20)&lt;0.5,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IF(SUMPRODUCT($H$48:AA$48,$H20:AA20)&lt;0.5,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IF(SUMPRODUCT($H$48:AD$48,$H20:AD20)&lt;0.5,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IF(SUMPRODUCT($H$48:AG$48,$H20:AG20)&lt;0.5,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IF(SUMPRODUCT($H$48:AJ$48,$H20:AJ20)&lt;0.5,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IF(SUMPRODUCT($H$48:AM$48,$H20:AM20)&lt;0.5,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IF(SUMPRODUCT($H$48:AP$48,$H20:AP20)&lt;0.5,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IF(SUMPRODUCT($H$48:AS$48,$H20:AS20)&lt;0.5,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IF(SUMPRODUCT($H$48:AV$48,$H20:AV20)&lt;0.5,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IF(SUMPRODUCT($H$48:AY$48,$H20:AY20)&lt;0.5,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IF(SUMPRODUCT($H$48:BB$48,$H20:BB20)&lt;0.5,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IF(SUMPRODUCT($H$48:BE$48,$H20:BE20)&lt;0.5,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IF(SUMPRODUCT($H$48:BH$48,$H20:BH20)&lt;0.5,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IF(SUMPRODUCT($H$48:BK$48,$H20:BK20)&lt;0.5,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IF(SUMPRODUCT($H$48:BN$48,$H20:BN20)&lt;0.5,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IF(SUMPRODUCT($H$48:BQ$48,$H20:BQ20)&lt;0.5,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IF(SUMPRODUCT($H$48:BT$48,$H20:BT20)&lt;0.5,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IF(SUMPRODUCT($H$48:BW$48,$H20:BW20)&lt;0.5,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IF(SUMPRODUCT($H$48:BZ$48,$H20:BZ20)&lt;0.5,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IF(SUMPRODUCT($H$48:CC$48,$H20:CC20)&lt;0.5,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IF(SUMPRODUCT($H$48:CF$48,$H20:CF20)&lt;0.5,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IF(SUMPRODUCT($H$48:CI$48,$H20:CI20)&lt;0.5,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IF(SUMPRODUCT($H$48:CL$48,$H20:CL20)&lt;0.5,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IF(SUMPRODUCT($H$48:CO$48,$H20:CO20)&lt;0.5,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IF(SUMPRODUCT($H$48:CR$48,$H20:CR20)&lt;0.5, "Pending", IF(CR20&lt;0.5, "Complete", "In Progress"))</f>
        <v>Pending</v>
      </c>
      <c r="CT20" s="22">
        <v>0</v>
      </c>
      <c r="CU20" s="22">
        <f t="shared" ref="CU20:CU45" si="41">MAX(CR20-CT20,0)</f>
        <v>0</v>
      </c>
      <c r="CV20" s="23" t="str">
        <f>IF(SUMPRODUCT($H$48:CU$48,$H20:CU20)&lt;0.5, "Pending", IF(CU20&lt;0.5, "Complete", "In Progress"))</f>
        <v>Pending</v>
      </c>
      <c r="CW20" s="22">
        <v>0</v>
      </c>
      <c r="CX20" s="22">
        <f t="shared" ref="CX20:CX45" si="42">MAX(CU20-CW20,0)</f>
        <v>0</v>
      </c>
      <c r="CY20" s="23" t="str">
        <f>IF(SUMPRODUCT($H$48:CX$48,$H20:CX20)&lt;0.5, "Pending", IF(CX20&lt;0.5, "Complete", "In Progress"))</f>
        <v>Pending</v>
      </c>
      <c r="CZ20" s="22">
        <v>0</v>
      </c>
      <c r="DA20" s="22">
        <f t="shared" ref="DA20:DA45" si="43">MAX(CX20-CZ20,0)</f>
        <v>0</v>
      </c>
      <c r="DB20" s="23" t="str">
        <f>IF(SUMPRODUCT($H$48:DA$48,$H20:DA20)&lt;0.5, "Pending", IF(DA20&lt;0.5, "Complete", "In Progress"))</f>
        <v>Pending</v>
      </c>
      <c r="DC20" s="22">
        <v>0</v>
      </c>
      <c r="DD20" s="22">
        <f t="shared" ref="DD20:DD45" si="44">MAX(DA20-DC20,0)</f>
        <v>0</v>
      </c>
      <c r="DE20" s="23" t="str">
        <f>IF(SUMPRODUCT($H$48:DD$48,$H20:DD20)&lt;0.5, "Pending", IF(DD20&lt;0.5, "Complete", "In Progress"))</f>
        <v>Pending</v>
      </c>
      <c r="DF20" s="22">
        <v>0</v>
      </c>
      <c r="DG20" s="22">
        <f t="shared" ref="DG20:DG45" si="45">MAX(DD20-DF20,0)</f>
        <v>0</v>
      </c>
      <c r="DH20" s="23" t="str">
        <f>IF(SUMPRODUCT($H$48:DG$48,$H20:DG20)&lt;0.5, "Pending", IF(DG20&lt;0.5, "Complete", "In Progress"))</f>
        <v>Pending</v>
      </c>
      <c r="DI20" s="22">
        <v>0</v>
      </c>
      <c r="DJ20" s="22">
        <f t="shared" ref="DJ20:DJ45" si="46">MAX(DG20-DI20,0)</f>
        <v>0</v>
      </c>
      <c r="DK20" s="23" t="str">
        <f>IF(SUMPRODUCT($H$48:DJ$48,$H20:DJ20)&lt;0.5, "Pending", IF(DJ20&lt;0.5, "Complete", "In Progress"))</f>
        <v>Pending</v>
      </c>
      <c r="DL20" s="22">
        <v>0</v>
      </c>
      <c r="DM20" s="22">
        <f t="shared" ref="DM20:DM45" si="47">MAX(DJ20-DL20,0)</f>
        <v>0</v>
      </c>
      <c r="DN20" s="23" t="str">
        <f>IF(SUMPRODUCT($H$48:DM$48,$H20:DM20)&lt;0.5, "Pending", IF(DM20&lt;0.5, "Complete", "In Progress"))</f>
        <v>Pending</v>
      </c>
      <c r="DO20" s="22">
        <v>0</v>
      </c>
      <c r="DP20" s="22">
        <f t="shared" ref="DP20:DP45" si="48">MAX(DM20-DO20,0)</f>
        <v>0</v>
      </c>
      <c r="DQ20" s="23" t="str">
        <f>IF(SUMPRODUCT($H$48:DP$48,$H20:DP20)&lt;0.5, "Pending", IF(DP20&lt;0.5, "Complete", "In Progress"))</f>
        <v>Pending</v>
      </c>
      <c r="DR20" s="22">
        <v>0</v>
      </c>
      <c r="DS20" s="22">
        <f t="shared" ref="DS20:DS45" si="49">MAX(DP20-DR20,0)</f>
        <v>0</v>
      </c>
      <c r="DT20" s="23" t="str">
        <f>IF(SUMPRODUCT($H$48:DS$48,$H20:DS20)&lt;0.5, "Pending", IF(DS20&lt;0.5, "Complete", "In Progress"))</f>
        <v>Pending</v>
      </c>
      <c r="DU20" s="22">
        <v>0</v>
      </c>
      <c r="DV20" s="22">
        <f t="shared" ref="DV20:DV45" si="50">MAX(DS20-DU20,0)</f>
        <v>0</v>
      </c>
      <c r="DW20" s="23" t="str">
        <f>IF(SUMPRODUCT($H$48:DV$48,$H20:DV20)&lt;0.5, "Pending", IF(DV20&lt;0.5, "Complete", "In Progress"))</f>
        <v>Pending</v>
      </c>
      <c r="DX20" s="24"/>
      <c r="DY20" s="25">
        <f>SUMPRODUCT($F$48:DE$48,$F20:DE20)</f>
        <v>0</v>
      </c>
    </row>
    <row r="21" spans="1:129">
      <c r="A21" s="16"/>
      <c r="B21" s="17"/>
      <c r="C21" s="26"/>
      <c r="D21" s="18" t="s">
        <v>54</v>
      </c>
      <c r="E21" s="19" t="str">
        <f t="shared" ca="1" si="0"/>
        <v>Pending</v>
      </c>
      <c r="F21" s="20">
        <v>1</v>
      </c>
      <c r="G21" s="21">
        <v>0</v>
      </c>
      <c r="H21" s="22">
        <v>0</v>
      </c>
      <c r="I21" s="22">
        <f t="shared" si="11"/>
        <v>0</v>
      </c>
      <c r="J21" s="23" t="str">
        <f>IF(SUMPRODUCT($H$48:I$48,$H21:I21)&lt;0.5, "Pending", IF(I21&lt;0.5, "Complete", "In Progress"))</f>
        <v>Pending</v>
      </c>
      <c r="K21" s="22">
        <v>0</v>
      </c>
      <c r="L21" s="22">
        <f t="shared" si="12"/>
        <v>0</v>
      </c>
      <c r="M21" s="23" t="str">
        <f>IF(SUMPRODUCT($H$48:L$48,$H21:L21)&lt;0.5,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IF(SUMPRODUCT($H$48:O$48,$H21:O21)&lt;0.5,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IF(SUMPRODUCT($H$48:R$48,$H21:R21)&lt;0.5,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IF(SUMPRODUCT($H$48:U$48,$H21:U21)&lt;0.5,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IF(SUMPRODUCT($H$48:X$48,$H21:X21)&lt;0.5,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IF(SUMPRODUCT($H$48:AA$48,$H21:AA21)&lt;0.5,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IF(SUMPRODUCT($H$48:AD$48,$H21:AD21)&lt;0.5,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IF(SUMPRODUCT($H$48:AG$48,$H21:AG21)&lt;0.5,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IF(SUMPRODUCT($H$48:AJ$48,$H21:AJ21)&lt;0.5,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IF(SUMPRODUCT($H$48:AM$48,$H21:AM21)&lt;0.5,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IF(SUMPRODUCT($H$48:AP$48,$H21:AP21)&lt;0.5,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IF(SUMPRODUCT($H$48:AS$48,$H21:AS21)&lt;0.5,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IF(SUMPRODUCT($H$48:AV$48,$H21:AV21)&lt;0.5,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IF(SUMPRODUCT($H$48:AY$48,$H21:AY21)&lt;0.5,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IF(SUMPRODUCT($H$48:BB$48,$H21:BB21)&lt;0.5,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IF(SUMPRODUCT($H$48:BE$48,$H21:BE21)&lt;0.5,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IF(SUMPRODUCT($H$48:BH$48,$H21:BH21)&lt;0.5,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IF(SUMPRODUCT($H$48:BK$48,$H21:BK21)&lt;0.5,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IF(SUMPRODUCT($H$48:BN$48,$H21:BN21)&lt;0.5,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IF(SUMPRODUCT($H$48:BQ$48,$H21:BQ21)&lt;0.5,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IF(SUMPRODUCT($H$48:BT$48,$H21:BT21)&lt;0.5,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IF(SUMPRODUCT($H$48:BW$48,$H21:BW21)&lt;0.5,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IF(SUMPRODUCT($H$48:BZ$48,$H21:BZ21)&lt;0.5,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IF(SUMPRODUCT($H$48:CC$48,$H21:CC21)&lt;0.5,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IF(SUMPRODUCT($H$48:CF$48,$H21:CF21)&lt;0.5,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IF(SUMPRODUCT($H$48:CI$48,$H21:CI21)&lt;0.5,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IF(SUMPRODUCT($H$48:CL$48,$H21:CL21)&lt;0.5,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IF(SUMPRODUCT($H$48:CO$48,$H21:CO21)&lt;0.5,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IF(SUMPRODUCT($H$48:CR$48,$H21:CR21)&lt;0.5,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IF(SUMPRODUCT($H$48:CU$48,$H21:CU21)&lt;0.5,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IF(SUMPRODUCT($H$48:CX$48,$H21:CX21)&lt;0.5,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IF(SUMPRODUCT($H$48:DA$48,$H21:DA21)&lt;0.5,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IF(SUMPRODUCT($H$48:DD$48,$H21:DD21)&lt;0.5,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IF(SUMPRODUCT($H$48:DG$48,$H21:DG21)&lt;0.5,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IF(SUMPRODUCT($H$48:DJ$48,$H21:DJ21)&lt;0.5,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IF(SUMPRODUCT($H$48:DM$48,$H21:DM21)&lt;0.5,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IF(SUMPRODUCT($H$48:DP$48,$H21:DP21)&lt;0.5,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IF(SUMPRODUCT($H$48:DS$48,$H21:DS21)&lt;0.5,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IF(SUMPRODUCT($H$48:DV$48,$H21:DV21)&lt;0.5, "Pending", IF(DV21&lt;0.5, "Complete", "In Progress"))</f>
        <v>Pending</v>
      </c>
      <c r="DX21" s="24"/>
      <c r="DY21" s="25">
        <f>SUMPRODUCT($F$48:DE$48,$F21:DE21)</f>
        <v>0</v>
      </c>
    </row>
    <row r="22" spans="1:129">
      <c r="A22" s="16"/>
      <c r="B22" s="17"/>
      <c r="C22" s="26"/>
      <c r="D22" s="18" t="s">
        <v>54</v>
      </c>
      <c r="E22" s="19" t="str">
        <f t="shared" ca="1" si="0"/>
        <v>Pending</v>
      </c>
      <c r="F22" s="20">
        <v>1</v>
      </c>
      <c r="G22" s="21">
        <v>0</v>
      </c>
      <c r="H22" s="22">
        <v>0</v>
      </c>
      <c r="I22" s="22">
        <f t="shared" si="11"/>
        <v>0</v>
      </c>
      <c r="J22" s="23" t="str">
        <f>IF(SUMPRODUCT($H$48:I$48,$H22:I22)&lt;0.5, "Pending", IF(I22&lt;0.5, "Complete", "In Progress"))</f>
        <v>Pending</v>
      </c>
      <c r="K22" s="22">
        <v>0</v>
      </c>
      <c r="L22" s="22">
        <f t="shared" si="12"/>
        <v>0</v>
      </c>
      <c r="M22" s="23" t="str">
        <f>IF(SUMPRODUCT($H$48:L$48,$H22:L22)&lt;0.5,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IF(SUMPRODUCT($H$48:O$48,$H22:O22)&lt;0.5,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IF(SUMPRODUCT($H$48:R$48,$H22:R22)&lt;0.5,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IF(SUMPRODUCT($H$48:U$48,$H22:U22)&lt;0.5,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IF(SUMPRODUCT($H$48:X$48,$H22:X22)&lt;0.5,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IF(SUMPRODUCT($H$48:AA$48,$H22:AA22)&lt;0.5,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IF(SUMPRODUCT($H$48:AD$48,$H22:AD22)&lt;0.5,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IF(SUMPRODUCT($H$48:AG$48,$H22:AG22)&lt;0.5,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IF(SUMPRODUCT($H$48:AJ$48,$H22:AJ22)&lt;0.5,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IF(SUMPRODUCT($H$48:AM$48,$H22:AM22)&lt;0.5,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IF(SUMPRODUCT($H$48:AP$48,$H22:AP22)&lt;0.5,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IF(SUMPRODUCT($H$48:AS$48,$H22:AS22)&lt;0.5,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IF(SUMPRODUCT($H$48:AV$48,$H22:AV22)&lt;0.5,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IF(SUMPRODUCT($H$48:AY$48,$H22:AY22)&lt;0.5,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IF(SUMPRODUCT($H$48:BB$48,$H22:BB22)&lt;0.5,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IF(SUMPRODUCT($H$48:BE$48,$H22:BE22)&lt;0.5,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IF(SUMPRODUCT($H$48:BH$48,$H22:BH22)&lt;0.5,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IF(SUMPRODUCT($H$48:BK$48,$H22:BK22)&lt;0.5,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IF(SUMPRODUCT($H$48:BN$48,$H22:BN22)&lt;0.5,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IF(SUMPRODUCT($H$48:BQ$48,$H22:BQ22)&lt;0.5,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IF(SUMPRODUCT($H$48:BT$48,$H22:BT22)&lt;0.5,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IF(SUMPRODUCT($H$48:BW$48,$H22:BW22)&lt;0.5,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IF(SUMPRODUCT($H$48:BZ$48,$H22:BZ22)&lt;0.5,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IF(SUMPRODUCT($H$48:CC$48,$H22:CC22)&lt;0.5,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IF(SUMPRODUCT($H$48:CF$48,$H22:CF22)&lt;0.5,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IF(SUMPRODUCT($H$48:CI$48,$H22:CI22)&lt;0.5,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IF(SUMPRODUCT($H$48:CL$48,$H22:CL22)&lt;0.5,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IF(SUMPRODUCT($H$48:CO$48,$H22:CO22)&lt;0.5,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IF(SUMPRODUCT($H$48:CR$48,$H22:CR22)&lt;0.5,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IF(SUMPRODUCT($H$48:CU$48,$H22:CU22)&lt;0.5,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IF(SUMPRODUCT($H$48:CX$48,$H22:CX22)&lt;0.5,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IF(SUMPRODUCT($H$48:DA$48,$H22:DA22)&lt;0.5,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IF(SUMPRODUCT($H$48:DD$48,$H22:DD22)&lt;0.5,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IF(SUMPRODUCT($H$48:DG$48,$H22:DG22)&lt;0.5,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IF(SUMPRODUCT($H$48:DJ$48,$H22:DJ22)&lt;0.5,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IF(SUMPRODUCT($H$48:DM$48,$H22:DM22)&lt;0.5,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IF(SUMPRODUCT($H$48:DP$48,$H22:DP22)&lt;0.5,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IF(SUMPRODUCT($H$48:DS$48,$H22:DS22)&lt;0.5,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IF(SUMPRODUCT($H$48:DV$48,$H22:DV22)&lt;0.5, "Pending", IF(DV22&lt;0.5, "Complete", "In Progress"))</f>
        <v>Pending</v>
      </c>
      <c r="DX22" s="24"/>
      <c r="DY22" s="25">
        <f>SUMPRODUCT($F$48:DE$48,$F22:DE22)</f>
        <v>0</v>
      </c>
    </row>
    <row r="23" spans="1:129">
      <c r="A23" s="16"/>
      <c r="B23" s="17"/>
      <c r="C23" s="26"/>
      <c r="D23" s="18" t="s">
        <v>54</v>
      </c>
      <c r="E23" s="19" t="str">
        <f t="shared" ca="1" si="0"/>
        <v>Pending</v>
      </c>
      <c r="F23" s="20">
        <v>1</v>
      </c>
      <c r="G23" s="21">
        <v>0</v>
      </c>
      <c r="H23" s="22">
        <v>0</v>
      </c>
      <c r="I23" s="22">
        <f t="shared" si="11"/>
        <v>0</v>
      </c>
      <c r="J23" s="23" t="str">
        <f>IF(SUMPRODUCT($H$48:I$48,$H23:I23)&lt;0.5, "Pending", IF(I23&lt;0.5, "Complete", "In Progress"))</f>
        <v>Pending</v>
      </c>
      <c r="K23" s="22">
        <v>0</v>
      </c>
      <c r="L23" s="22">
        <f t="shared" si="12"/>
        <v>0</v>
      </c>
      <c r="M23" s="23" t="str">
        <f>IF(SUMPRODUCT($H$48:L$48,$H23:L23)&lt;0.5,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IF(SUMPRODUCT($H$48:O$48,$H23:O23)&lt;0.5,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IF(SUMPRODUCT($H$48:R$48,$H23:R23)&lt;0.5,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IF(SUMPRODUCT($H$48:U$48,$H23:U23)&lt;0.5,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IF(SUMPRODUCT($H$48:X$48,$H23:X23)&lt;0.5,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IF(SUMPRODUCT($H$48:AA$48,$H23:AA23)&lt;0.5,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IF(SUMPRODUCT($H$48:AD$48,$H23:AD23)&lt;0.5,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IF(SUMPRODUCT($H$48:AG$48,$H23:AG23)&lt;0.5,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IF(SUMPRODUCT($H$48:AJ$48,$H23:AJ23)&lt;0.5,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IF(SUMPRODUCT($H$48:AM$48,$H23:AM23)&lt;0.5,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IF(SUMPRODUCT($H$48:AP$48,$H23:AP23)&lt;0.5,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IF(SUMPRODUCT($H$48:AS$48,$H23:AS23)&lt;0.5,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IF(SUMPRODUCT($H$48:AV$48,$H23:AV23)&lt;0.5,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IF(SUMPRODUCT($H$48:AY$48,$H23:AY23)&lt;0.5,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IF(SUMPRODUCT($H$48:BB$48,$H23:BB23)&lt;0.5,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IF(SUMPRODUCT($H$48:BE$48,$H23:BE23)&lt;0.5,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IF(SUMPRODUCT($H$48:BH$48,$H23:BH23)&lt;0.5,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IF(SUMPRODUCT($H$48:BK$48,$H23:BK23)&lt;0.5,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IF(SUMPRODUCT($H$48:BN$48,$H23:BN23)&lt;0.5,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IF(SUMPRODUCT($H$48:BQ$48,$H23:BQ23)&lt;0.5,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IF(SUMPRODUCT($H$48:BT$48,$H23:BT23)&lt;0.5,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IF(SUMPRODUCT($H$48:BW$48,$H23:BW23)&lt;0.5,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IF(SUMPRODUCT($H$48:BZ$48,$H23:BZ23)&lt;0.5,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IF(SUMPRODUCT($H$48:CC$48,$H23:CC23)&lt;0.5,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IF(SUMPRODUCT($H$48:CF$48,$H23:CF23)&lt;0.5,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IF(SUMPRODUCT($H$48:CI$48,$H23:CI23)&lt;0.5,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IF(SUMPRODUCT($H$48:CL$48,$H23:CL23)&lt;0.5,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IF(SUMPRODUCT($H$48:CO$48,$H23:CO23)&lt;0.5,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IF(SUMPRODUCT($H$48:CR$48,$H23:CR23)&lt;0.5,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IF(SUMPRODUCT($H$48:CU$48,$H23:CU23)&lt;0.5,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IF(SUMPRODUCT($H$48:CX$48,$H23:CX23)&lt;0.5,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IF(SUMPRODUCT($H$48:DA$48,$H23:DA23)&lt;0.5,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IF(SUMPRODUCT($H$48:DD$48,$H23:DD23)&lt;0.5,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IF(SUMPRODUCT($H$48:DG$48,$H23:DG23)&lt;0.5,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IF(SUMPRODUCT($H$48:DJ$48,$H23:DJ23)&lt;0.5,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IF(SUMPRODUCT($H$48:DM$48,$H23:DM23)&lt;0.5,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IF(SUMPRODUCT($H$48:DP$48,$H23:DP23)&lt;0.5,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IF(SUMPRODUCT($H$48:DS$48,$H23:DS23)&lt;0.5,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IF(SUMPRODUCT($H$48:DV$48,$H23:DV23)&lt;0.5, "Pending", IF(DV23&lt;0.5, "Complete", "In Progress"))</f>
        <v>Pending</v>
      </c>
      <c r="DX23" s="24"/>
      <c r="DY23" s="25">
        <f>SUMPRODUCT($F$48:DE$48,$F23:DE23)</f>
        <v>0</v>
      </c>
    </row>
    <row r="24" spans="1:129">
      <c r="A24" s="16"/>
      <c r="B24" s="17"/>
      <c r="C24" s="26"/>
      <c r="D24" s="18" t="s">
        <v>54</v>
      </c>
      <c r="E24" s="19" t="str">
        <f t="shared" ca="1" si="0"/>
        <v>Pending</v>
      </c>
      <c r="F24" s="20">
        <v>1</v>
      </c>
      <c r="G24" s="21">
        <v>0</v>
      </c>
      <c r="H24" s="22">
        <v>0</v>
      </c>
      <c r="I24" s="22">
        <f t="shared" si="11"/>
        <v>0</v>
      </c>
      <c r="J24" s="23" t="str">
        <f>IF(SUMPRODUCT($H$48:I$48,$H24:I24)&lt;0.5, "Pending", IF(I24&lt;0.5, "Complete", "In Progress"))</f>
        <v>Pending</v>
      </c>
      <c r="K24" s="22">
        <v>0</v>
      </c>
      <c r="L24" s="22">
        <f t="shared" si="12"/>
        <v>0</v>
      </c>
      <c r="M24" s="23" t="str">
        <f>IF(SUMPRODUCT($H$48:L$48,$H24:L24)&lt;0.5,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IF(SUMPRODUCT($H$48:O$48,$H24:O24)&lt;0.5,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IF(SUMPRODUCT($H$48:R$48,$H24:R24)&lt;0.5,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IF(SUMPRODUCT($H$48:U$48,$H24:U24)&lt;0.5,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IF(SUMPRODUCT($H$48:X$48,$H24:X24)&lt;0.5,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IF(SUMPRODUCT($H$48:AA$48,$H24:AA24)&lt;0.5,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IF(SUMPRODUCT($H$48:AD$48,$H24:AD24)&lt;0.5,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IF(SUMPRODUCT($H$48:AG$48,$H24:AG24)&lt;0.5,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IF(SUMPRODUCT($H$48:AJ$48,$H24:AJ24)&lt;0.5,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IF(SUMPRODUCT($H$48:AM$48,$H24:AM24)&lt;0.5,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IF(SUMPRODUCT($H$48:AP$48,$H24:AP24)&lt;0.5,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IF(SUMPRODUCT($H$48:AS$48,$H24:AS24)&lt;0.5,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IF(SUMPRODUCT($H$48:AV$48,$H24:AV24)&lt;0.5,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IF(SUMPRODUCT($H$48:AY$48,$H24:AY24)&lt;0.5,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IF(SUMPRODUCT($H$48:BB$48,$H24:BB24)&lt;0.5,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IF(SUMPRODUCT($H$48:BE$48,$H24:BE24)&lt;0.5,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IF(SUMPRODUCT($H$48:BH$48,$H24:BH24)&lt;0.5,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IF(SUMPRODUCT($H$48:BK$48,$H24:BK24)&lt;0.5,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IF(SUMPRODUCT($H$48:BN$48,$H24:BN24)&lt;0.5,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IF(SUMPRODUCT($H$48:BQ$48,$H24:BQ24)&lt;0.5,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IF(SUMPRODUCT($H$48:BT$48,$H24:BT24)&lt;0.5,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IF(SUMPRODUCT($H$48:BW$48,$H24:BW24)&lt;0.5,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IF(SUMPRODUCT($H$48:BZ$48,$H24:BZ24)&lt;0.5,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IF(SUMPRODUCT($H$48:CC$48,$H24:CC24)&lt;0.5,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IF(SUMPRODUCT($H$48:CF$48,$H24:CF24)&lt;0.5,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IF(SUMPRODUCT($H$48:CI$48,$H24:CI24)&lt;0.5,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IF(SUMPRODUCT($H$48:CL$48,$H24:CL24)&lt;0.5,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IF(SUMPRODUCT($H$48:CO$48,$H24:CO24)&lt;0.5,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IF(SUMPRODUCT($H$48:CR$48,$H24:CR24)&lt;0.5,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IF(SUMPRODUCT($H$48:CU$48,$H24:CU24)&lt;0.5,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IF(SUMPRODUCT($H$48:CX$48,$H24:CX24)&lt;0.5,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IF(SUMPRODUCT($H$48:DA$48,$H24:DA24)&lt;0.5,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IF(SUMPRODUCT($H$48:DD$48,$H24:DD24)&lt;0.5,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IF(SUMPRODUCT($H$48:DG$48,$H24:DG24)&lt;0.5,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IF(SUMPRODUCT($H$48:DJ$48,$H24:DJ24)&lt;0.5,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IF(SUMPRODUCT($H$48:DM$48,$H24:DM24)&lt;0.5,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IF(SUMPRODUCT($H$48:DP$48,$H24:DP24)&lt;0.5,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IF(SUMPRODUCT($H$48:DS$48,$H24:DS24)&lt;0.5,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IF(SUMPRODUCT($H$48:DV$48,$H24:DV24)&lt;0.5, "Pending", IF(DV24&lt;0.5, "Complete", "In Progress"))</f>
        <v>Pending</v>
      </c>
      <c r="DX24" s="24"/>
      <c r="DY24" s="25">
        <f>SUMPRODUCT($F$48:DE$48,$F24:DE24)</f>
        <v>0</v>
      </c>
    </row>
    <row r="25" spans="1:129">
      <c r="A25" s="16"/>
      <c r="B25" s="17"/>
      <c r="C25" s="26"/>
      <c r="D25" s="18" t="s">
        <v>54</v>
      </c>
      <c r="E25" s="19" t="str">
        <f t="shared" ca="1" si="0"/>
        <v>Pending</v>
      </c>
      <c r="F25" s="20">
        <v>1</v>
      </c>
      <c r="G25" s="21">
        <v>0</v>
      </c>
      <c r="H25" s="22">
        <v>0</v>
      </c>
      <c r="I25" s="22">
        <f t="shared" si="11"/>
        <v>0</v>
      </c>
      <c r="J25" s="23" t="str">
        <f>IF(SUMPRODUCT($H$48:I$48,$H25:I25)&lt;0.5, "Pending", IF(I25&lt;0.5, "Complete", "In Progress"))</f>
        <v>Pending</v>
      </c>
      <c r="K25" s="22">
        <v>0</v>
      </c>
      <c r="L25" s="22">
        <f t="shared" si="12"/>
        <v>0</v>
      </c>
      <c r="M25" s="23" t="str">
        <f>IF(SUMPRODUCT($H$48:L$48,$H25:L25)&lt;0.5,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IF(SUMPRODUCT($H$48:O$48,$H25:O25)&lt;0.5,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IF(SUMPRODUCT($H$48:R$48,$H25:R25)&lt;0.5,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IF(SUMPRODUCT($H$48:U$48,$H25:U25)&lt;0.5,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IF(SUMPRODUCT($H$48:X$48,$H25:X25)&lt;0.5,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IF(SUMPRODUCT($H$48:AA$48,$H25:AA25)&lt;0.5,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IF(SUMPRODUCT($H$48:AD$48,$H25:AD25)&lt;0.5,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IF(SUMPRODUCT($H$48:AG$48,$H25:AG25)&lt;0.5,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IF(SUMPRODUCT($H$48:AJ$48,$H25:AJ25)&lt;0.5,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IF(SUMPRODUCT($H$48:AM$48,$H25:AM25)&lt;0.5,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IF(SUMPRODUCT($H$48:AP$48,$H25:AP25)&lt;0.5,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IF(SUMPRODUCT($H$48:AS$48,$H25:AS25)&lt;0.5,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IF(SUMPRODUCT($H$48:AV$48,$H25:AV25)&lt;0.5,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IF(SUMPRODUCT($H$48:AY$48,$H25:AY25)&lt;0.5,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IF(SUMPRODUCT($H$48:BB$48,$H25:BB25)&lt;0.5,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IF(SUMPRODUCT($H$48:BE$48,$H25:BE25)&lt;0.5,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IF(SUMPRODUCT($H$48:BH$48,$H25:BH25)&lt;0.5,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IF(SUMPRODUCT($H$48:BK$48,$H25:BK25)&lt;0.5,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IF(SUMPRODUCT($H$48:BN$48,$H25:BN25)&lt;0.5,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IF(SUMPRODUCT($H$48:BQ$48,$H25:BQ25)&lt;0.5,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IF(SUMPRODUCT($H$48:BT$48,$H25:BT25)&lt;0.5,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IF(SUMPRODUCT($H$48:BW$48,$H25:BW25)&lt;0.5,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IF(SUMPRODUCT($H$48:BZ$48,$H25:BZ25)&lt;0.5,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IF(SUMPRODUCT($H$48:CC$48,$H25:CC25)&lt;0.5,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IF(SUMPRODUCT($H$48:CF$48,$H25:CF25)&lt;0.5,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IF(SUMPRODUCT($H$48:CI$48,$H25:CI25)&lt;0.5,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IF(SUMPRODUCT($H$48:CL$48,$H25:CL25)&lt;0.5,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IF(SUMPRODUCT($H$48:CO$48,$H25:CO25)&lt;0.5,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IF(SUMPRODUCT($H$48:CR$48,$H25:CR25)&lt;0.5,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IF(SUMPRODUCT($H$48:CU$48,$H25:CU25)&lt;0.5,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IF(SUMPRODUCT($H$48:CX$48,$H25:CX25)&lt;0.5,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IF(SUMPRODUCT($H$48:DA$48,$H25:DA25)&lt;0.5,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IF(SUMPRODUCT($H$48:DD$48,$H25:DD25)&lt;0.5,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IF(SUMPRODUCT($H$48:DG$48,$H25:DG25)&lt;0.5,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IF(SUMPRODUCT($H$48:DJ$48,$H25:DJ25)&lt;0.5,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IF(SUMPRODUCT($H$48:DM$48,$H25:DM25)&lt;0.5,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IF(SUMPRODUCT($H$48:DP$48,$H25:DP25)&lt;0.5,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IF(SUMPRODUCT($H$48:DS$48,$H25:DS25)&lt;0.5,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IF(SUMPRODUCT($H$48:DV$48,$H25:DV25)&lt;0.5, "Pending", IF(DV25&lt;0.5, "Complete", "In Progress"))</f>
        <v>Pending</v>
      </c>
      <c r="DX25" s="24"/>
      <c r="DY25" s="25">
        <f>SUMPRODUCT($F$48:DE$48,$F25:DE25)</f>
        <v>0</v>
      </c>
    </row>
    <row r="26" spans="1:129">
      <c r="A26" s="16"/>
      <c r="B26" s="17"/>
      <c r="C26" s="26"/>
      <c r="D26" s="18" t="s">
        <v>54</v>
      </c>
      <c r="E26" s="19" t="str">
        <f t="shared" ca="1" si="0"/>
        <v>Pending</v>
      </c>
      <c r="F26" s="20">
        <v>1</v>
      </c>
      <c r="G26" s="21">
        <v>0</v>
      </c>
      <c r="H26" s="22">
        <v>0</v>
      </c>
      <c r="I26" s="22">
        <f t="shared" si="11"/>
        <v>0</v>
      </c>
      <c r="J26" s="23" t="str">
        <f>IF(SUMPRODUCT($H$48:I$48,$H26:I26)&lt;0.5, "Pending", IF(I26&lt;0.5, "Complete", "In Progress"))</f>
        <v>Pending</v>
      </c>
      <c r="K26" s="22">
        <v>0</v>
      </c>
      <c r="L26" s="22">
        <f t="shared" si="12"/>
        <v>0</v>
      </c>
      <c r="M26" s="23" t="str">
        <f>IF(SUMPRODUCT($H$48:L$48,$H26:L26)&lt;0.5,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IF(SUMPRODUCT($H$48:O$48,$H26:O26)&lt;0.5,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IF(SUMPRODUCT($H$48:R$48,$H26:R26)&lt;0.5,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IF(SUMPRODUCT($H$48:U$48,$H26:U26)&lt;0.5,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IF(SUMPRODUCT($H$48:X$48,$H26:X26)&lt;0.5,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IF(SUMPRODUCT($H$48:AA$48,$H26:AA26)&lt;0.5,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IF(SUMPRODUCT($H$48:AD$48,$H26:AD26)&lt;0.5,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IF(SUMPRODUCT($H$48:AG$48,$H26:AG26)&lt;0.5,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IF(SUMPRODUCT($H$48:AJ$48,$H26:AJ26)&lt;0.5,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IF(SUMPRODUCT($H$48:AM$48,$H26:AM26)&lt;0.5,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IF(SUMPRODUCT($H$48:AP$48,$H26:AP26)&lt;0.5,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IF(SUMPRODUCT($H$48:AS$48,$H26:AS26)&lt;0.5,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IF(SUMPRODUCT($H$48:AV$48,$H26:AV26)&lt;0.5,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IF(SUMPRODUCT($H$48:AY$48,$H26:AY26)&lt;0.5,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IF(SUMPRODUCT($H$48:BB$48,$H26:BB26)&lt;0.5,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IF(SUMPRODUCT($H$48:BE$48,$H26:BE26)&lt;0.5,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IF(SUMPRODUCT($H$48:BH$48,$H26:BH26)&lt;0.5,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IF(SUMPRODUCT($H$48:BK$48,$H26:BK26)&lt;0.5,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IF(SUMPRODUCT($H$48:BN$48,$H26:BN26)&lt;0.5,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IF(SUMPRODUCT($H$48:BQ$48,$H26:BQ26)&lt;0.5,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IF(SUMPRODUCT($H$48:BT$48,$H26:BT26)&lt;0.5,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IF(SUMPRODUCT($H$48:BW$48,$H26:BW26)&lt;0.5,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IF(SUMPRODUCT($H$48:BZ$48,$H26:BZ26)&lt;0.5,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IF(SUMPRODUCT($H$48:CC$48,$H26:CC26)&lt;0.5,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IF(SUMPRODUCT($H$48:CF$48,$H26:CF26)&lt;0.5,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IF(SUMPRODUCT($H$48:CI$48,$H26:CI26)&lt;0.5,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IF(SUMPRODUCT($H$48:CL$48,$H26:CL26)&lt;0.5,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IF(SUMPRODUCT($H$48:CO$48,$H26:CO26)&lt;0.5,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IF(SUMPRODUCT($H$48:CR$48,$H26:CR26)&lt;0.5,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IF(SUMPRODUCT($H$48:CU$48,$H26:CU26)&lt;0.5,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IF(SUMPRODUCT($H$48:CX$48,$H26:CX26)&lt;0.5,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IF(SUMPRODUCT($H$48:DA$48,$H26:DA26)&lt;0.5,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IF(SUMPRODUCT($H$48:DD$48,$H26:DD26)&lt;0.5,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IF(SUMPRODUCT($H$48:DG$48,$H26:DG26)&lt;0.5,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IF(SUMPRODUCT($H$48:DJ$48,$H26:DJ26)&lt;0.5,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IF(SUMPRODUCT($H$48:DM$48,$H26:DM26)&lt;0.5,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IF(SUMPRODUCT($H$48:DP$48,$H26:DP26)&lt;0.5,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IF(SUMPRODUCT($H$48:DS$48,$H26:DS26)&lt;0.5,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IF(SUMPRODUCT($H$48:DV$48,$H26:DV26)&lt;0.5, "Pending", IF(DV26&lt;0.5, "Complete", "In Progress"))</f>
        <v>Pending</v>
      </c>
      <c r="DX26" s="24"/>
      <c r="DY26" s="25">
        <f>SUMPRODUCT($F$48:DE$48,$F26:DE26)</f>
        <v>0</v>
      </c>
    </row>
    <row r="27" spans="1:129">
      <c r="A27" s="16"/>
      <c r="B27" s="17"/>
      <c r="C27" s="26"/>
      <c r="D27" s="18" t="s">
        <v>54</v>
      </c>
      <c r="E27" s="19" t="str">
        <f t="shared" ca="1" si="0"/>
        <v>Pending</v>
      </c>
      <c r="F27" s="20">
        <v>1</v>
      </c>
      <c r="G27" s="21">
        <v>0</v>
      </c>
      <c r="H27" s="22">
        <v>0</v>
      </c>
      <c r="I27" s="22">
        <f t="shared" si="11"/>
        <v>0</v>
      </c>
      <c r="J27" s="23" t="str">
        <f>IF(SUMPRODUCT($H$48:I$48,$H27:I27)&lt;0.5, "Pending", IF(I27&lt;0.5, "Complete", "In Progress"))</f>
        <v>Pending</v>
      </c>
      <c r="K27" s="22">
        <v>0</v>
      </c>
      <c r="L27" s="22">
        <f t="shared" si="12"/>
        <v>0</v>
      </c>
      <c r="M27" s="23" t="str">
        <f>IF(SUMPRODUCT($H$48:L$48,$H27:L27)&lt;0.5,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IF(SUMPRODUCT($H$48:O$48,$H27:O27)&lt;0.5,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IF(SUMPRODUCT($H$48:R$48,$H27:R27)&lt;0.5,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IF(SUMPRODUCT($H$48:U$48,$H27:U27)&lt;0.5,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IF(SUMPRODUCT($H$48:X$48,$H27:X27)&lt;0.5,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IF(SUMPRODUCT($H$48:AA$48,$H27:AA27)&lt;0.5,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IF(SUMPRODUCT($H$48:AD$48,$H27:AD27)&lt;0.5,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IF(SUMPRODUCT($H$48:AG$48,$H27:AG27)&lt;0.5,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IF(SUMPRODUCT($H$48:AJ$48,$H27:AJ27)&lt;0.5,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IF(SUMPRODUCT($H$48:AM$48,$H27:AM27)&lt;0.5,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IF(SUMPRODUCT($H$48:AP$48,$H27:AP27)&lt;0.5,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IF(SUMPRODUCT($H$48:AS$48,$H27:AS27)&lt;0.5,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IF(SUMPRODUCT($H$48:AV$48,$H27:AV27)&lt;0.5,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IF(SUMPRODUCT($H$48:AY$48,$H27:AY27)&lt;0.5,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IF(SUMPRODUCT($H$48:BB$48,$H27:BB27)&lt;0.5,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IF(SUMPRODUCT($H$48:BE$48,$H27:BE27)&lt;0.5,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IF(SUMPRODUCT($H$48:BH$48,$H27:BH27)&lt;0.5,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IF(SUMPRODUCT($H$48:BK$48,$H27:BK27)&lt;0.5,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IF(SUMPRODUCT($H$48:BN$48,$H27:BN27)&lt;0.5,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IF(SUMPRODUCT($H$48:BQ$48,$H27:BQ27)&lt;0.5,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IF(SUMPRODUCT($H$48:BT$48,$H27:BT27)&lt;0.5,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IF(SUMPRODUCT($H$48:BW$48,$H27:BW27)&lt;0.5,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IF(SUMPRODUCT($H$48:BZ$48,$H27:BZ27)&lt;0.5,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IF(SUMPRODUCT($H$48:CC$48,$H27:CC27)&lt;0.5,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IF(SUMPRODUCT($H$48:CF$48,$H27:CF27)&lt;0.5,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IF(SUMPRODUCT($H$48:CI$48,$H27:CI27)&lt;0.5,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IF(SUMPRODUCT($H$48:CL$48,$H27:CL27)&lt;0.5,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IF(SUMPRODUCT($H$48:CO$48,$H27:CO27)&lt;0.5,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IF(SUMPRODUCT($H$48:CR$48,$H27:CR27)&lt;0.5,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IF(SUMPRODUCT($H$48:CU$48,$H27:CU27)&lt;0.5,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IF(SUMPRODUCT($H$48:CX$48,$H27:CX27)&lt;0.5,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IF(SUMPRODUCT($H$48:DA$48,$H27:DA27)&lt;0.5,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IF(SUMPRODUCT($H$48:DD$48,$H27:DD27)&lt;0.5,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IF(SUMPRODUCT($H$48:DG$48,$H27:DG27)&lt;0.5,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IF(SUMPRODUCT($H$48:DJ$48,$H27:DJ27)&lt;0.5,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IF(SUMPRODUCT($H$48:DM$48,$H27:DM27)&lt;0.5,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IF(SUMPRODUCT($H$48:DP$48,$H27:DP27)&lt;0.5,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IF(SUMPRODUCT($H$48:DS$48,$H27:DS27)&lt;0.5,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IF(SUMPRODUCT($H$48:DV$48,$H27:DV27)&lt;0.5, "Pending", IF(DV27&lt;0.5, "Complete", "In Progress"))</f>
        <v>Pending</v>
      </c>
      <c r="DX27" s="24"/>
      <c r="DY27" s="25">
        <f>SUMPRODUCT($F$48:DE$48,$F27:DE27)</f>
        <v>0</v>
      </c>
    </row>
    <row r="28" spans="1:129">
      <c r="A28" s="16"/>
      <c r="B28" s="17"/>
      <c r="C28" s="26"/>
      <c r="D28" s="18" t="s">
        <v>54</v>
      </c>
      <c r="E28" s="19" t="str">
        <f t="shared" ca="1" si="0"/>
        <v>Pending</v>
      </c>
      <c r="F28" s="20">
        <v>1</v>
      </c>
      <c r="G28" s="21">
        <v>0</v>
      </c>
      <c r="H28" s="22">
        <v>0</v>
      </c>
      <c r="I28" s="22">
        <f t="shared" si="11"/>
        <v>0</v>
      </c>
      <c r="J28" s="23" t="str">
        <f>IF(SUMPRODUCT($H$48:I$48,$H28:I28)&lt;0.5, "Pending", IF(I28&lt;0.5, "Complete", "In Progress"))</f>
        <v>Pending</v>
      </c>
      <c r="K28" s="22">
        <v>0</v>
      </c>
      <c r="L28" s="22">
        <f t="shared" si="12"/>
        <v>0</v>
      </c>
      <c r="M28" s="23" t="str">
        <f>IF(SUMPRODUCT($H$48:L$48,$H28:L28)&lt;0.5,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IF(SUMPRODUCT($H$48:O$48,$H28:O28)&lt;0.5,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IF(SUMPRODUCT($H$48:R$48,$H28:R28)&lt;0.5,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IF(SUMPRODUCT($H$48:U$48,$H28:U28)&lt;0.5,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IF(SUMPRODUCT($H$48:X$48,$H28:X28)&lt;0.5,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IF(SUMPRODUCT($H$48:AA$48,$H28:AA28)&lt;0.5,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IF(SUMPRODUCT($H$48:AD$48,$H28:AD28)&lt;0.5,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IF(SUMPRODUCT($H$48:AG$48,$H28:AG28)&lt;0.5,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IF(SUMPRODUCT($H$48:AJ$48,$H28:AJ28)&lt;0.5,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IF(SUMPRODUCT($H$48:AM$48,$H28:AM28)&lt;0.5,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IF(SUMPRODUCT($H$48:AP$48,$H28:AP28)&lt;0.5,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IF(SUMPRODUCT($H$48:AS$48,$H28:AS28)&lt;0.5,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IF(SUMPRODUCT($H$48:AV$48,$H28:AV28)&lt;0.5,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IF(SUMPRODUCT($H$48:AY$48,$H28:AY28)&lt;0.5,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IF(SUMPRODUCT($H$48:BB$48,$H28:BB28)&lt;0.5,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IF(SUMPRODUCT($H$48:BE$48,$H28:BE28)&lt;0.5,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IF(SUMPRODUCT($H$48:BH$48,$H28:BH28)&lt;0.5,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IF(SUMPRODUCT($H$48:BK$48,$H28:BK28)&lt;0.5,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IF(SUMPRODUCT($H$48:BN$48,$H28:BN28)&lt;0.5,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IF(SUMPRODUCT($H$48:BQ$48,$H28:BQ28)&lt;0.5,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IF(SUMPRODUCT($H$48:BT$48,$H28:BT28)&lt;0.5,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IF(SUMPRODUCT($H$48:BW$48,$H28:BW28)&lt;0.5,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IF(SUMPRODUCT($H$48:BZ$48,$H28:BZ28)&lt;0.5,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IF(SUMPRODUCT($H$48:CC$48,$H28:CC28)&lt;0.5,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IF(SUMPRODUCT($H$48:CF$48,$H28:CF28)&lt;0.5,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IF(SUMPRODUCT($H$48:CI$48,$H28:CI28)&lt;0.5,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IF(SUMPRODUCT($H$48:CL$48,$H28:CL28)&lt;0.5,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IF(SUMPRODUCT($H$48:CO$48,$H28:CO28)&lt;0.5,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IF(SUMPRODUCT($H$48:CR$48,$H28:CR28)&lt;0.5,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IF(SUMPRODUCT($H$48:CU$48,$H28:CU28)&lt;0.5,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IF(SUMPRODUCT($H$48:CX$48,$H28:CX28)&lt;0.5,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IF(SUMPRODUCT($H$48:DA$48,$H28:DA28)&lt;0.5,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IF(SUMPRODUCT($H$48:DD$48,$H28:DD28)&lt;0.5,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IF(SUMPRODUCT($H$48:DG$48,$H28:DG28)&lt;0.5,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IF(SUMPRODUCT($H$48:DJ$48,$H28:DJ28)&lt;0.5,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IF(SUMPRODUCT($H$48:DM$48,$H28:DM28)&lt;0.5,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IF(SUMPRODUCT($H$48:DP$48,$H28:DP28)&lt;0.5,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IF(SUMPRODUCT($H$48:DS$48,$H28:DS28)&lt;0.5,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IF(SUMPRODUCT($H$48:DV$48,$H28:DV28)&lt;0.5, "Pending", IF(DV28&lt;0.5, "Complete", "In Progress"))</f>
        <v>Pending</v>
      </c>
      <c r="DX28" s="24"/>
      <c r="DY28" s="25">
        <f>SUMPRODUCT($F$48:DE$48,$F28:DE28)</f>
        <v>0</v>
      </c>
    </row>
    <row r="29" spans="1:129">
      <c r="A29" s="16"/>
      <c r="B29" s="17"/>
      <c r="C29" s="26"/>
      <c r="D29" s="18" t="s">
        <v>54</v>
      </c>
      <c r="E29" s="19" t="str">
        <f t="shared" ca="1" si="0"/>
        <v>Pending</v>
      </c>
      <c r="F29" s="20">
        <v>1</v>
      </c>
      <c r="G29" s="21">
        <v>0</v>
      </c>
      <c r="H29" s="22">
        <v>0</v>
      </c>
      <c r="I29" s="22">
        <f t="shared" si="11"/>
        <v>0</v>
      </c>
      <c r="J29" s="23" t="str">
        <f>IF(SUMPRODUCT($H$48:I$48,$H29:I29)&lt;0.5, "Pending", IF(I29&lt;0.5, "Complete", "In Progress"))</f>
        <v>Pending</v>
      </c>
      <c r="K29" s="22">
        <v>0</v>
      </c>
      <c r="L29" s="22">
        <f t="shared" si="12"/>
        <v>0</v>
      </c>
      <c r="M29" s="23" t="str">
        <f>IF(SUMPRODUCT($H$48:L$48,$H29:L29)&lt;0.5,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IF(SUMPRODUCT($H$48:O$48,$H29:O29)&lt;0.5,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IF(SUMPRODUCT($H$48:R$48,$H29:R29)&lt;0.5,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IF(SUMPRODUCT($H$48:U$48,$H29:U29)&lt;0.5,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IF(SUMPRODUCT($H$48:X$48,$H29:X29)&lt;0.5,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IF(SUMPRODUCT($H$48:AA$48,$H29:AA29)&lt;0.5,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IF(SUMPRODUCT($H$48:AD$48,$H29:AD29)&lt;0.5,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IF(SUMPRODUCT($H$48:AG$48,$H29:AG29)&lt;0.5,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IF(SUMPRODUCT($H$48:AJ$48,$H29:AJ29)&lt;0.5,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IF(SUMPRODUCT($H$48:AM$48,$H29:AM29)&lt;0.5,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IF(SUMPRODUCT($H$48:AP$48,$H29:AP29)&lt;0.5,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IF(SUMPRODUCT($H$48:AS$48,$H29:AS29)&lt;0.5,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IF(SUMPRODUCT($H$48:AV$48,$H29:AV29)&lt;0.5,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IF(SUMPRODUCT($H$48:AY$48,$H29:AY29)&lt;0.5,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IF(SUMPRODUCT($H$48:BB$48,$H29:BB29)&lt;0.5,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IF(SUMPRODUCT($H$48:BE$48,$H29:BE29)&lt;0.5,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IF(SUMPRODUCT($H$48:BH$48,$H29:BH29)&lt;0.5,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IF(SUMPRODUCT($H$48:BK$48,$H29:BK29)&lt;0.5,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IF(SUMPRODUCT($H$48:BN$48,$H29:BN29)&lt;0.5,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IF(SUMPRODUCT($H$48:BQ$48,$H29:BQ29)&lt;0.5,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IF(SUMPRODUCT($H$48:BT$48,$H29:BT29)&lt;0.5,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IF(SUMPRODUCT($H$48:BW$48,$H29:BW29)&lt;0.5,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IF(SUMPRODUCT($H$48:BZ$48,$H29:BZ29)&lt;0.5,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IF(SUMPRODUCT($H$48:CC$48,$H29:CC29)&lt;0.5,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IF(SUMPRODUCT($H$48:CF$48,$H29:CF29)&lt;0.5,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IF(SUMPRODUCT($H$48:CI$48,$H29:CI29)&lt;0.5,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IF(SUMPRODUCT($H$48:CL$48,$H29:CL29)&lt;0.5,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IF(SUMPRODUCT($H$48:CO$48,$H29:CO29)&lt;0.5,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IF(SUMPRODUCT($H$48:CR$48,$H29:CR29)&lt;0.5,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IF(SUMPRODUCT($H$48:CU$48,$H29:CU29)&lt;0.5,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IF(SUMPRODUCT($H$48:CX$48,$H29:CX29)&lt;0.5,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IF(SUMPRODUCT($H$48:DA$48,$H29:DA29)&lt;0.5,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IF(SUMPRODUCT($H$48:DD$48,$H29:DD29)&lt;0.5,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IF(SUMPRODUCT($H$48:DG$48,$H29:DG29)&lt;0.5,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IF(SUMPRODUCT($H$48:DJ$48,$H29:DJ29)&lt;0.5,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IF(SUMPRODUCT($H$48:DM$48,$H29:DM29)&lt;0.5,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IF(SUMPRODUCT($H$48:DP$48,$H29:DP29)&lt;0.5,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IF(SUMPRODUCT($H$48:DS$48,$H29:DS29)&lt;0.5,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IF(SUMPRODUCT($H$48:DV$48,$H29:DV29)&lt;0.5, "Pending", IF(DV29&lt;0.5, "Complete", "In Progress"))</f>
        <v>Pending</v>
      </c>
      <c r="DX29" s="24"/>
      <c r="DY29" s="25">
        <f>SUMPRODUCT($F$48:DE$48,$F29:DE29)</f>
        <v>0</v>
      </c>
    </row>
    <row r="30" spans="1:129">
      <c r="A30" s="16"/>
      <c r="B30" s="17"/>
      <c r="C30" s="26"/>
      <c r="D30" s="18" t="s">
        <v>54</v>
      </c>
      <c r="E30" s="19" t="str">
        <f t="shared" ca="1" si="0"/>
        <v>Pending</v>
      </c>
      <c r="F30" s="20">
        <v>1</v>
      </c>
      <c r="G30" s="21">
        <v>0</v>
      </c>
      <c r="H30" s="22">
        <v>0</v>
      </c>
      <c r="I30" s="22">
        <f t="shared" si="11"/>
        <v>0</v>
      </c>
      <c r="J30" s="23" t="str">
        <f>IF(SUMPRODUCT($H$48:I$48,$H30:I30)&lt;0.5, "Pending", IF(I30&lt;0.5, "Complete", "In Progress"))</f>
        <v>Pending</v>
      </c>
      <c r="K30" s="22">
        <v>0</v>
      </c>
      <c r="L30" s="22">
        <f t="shared" si="12"/>
        <v>0</v>
      </c>
      <c r="M30" s="23" t="str">
        <f>IF(SUMPRODUCT($H$48:L$48,$H30:L30)&lt;0.5,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IF(SUMPRODUCT($H$48:O$48,$H30:O30)&lt;0.5,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IF(SUMPRODUCT($H$48:R$48,$H30:R30)&lt;0.5,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IF(SUMPRODUCT($H$48:U$48,$H30:U30)&lt;0.5,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IF(SUMPRODUCT($H$48:X$48,$H30:X30)&lt;0.5,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IF(SUMPRODUCT($H$48:AA$48,$H30:AA30)&lt;0.5,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IF(SUMPRODUCT($H$48:AD$48,$H30:AD30)&lt;0.5,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IF(SUMPRODUCT($H$48:AG$48,$H30:AG30)&lt;0.5,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IF(SUMPRODUCT($H$48:AJ$48,$H30:AJ30)&lt;0.5,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IF(SUMPRODUCT($H$48:AM$48,$H30:AM30)&lt;0.5,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IF(SUMPRODUCT($H$48:AP$48,$H30:AP30)&lt;0.5,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IF(SUMPRODUCT($H$48:AS$48,$H30:AS30)&lt;0.5,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IF(SUMPRODUCT($H$48:AV$48,$H30:AV30)&lt;0.5,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IF(SUMPRODUCT($H$48:AY$48,$H30:AY30)&lt;0.5,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IF(SUMPRODUCT($H$48:BB$48,$H30:BB30)&lt;0.5,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IF(SUMPRODUCT($H$48:BE$48,$H30:BE30)&lt;0.5,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IF(SUMPRODUCT($H$48:BH$48,$H30:BH30)&lt;0.5,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IF(SUMPRODUCT($H$48:BK$48,$H30:BK30)&lt;0.5,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IF(SUMPRODUCT($H$48:BN$48,$H30:BN30)&lt;0.5,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IF(SUMPRODUCT($H$48:BQ$48,$H30:BQ30)&lt;0.5,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IF(SUMPRODUCT($H$48:BT$48,$H30:BT30)&lt;0.5,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IF(SUMPRODUCT($H$48:BW$48,$H30:BW30)&lt;0.5,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IF(SUMPRODUCT($H$48:BZ$48,$H30:BZ30)&lt;0.5,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IF(SUMPRODUCT($H$48:CC$48,$H30:CC30)&lt;0.5,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IF(SUMPRODUCT($H$48:CF$48,$H30:CF30)&lt;0.5,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IF(SUMPRODUCT($H$48:CI$48,$H30:CI30)&lt;0.5,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IF(SUMPRODUCT($H$48:CL$48,$H30:CL30)&lt;0.5,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IF(SUMPRODUCT($H$48:CO$48,$H30:CO30)&lt;0.5,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IF(SUMPRODUCT($H$48:CR$48,$H30:CR30)&lt;0.5,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IF(SUMPRODUCT($H$48:CU$48,$H30:CU30)&lt;0.5,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IF(SUMPRODUCT($H$48:CX$48,$H30:CX30)&lt;0.5,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IF(SUMPRODUCT($H$48:DA$48,$H30:DA30)&lt;0.5,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IF(SUMPRODUCT($H$48:DD$48,$H30:DD30)&lt;0.5,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IF(SUMPRODUCT($H$48:DG$48,$H30:DG30)&lt;0.5,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IF(SUMPRODUCT($H$48:DJ$48,$H30:DJ30)&lt;0.5,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IF(SUMPRODUCT($H$48:DM$48,$H30:DM30)&lt;0.5,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IF(SUMPRODUCT($H$48:DP$48,$H30:DP30)&lt;0.5,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IF(SUMPRODUCT($H$48:DS$48,$H30:DS30)&lt;0.5,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IF(SUMPRODUCT($H$48:DV$48,$H30:DV30)&lt;0.5, "Pending", IF(DV30&lt;0.5, "Complete", "In Progress"))</f>
        <v>Pending</v>
      </c>
      <c r="DX30" s="24"/>
      <c r="DY30" s="25">
        <f>SUMPRODUCT($F$48:DE$48,$F30:DE30)</f>
        <v>0</v>
      </c>
    </row>
    <row r="31" spans="1:129">
      <c r="A31" s="16"/>
      <c r="B31" s="17"/>
      <c r="C31" s="26"/>
      <c r="D31" s="18" t="s">
        <v>54</v>
      </c>
      <c r="E31" s="19" t="str">
        <f t="shared" ca="1" si="0"/>
        <v>Pending</v>
      </c>
      <c r="F31" s="20">
        <v>1</v>
      </c>
      <c r="G31" s="21">
        <v>0</v>
      </c>
      <c r="H31" s="22">
        <v>0</v>
      </c>
      <c r="I31" s="22">
        <f t="shared" si="11"/>
        <v>0</v>
      </c>
      <c r="J31" s="23" t="str">
        <f>IF(SUMPRODUCT($H$48:I$48,$H31:I31)&lt;0.5, "Pending", IF(I31&lt;0.5, "Complete", "In Progress"))</f>
        <v>Pending</v>
      </c>
      <c r="K31" s="22">
        <v>0</v>
      </c>
      <c r="L31" s="22">
        <f t="shared" si="12"/>
        <v>0</v>
      </c>
      <c r="M31" s="23" t="str">
        <f>IF(SUMPRODUCT($H$48:L$48,$H31:L31)&lt;0.5,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IF(SUMPRODUCT($H$48:O$48,$H31:O31)&lt;0.5,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IF(SUMPRODUCT($H$48:R$48,$H31:R31)&lt;0.5, "Pending", IF(R31&lt;0.5, "Complete", "In Progress"))</f>
        <v>Pending</v>
      </c>
      <c r="T31" s="22">
        <v>0</v>
      </c>
      <c r="U31" s="22">
        <f t="shared" si="15"/>
        <v>0</v>
      </c>
      <c r="V31" s="23" t="str">
        <f>IF(SUMPRODUCT($H$48:U$48,$H31:U31)&lt;0.5,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IF(SUMPRODUCT($H$48:X$48,$H31:X31)&lt;0.5,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IF(SUMPRODUCT($H$48:AA$48,$H31:AA31)&lt;0.5,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IF(SUMPRODUCT($H$48:AD$48,$H31:AD31)&lt;0.5,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IF(SUMPRODUCT($H$48:AG$48,$H31:AG31)&lt;0.5,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IF(SUMPRODUCT($H$48:AJ$48,$H31:AJ31)&lt;0.5,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IF(SUMPRODUCT($H$48:AM$48,$H31:AM31)&lt;0.5,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IF(SUMPRODUCT($H$48:AP$48,$H31:AP31)&lt;0.5,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IF(SUMPRODUCT($H$48:AS$48,$H31:AS31)&lt;0.5,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IF(SUMPRODUCT($H$48:AV$48,$H31:AV31)&lt;0.5,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IF(SUMPRODUCT($H$48:AY$48,$H31:AY31)&lt;0.5,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IF(SUMPRODUCT($H$48:BB$48,$H31:BB31)&lt;0.5,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IF(SUMPRODUCT($H$48:BE$48,$H31:BE31)&lt;0.5,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IF(SUMPRODUCT($H$48:BH$48,$H31:BH31)&lt;0.5,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IF(SUMPRODUCT($H$48:BK$48,$H31:BK31)&lt;0.5,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IF(SUMPRODUCT($H$48:BN$48,$H31:BN31)&lt;0.5,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IF(SUMPRODUCT($H$48:BQ$48,$H31:BQ31)&lt;0.5,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IF(SUMPRODUCT($H$48:BT$48,$H31:BT31)&lt;0.5,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IF(SUMPRODUCT($H$48:BW$48,$H31:BW31)&lt;0.5,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IF(SUMPRODUCT($H$48:BZ$48,$H31:BZ31)&lt;0.5,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IF(SUMPRODUCT($H$48:CC$48,$H31:CC31)&lt;0.5,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IF(SUMPRODUCT($H$48:CF$48,$H31:CF31)&lt;0.5,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IF(SUMPRODUCT($H$48:CI$48,$H31:CI31)&lt;0.5,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IF(SUMPRODUCT($H$48:CL$48,$H31:CL31)&lt;0.5,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IF(SUMPRODUCT($H$48:CO$48,$H31:CO31)&lt;0.5,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IF(SUMPRODUCT($H$48:CR$48,$H31:CR31)&lt;0.5,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IF(SUMPRODUCT($H$48:CU$48,$H31:CU31)&lt;0.5,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IF(SUMPRODUCT($H$48:CX$48,$H31:CX31)&lt;0.5,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IF(SUMPRODUCT($H$48:DA$48,$H31:DA31)&lt;0.5,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IF(SUMPRODUCT($H$48:DD$48,$H31:DD31)&lt;0.5,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IF(SUMPRODUCT($H$48:DG$48,$H31:DG31)&lt;0.5,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IF(SUMPRODUCT($H$48:DJ$48,$H31:DJ31)&lt;0.5,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IF(SUMPRODUCT($H$48:DM$48,$H31:DM31)&lt;0.5,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IF(SUMPRODUCT($H$48:DP$48,$H31:DP31)&lt;0.5,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IF(SUMPRODUCT($H$48:DS$48,$H31:DS31)&lt;0.5,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IF(SUMPRODUCT($H$48:DV$48,$H31:DV31)&lt;0.5, "Pending", IF(DV31&lt;0.5, "Complete", "In Progress"))</f>
        <v>Pending</v>
      </c>
      <c r="DX31" s="24"/>
      <c r="DY31" s="25">
        <f>SUMPRODUCT($F$48:DE$48,$F31:DE31)</f>
        <v>0</v>
      </c>
    </row>
    <row r="32" spans="1:129">
      <c r="A32" s="16"/>
      <c r="B32" s="17"/>
      <c r="C32" s="26"/>
      <c r="D32" s="18" t="s">
        <v>54</v>
      </c>
      <c r="E32" s="19" t="str">
        <f t="shared" ca="1" si="0"/>
        <v>Pending</v>
      </c>
      <c r="F32" s="20">
        <v>1</v>
      </c>
      <c r="G32" s="21">
        <v>0</v>
      </c>
      <c r="H32" s="22">
        <v>0</v>
      </c>
      <c r="I32" s="22">
        <f t="shared" si="11"/>
        <v>0</v>
      </c>
      <c r="J32" s="23" t="str">
        <f>IF(SUMPRODUCT($H$48:I$48,$H32:I32)&lt;0.5, "Pending", IF(I32&lt;0.5, "Complete", "In Progress"))</f>
        <v>Pending</v>
      </c>
      <c r="K32" s="22">
        <v>0</v>
      </c>
      <c r="L32" s="22">
        <f t="shared" si="12"/>
        <v>0</v>
      </c>
      <c r="M32" s="23" t="str">
        <f>IF(SUMPRODUCT($H$48:L$48,$H32:L32)&lt;0.5,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IF(SUMPRODUCT($H$48:O$48,$H32:O32)&lt;0.5,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IF(SUMPRODUCT($H$48:R$48,$H32:R32)&lt;0.5,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IF(SUMPRODUCT($H$48:U$48,$H32:U32)&lt;0.5,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IF(SUMPRODUCT($H$48:X$48,$H32:X32)&lt;0.5,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IF(SUMPRODUCT($H$48:AA$48,$H32:AA32)&lt;0.5,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IF(SUMPRODUCT($H$48:AD$48,$H32:AD32)&lt;0.5,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IF(SUMPRODUCT($H$48:AG$48,$H32:AG32)&lt;0.5,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IF(SUMPRODUCT($H$48:AJ$48,$H32:AJ32)&lt;0.5,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IF(SUMPRODUCT($H$48:AM$48,$H32:AM32)&lt;0.5,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IF(SUMPRODUCT($H$48:AP$48,$H32:AP32)&lt;0.5,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IF(SUMPRODUCT($H$48:AS$48,$H32:AS32)&lt;0.5,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IF(SUMPRODUCT($H$48:AV$48,$H32:AV32)&lt;0.5,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IF(SUMPRODUCT($H$48:AY$48,$H32:AY32)&lt;0.5,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IF(SUMPRODUCT($H$48:BB$48,$H32:BB32)&lt;0.5,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IF(SUMPRODUCT($H$48:BE$48,$H32:BE32)&lt;0.5,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IF(SUMPRODUCT($H$48:BH$48,$H32:BH32)&lt;0.5,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IF(SUMPRODUCT($H$48:BK$48,$H32:BK32)&lt;0.5,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IF(SUMPRODUCT($H$48:BN$48,$H32:BN32)&lt;0.5,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IF(SUMPRODUCT($H$48:BQ$48,$H32:BQ32)&lt;0.5,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IF(SUMPRODUCT($H$48:BT$48,$H32:BT32)&lt;0.5,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IF(SUMPRODUCT($H$48:BW$48,$H32:BW32)&lt;0.5,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IF(SUMPRODUCT($H$48:BZ$48,$H32:BZ32)&lt;0.5,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IF(SUMPRODUCT($H$48:CC$48,$H32:CC32)&lt;0.5,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IF(SUMPRODUCT($H$48:CF$48,$H32:CF32)&lt;0.5,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IF(SUMPRODUCT($H$48:CI$48,$H32:CI32)&lt;0.5,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IF(SUMPRODUCT($H$48:CL$48,$H32:CL32)&lt;0.5,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IF(SUMPRODUCT($H$48:CO$48,$H32:CO32)&lt;0.5,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IF(SUMPRODUCT($H$48:CR$48,$H32:CR32)&lt;0.5,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IF(SUMPRODUCT($H$48:CU$48,$H32:CU32)&lt;0.5,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IF(SUMPRODUCT($H$48:CX$48,$H32:CX32)&lt;0.5,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IF(SUMPRODUCT($H$48:DA$48,$H32:DA32)&lt;0.5,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IF(SUMPRODUCT($H$48:DD$48,$H32:DD32)&lt;0.5,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IF(SUMPRODUCT($H$48:DG$48,$H32:DG32)&lt;0.5,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IF(SUMPRODUCT($H$48:DJ$48,$H32:DJ32)&lt;0.5,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IF(SUMPRODUCT($H$48:DM$48,$H32:DM32)&lt;0.5,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IF(SUMPRODUCT($H$48:DP$48,$H32:DP32)&lt;0.5,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IF(SUMPRODUCT($H$48:DS$48,$H32:DS32)&lt;0.5,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IF(SUMPRODUCT($H$48:DV$48,$H32:DV32)&lt;0.5, "Pending", IF(DV32&lt;0.5, "Complete", "In Progress"))</f>
        <v>Pending</v>
      </c>
      <c r="DX32" s="24"/>
      <c r="DY32" s="25">
        <f>SUMPRODUCT($F$48:DE$48,$F32:DE32)</f>
        <v>0</v>
      </c>
    </row>
    <row r="33" spans="1:129">
      <c r="A33" s="16"/>
      <c r="B33" s="17"/>
      <c r="C33" s="26"/>
      <c r="D33" s="18" t="s">
        <v>54</v>
      </c>
      <c r="E33" s="19" t="str">
        <f t="shared" ca="1" si="0"/>
        <v>Pending</v>
      </c>
      <c r="F33" s="20">
        <v>1</v>
      </c>
      <c r="G33" s="21">
        <v>0</v>
      </c>
      <c r="H33" s="22">
        <v>0</v>
      </c>
      <c r="I33" s="22">
        <f t="shared" si="11"/>
        <v>0</v>
      </c>
      <c r="J33" s="23" t="str">
        <f>IF(SUMPRODUCT($H$48:I$48,$H33:I33)&lt;0.5, "Pending", IF(I33&lt;0.5, "Complete", "In Progress"))</f>
        <v>Pending</v>
      </c>
      <c r="K33" s="22">
        <v>0</v>
      </c>
      <c r="L33" s="22">
        <f t="shared" si="12"/>
        <v>0</v>
      </c>
      <c r="M33" s="23" t="str">
        <f>IF(SUMPRODUCT($H$48:L$48,$H33:L33)&lt;0.5,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IF(SUMPRODUCT($H$48:O$48,$H33:O33)&lt;0.5,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IF(SUMPRODUCT($H$48:R$48,$H33:R33)&lt;0.5,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IF(SUMPRODUCT($H$48:U$48,$H33:U33)&lt;0.5,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IF(SUMPRODUCT($H$48:X$48,$H33:X33)&lt;0.5,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IF(SUMPRODUCT($H$48:AA$48,$H33:AA33)&lt;0.5,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IF(SUMPRODUCT($H$48:AD$48,$H33:AD33)&lt;0.5,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IF(SUMPRODUCT($H$48:AG$48,$H33:AG33)&lt;0.5,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IF(SUMPRODUCT($H$48:AJ$48,$H33:AJ33)&lt;0.5,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IF(SUMPRODUCT($H$48:AM$48,$H33:AM33)&lt;0.5,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IF(SUMPRODUCT($H$48:AP$48,$H33:AP33)&lt;0.5,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IF(SUMPRODUCT($H$48:AS$48,$H33:AS33)&lt;0.5,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IF(SUMPRODUCT($H$48:AV$48,$H33:AV33)&lt;0.5,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IF(SUMPRODUCT($H$48:AY$48,$H33:AY33)&lt;0.5,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IF(SUMPRODUCT($H$48:BB$48,$H33:BB33)&lt;0.5,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IF(SUMPRODUCT($H$48:BE$48,$H33:BE33)&lt;0.5,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IF(SUMPRODUCT($H$48:BH$48,$H33:BH33)&lt;0.5,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IF(SUMPRODUCT($H$48:BK$48,$H33:BK33)&lt;0.5,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IF(SUMPRODUCT($H$48:BN$48,$H33:BN33)&lt;0.5,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IF(SUMPRODUCT($H$48:BQ$48,$H33:BQ33)&lt;0.5,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IF(SUMPRODUCT($H$48:BT$48,$H33:BT33)&lt;0.5,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IF(SUMPRODUCT($H$48:BW$48,$H33:BW33)&lt;0.5,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IF(SUMPRODUCT($H$48:BZ$48,$H33:BZ33)&lt;0.5,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IF(SUMPRODUCT($H$48:CC$48,$H33:CC33)&lt;0.5,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IF(SUMPRODUCT($H$48:CF$48,$H33:CF33)&lt;0.5,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IF(SUMPRODUCT($H$48:CI$48,$H33:CI33)&lt;0.5,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IF(SUMPRODUCT($H$48:CL$48,$H33:CL33)&lt;0.5,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IF(SUMPRODUCT($H$48:CO$48,$H33:CO33)&lt;0.5,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IF(SUMPRODUCT($H$48:CR$48,$H33:CR33)&lt;0.5,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IF(SUMPRODUCT($H$48:CU$48,$H33:CU33)&lt;0.5,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IF(SUMPRODUCT($H$48:CX$48,$H33:CX33)&lt;0.5,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IF(SUMPRODUCT($H$48:DA$48,$H33:DA33)&lt;0.5,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IF(SUMPRODUCT($H$48:DD$48,$H33:DD33)&lt;0.5,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IF(SUMPRODUCT($H$48:DG$48,$H33:DG33)&lt;0.5,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IF(SUMPRODUCT($H$48:DJ$48,$H33:DJ33)&lt;0.5,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IF(SUMPRODUCT($H$48:DM$48,$H33:DM33)&lt;0.5,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IF(SUMPRODUCT($H$48:DP$48,$H33:DP33)&lt;0.5,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IF(SUMPRODUCT($H$48:DS$48,$H33:DS33)&lt;0.5,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IF(SUMPRODUCT($H$48:DV$48,$H33:DV33)&lt;0.5, "Pending", IF(DV33&lt;0.5, "Complete", "In Progress"))</f>
        <v>Pending</v>
      </c>
      <c r="DX33" s="24"/>
      <c r="DY33" s="25">
        <f>SUMPRODUCT($F$48:DE$48,$F33:DE33)</f>
        <v>0</v>
      </c>
    </row>
    <row r="34" spans="1:129">
      <c r="A34" s="16"/>
      <c r="B34" s="17"/>
      <c r="C34" s="26"/>
      <c r="D34" s="18" t="s">
        <v>54</v>
      </c>
      <c r="E34" s="19" t="str">
        <f t="shared" ca="1" si="0"/>
        <v>Pending</v>
      </c>
      <c r="F34" s="20">
        <v>1</v>
      </c>
      <c r="G34" s="21">
        <v>0</v>
      </c>
      <c r="H34" s="22">
        <v>0</v>
      </c>
      <c r="I34" s="22">
        <f t="shared" si="11"/>
        <v>0</v>
      </c>
      <c r="J34" s="23" t="str">
        <f>IF(SUMPRODUCT($H$48:I$48,$H34:I34)&lt;0.5, "Pending", IF(I34&lt;0.5, "Complete", "In Progress"))</f>
        <v>Pending</v>
      </c>
      <c r="K34" s="22">
        <v>0</v>
      </c>
      <c r="L34" s="22">
        <f t="shared" si="12"/>
        <v>0</v>
      </c>
      <c r="M34" s="23" t="str">
        <f>IF(SUMPRODUCT($H$48:L$48,$H34:L34)&lt;0.5,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IF(SUMPRODUCT($H$48:O$48,$H34:O34)&lt;0.5,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IF(SUMPRODUCT($H$48:R$48,$H34:R34)&lt;0.5,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IF(SUMPRODUCT($H$48:U$48,$H34:U34)&lt;0.5,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IF(SUMPRODUCT($H$48:X$48,$H34:X34)&lt;0.5,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IF(SUMPRODUCT($H$48:AA$48,$H34:AA34)&lt;0.5,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IF(SUMPRODUCT($H$48:AD$48,$H34:AD34)&lt;0.5,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IF(SUMPRODUCT($H$48:AG$48,$H34:AG34)&lt;0.5,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IF(SUMPRODUCT($H$48:AJ$48,$H34:AJ34)&lt;0.5,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IF(SUMPRODUCT($H$48:AM$48,$H34:AM34)&lt;0.5,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IF(SUMPRODUCT($H$48:AP$48,$H34:AP34)&lt;0.5,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IF(SUMPRODUCT($H$48:AS$48,$H34:AS34)&lt;0.5,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IF(SUMPRODUCT($H$48:AV$48,$H34:AV34)&lt;0.5,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IF(SUMPRODUCT($H$48:AY$48,$H34:AY34)&lt;0.5,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IF(SUMPRODUCT($H$48:BB$48,$H34:BB34)&lt;0.5,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IF(SUMPRODUCT($H$48:BE$48,$H34:BE34)&lt;0.5,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IF(SUMPRODUCT($H$48:BH$48,$H34:BH34)&lt;0.5,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IF(SUMPRODUCT($H$48:BK$48,$H34:BK34)&lt;0.5,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IF(SUMPRODUCT($H$48:BN$48,$H34:BN34)&lt;0.5,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IF(SUMPRODUCT($H$48:BQ$48,$H34:BQ34)&lt;0.5,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IF(SUMPRODUCT($H$48:BT$48,$H34:BT34)&lt;0.5,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IF(SUMPRODUCT($H$48:BW$48,$H34:BW34)&lt;0.5,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IF(SUMPRODUCT($H$48:BZ$48,$H34:BZ34)&lt;0.5,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IF(SUMPRODUCT($H$48:CC$48,$H34:CC34)&lt;0.5,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IF(SUMPRODUCT($H$48:CF$48,$H34:CF34)&lt;0.5,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IF(SUMPRODUCT($H$48:CI$48,$H34:CI34)&lt;0.5,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IF(SUMPRODUCT($H$48:CL$48,$H34:CL34)&lt;0.5,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IF(SUMPRODUCT($H$48:CO$48,$H34:CO34)&lt;0.5,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IF(SUMPRODUCT($H$48:CR$48,$H34:CR34)&lt;0.5,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IF(SUMPRODUCT($H$48:CU$48,$H34:CU34)&lt;0.5,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IF(SUMPRODUCT($H$48:CX$48,$H34:CX34)&lt;0.5,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IF(SUMPRODUCT($H$48:DA$48,$H34:DA34)&lt;0.5,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IF(SUMPRODUCT($H$48:DD$48,$H34:DD34)&lt;0.5,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IF(SUMPRODUCT($H$48:DG$48,$H34:DG34)&lt;0.5,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IF(SUMPRODUCT($H$48:DJ$48,$H34:DJ34)&lt;0.5,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IF(SUMPRODUCT($H$48:DM$48,$H34:DM34)&lt;0.5,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IF(SUMPRODUCT($H$48:DP$48,$H34:DP34)&lt;0.5,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IF(SUMPRODUCT($H$48:DS$48,$H34:DS34)&lt;0.5,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IF(SUMPRODUCT($H$48:DV$48,$H34:DV34)&lt;0.5, "Pending", IF(DV34&lt;0.5, "Complete", "In Progress"))</f>
        <v>Pending</v>
      </c>
      <c r="DX34" s="24"/>
      <c r="DY34" s="25">
        <f>SUMPRODUCT($F$48:DE$48,$F34:DE34)</f>
        <v>0</v>
      </c>
    </row>
    <row r="35" spans="1:129">
      <c r="A35" s="16"/>
      <c r="B35" s="17"/>
      <c r="C35" s="26"/>
      <c r="D35" s="18" t="s">
        <v>54</v>
      </c>
      <c r="E35" s="19" t="str">
        <f t="shared" ca="1" si="0"/>
        <v>Pending</v>
      </c>
      <c r="F35" s="20">
        <v>1</v>
      </c>
      <c r="G35" s="21">
        <v>0</v>
      </c>
      <c r="H35" s="22">
        <v>0</v>
      </c>
      <c r="I35" s="22">
        <f t="shared" si="11"/>
        <v>0</v>
      </c>
      <c r="J35" s="23" t="str">
        <f>IF(SUMPRODUCT($H$48:I$48,$H35:I35)&lt;0.5, "Pending", IF(I35&lt;0.5, "Complete", "In Progress"))</f>
        <v>Pending</v>
      </c>
      <c r="K35" s="22">
        <v>0</v>
      </c>
      <c r="L35" s="22">
        <f t="shared" si="12"/>
        <v>0</v>
      </c>
      <c r="M35" s="23" t="str">
        <f>IF(SUMPRODUCT($H$48:L$48,$H35:L35)&lt;0.5,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IF(SUMPRODUCT($H$48:O$48,$H35:O35)&lt;0.5,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IF(SUMPRODUCT($H$48:R$48,$H35:R35)&lt;0.5,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IF(SUMPRODUCT($H$48:U$48,$H35:U35)&lt;0.5,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IF(SUMPRODUCT($H$48:X$48,$H35:X35)&lt;0.5,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IF(SUMPRODUCT($H$48:AA$48,$H35:AA35)&lt;0.5,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IF(SUMPRODUCT($H$48:AD$48,$H35:AD35)&lt;0.5,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IF(SUMPRODUCT($H$48:AG$48,$H35:AG35)&lt;0.5,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IF(SUMPRODUCT($H$48:AJ$48,$H35:AJ35)&lt;0.5,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IF(SUMPRODUCT($H$48:AM$48,$H35:AM35)&lt;0.5,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IF(SUMPRODUCT($H$48:AP$48,$H35:AP35)&lt;0.5,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IF(SUMPRODUCT($H$48:AS$48,$H35:AS35)&lt;0.5,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IF(SUMPRODUCT($H$48:AV$48,$H35:AV35)&lt;0.5,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IF(SUMPRODUCT($H$48:AY$48,$H35:AY35)&lt;0.5,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IF(SUMPRODUCT($H$48:BB$48,$H35:BB35)&lt;0.5,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IF(SUMPRODUCT($H$48:BE$48,$H35:BE35)&lt;0.5,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IF(SUMPRODUCT($H$48:BH$48,$H35:BH35)&lt;0.5,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IF(SUMPRODUCT($H$48:BK$48,$H35:BK35)&lt;0.5,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IF(SUMPRODUCT($H$48:BN$48,$H35:BN35)&lt;0.5,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IF(SUMPRODUCT($H$48:BQ$48,$H35:BQ35)&lt;0.5,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IF(SUMPRODUCT($H$48:BT$48,$H35:BT35)&lt;0.5,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IF(SUMPRODUCT($H$48:BW$48,$H35:BW35)&lt;0.5,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IF(SUMPRODUCT($H$48:BZ$48,$H35:BZ35)&lt;0.5,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IF(SUMPRODUCT($H$48:CC$48,$H35:CC35)&lt;0.5,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IF(SUMPRODUCT($H$48:CF$48,$H35:CF35)&lt;0.5,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IF(SUMPRODUCT($H$48:CI$48,$H35:CI35)&lt;0.5,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IF(SUMPRODUCT($H$48:CL$48,$H35:CL35)&lt;0.5,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IF(SUMPRODUCT($H$48:CO$48,$H35:CO35)&lt;0.5,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IF(SUMPRODUCT($H$48:CR$48,$H35:CR35)&lt;0.5,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IF(SUMPRODUCT($H$48:CU$48,$H35:CU35)&lt;0.5,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IF(SUMPRODUCT($H$48:CX$48,$H35:CX35)&lt;0.5,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IF(SUMPRODUCT($H$48:DA$48,$H35:DA35)&lt;0.5,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IF(SUMPRODUCT($H$48:DD$48,$H35:DD35)&lt;0.5,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IF(SUMPRODUCT($H$48:DG$48,$H35:DG35)&lt;0.5,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IF(SUMPRODUCT($H$48:DJ$48,$H35:DJ35)&lt;0.5,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IF(SUMPRODUCT($H$48:DM$48,$H35:DM35)&lt;0.5,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IF(SUMPRODUCT($H$48:DP$48,$H35:DP35)&lt;0.5,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IF(SUMPRODUCT($H$48:DS$48,$H35:DS35)&lt;0.5,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IF(SUMPRODUCT($H$48:DV$48,$H35:DV35)&lt;0.5, "Pending", IF(DV35&lt;0.5, "Complete", "In Progress"))</f>
        <v>Pending</v>
      </c>
      <c r="DX35" s="24"/>
      <c r="DY35" s="25">
        <f>SUMPRODUCT($F$48:DE$48,$F35:DE35)</f>
        <v>0</v>
      </c>
    </row>
    <row r="36" spans="1:129">
      <c r="A36" s="16"/>
      <c r="B36" s="17"/>
      <c r="C36" s="26"/>
      <c r="D36" s="18" t="s">
        <v>54</v>
      </c>
      <c r="E36" s="19" t="str">
        <f t="shared" ca="1" si="0"/>
        <v>Pending</v>
      </c>
      <c r="F36" s="20">
        <v>1</v>
      </c>
      <c r="G36" s="21">
        <v>0</v>
      </c>
      <c r="H36" s="22">
        <v>0</v>
      </c>
      <c r="I36" s="22">
        <f t="shared" si="11"/>
        <v>0</v>
      </c>
      <c r="J36" s="23" t="str">
        <f>IF(SUMPRODUCT($H$48:I$48,$H36:I36)&lt;0.5, "Pending", IF(I36&lt;0.5, "Complete", "In Progress"))</f>
        <v>Pending</v>
      </c>
      <c r="K36" s="22">
        <v>0</v>
      </c>
      <c r="L36" s="22">
        <f t="shared" si="12"/>
        <v>0</v>
      </c>
      <c r="M36" s="23" t="str">
        <f>IF(SUMPRODUCT($H$48:L$48,$H36:L36)&lt;0.5,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IF(SUMPRODUCT($H$48:O$48,$H36:O36)&lt;0.5,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IF(SUMPRODUCT($H$48:R$48,$H36:R36)&lt;0.5,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IF(SUMPRODUCT($H$48:U$48,$H36:U36)&lt;0.5,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IF(SUMPRODUCT($H$48:X$48,$H36:X36)&lt;0.5,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IF(SUMPRODUCT($H$48:AA$48,$H36:AA36)&lt;0.5,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IF(SUMPRODUCT($H$48:AD$48,$H36:AD36)&lt;0.5,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IF(SUMPRODUCT($H$48:AG$48,$H36:AG36)&lt;0.5,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IF(SUMPRODUCT($H$48:AJ$48,$H36:AJ36)&lt;0.5,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IF(SUMPRODUCT($H$48:AM$48,$H36:AM36)&lt;0.5,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IF(SUMPRODUCT($H$48:AP$48,$H36:AP36)&lt;0.5,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IF(SUMPRODUCT($H$48:AS$48,$H36:AS36)&lt;0.5,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IF(SUMPRODUCT($H$48:AV$48,$H36:AV36)&lt;0.5,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IF(SUMPRODUCT($H$48:AY$48,$H36:AY36)&lt;0.5,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IF(SUMPRODUCT($H$48:BB$48,$H36:BB36)&lt;0.5,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IF(SUMPRODUCT($H$48:BE$48,$H36:BE36)&lt;0.5,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IF(SUMPRODUCT($H$48:BH$48,$H36:BH36)&lt;0.5,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IF(SUMPRODUCT($H$48:BK$48,$H36:BK36)&lt;0.5,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IF(SUMPRODUCT($H$48:BN$48,$H36:BN36)&lt;0.5,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IF(SUMPRODUCT($H$48:BQ$48,$H36:BQ36)&lt;0.5,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IF(SUMPRODUCT($H$48:BT$48,$H36:BT36)&lt;0.5,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IF(SUMPRODUCT($H$48:BW$48,$H36:BW36)&lt;0.5,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IF(SUMPRODUCT($H$48:BZ$48,$H36:BZ36)&lt;0.5,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IF(SUMPRODUCT($H$48:CC$48,$H36:CC36)&lt;0.5,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IF(SUMPRODUCT($H$48:CF$48,$H36:CF36)&lt;0.5,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IF(SUMPRODUCT($H$48:CI$48,$H36:CI36)&lt;0.5,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IF(SUMPRODUCT($H$48:CL$48,$H36:CL36)&lt;0.5,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IF(SUMPRODUCT($H$48:CO$48,$H36:CO36)&lt;0.5,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IF(SUMPRODUCT($H$48:CR$48,$H36:CR36)&lt;0.5,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IF(SUMPRODUCT($H$48:CU$48,$H36:CU36)&lt;0.5,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IF(SUMPRODUCT($H$48:CX$48,$H36:CX36)&lt;0.5,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IF(SUMPRODUCT($H$48:DA$48,$H36:DA36)&lt;0.5,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IF(SUMPRODUCT($H$48:DD$48,$H36:DD36)&lt;0.5,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IF(SUMPRODUCT($H$48:DG$48,$H36:DG36)&lt;0.5,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IF(SUMPRODUCT($H$48:DJ$48,$H36:DJ36)&lt;0.5,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IF(SUMPRODUCT($H$48:DM$48,$H36:DM36)&lt;0.5,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IF(SUMPRODUCT($H$48:DP$48,$H36:DP36)&lt;0.5,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IF(SUMPRODUCT($H$48:DS$48,$H36:DS36)&lt;0.5,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IF(SUMPRODUCT($H$48:DV$48,$H36:DV36)&lt;0.5, "Pending", IF(DV36&lt;0.5, "Complete", "In Progress"))</f>
        <v>Pending</v>
      </c>
      <c r="DX36" s="24"/>
      <c r="DY36" s="25">
        <f>SUMPRODUCT($F$48:DE$48,$F36:DE36)</f>
        <v>0</v>
      </c>
    </row>
    <row r="37" spans="1:129">
      <c r="A37" s="16"/>
      <c r="B37" s="17"/>
      <c r="C37" s="26"/>
      <c r="D37" s="18" t="s">
        <v>54</v>
      </c>
      <c r="E37" s="19" t="str">
        <f t="shared" ca="1" si="0"/>
        <v>Pending</v>
      </c>
      <c r="F37" s="20">
        <v>1</v>
      </c>
      <c r="G37" s="21">
        <v>0</v>
      </c>
      <c r="H37" s="22">
        <v>0</v>
      </c>
      <c r="I37" s="22">
        <f t="shared" si="11"/>
        <v>0</v>
      </c>
      <c r="J37" s="23" t="str">
        <f>IF(SUMPRODUCT($H$48:I$48,$H37:I37)&lt;0.5, "Pending", IF(I37&lt;0.5, "Complete", "In Progress"))</f>
        <v>Pending</v>
      </c>
      <c r="K37" s="22">
        <v>0</v>
      </c>
      <c r="L37" s="22">
        <f t="shared" si="12"/>
        <v>0</v>
      </c>
      <c r="M37" s="23" t="str">
        <f>IF(SUMPRODUCT($H$48:L$48,$H37:L37)&lt;0.5,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IF(SUMPRODUCT($H$48:O$48,$H37:O37)&lt;0.5,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IF(SUMPRODUCT($H$48:R$48,$H37:R37)&lt;0.5,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IF(SUMPRODUCT($H$48:U$48,$H37:U37)&lt;0.5,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IF(SUMPRODUCT($H$48:X$48,$H37:X37)&lt;0.5,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IF(SUMPRODUCT($H$48:AA$48,$H37:AA37)&lt;0.5,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IF(SUMPRODUCT($H$48:AD$48,$H37:AD37)&lt;0.5,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IF(SUMPRODUCT($H$48:AG$48,$H37:AG37)&lt;0.5,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IF(SUMPRODUCT($H$48:AJ$48,$H37:AJ37)&lt;0.5,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IF(SUMPRODUCT($H$48:AM$48,$H37:AM37)&lt;0.5,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IF(SUMPRODUCT($H$48:AP$48,$H37:AP37)&lt;0.5,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IF(SUMPRODUCT($H$48:AS$48,$H37:AS37)&lt;0.5,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IF(SUMPRODUCT($H$48:AV$48,$H37:AV37)&lt;0.5,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IF(SUMPRODUCT($H$48:AY$48,$H37:AY37)&lt;0.5,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IF(SUMPRODUCT($H$48:BB$48,$H37:BB37)&lt;0.5,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IF(SUMPRODUCT($H$48:BE$48,$H37:BE37)&lt;0.5,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IF(SUMPRODUCT($H$48:BH$48,$H37:BH37)&lt;0.5,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IF(SUMPRODUCT($H$48:BK$48,$H37:BK37)&lt;0.5,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IF(SUMPRODUCT($H$48:BN$48,$H37:BN37)&lt;0.5,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IF(SUMPRODUCT($H$48:BQ$48,$H37:BQ37)&lt;0.5,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IF(SUMPRODUCT($H$48:BT$48,$H37:BT37)&lt;0.5,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IF(SUMPRODUCT($H$48:BW$48,$H37:BW37)&lt;0.5,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IF(SUMPRODUCT($H$48:BZ$48,$H37:BZ37)&lt;0.5,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IF(SUMPRODUCT($H$48:CC$48,$H37:CC37)&lt;0.5,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IF(SUMPRODUCT($H$48:CF$48,$H37:CF37)&lt;0.5,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IF(SUMPRODUCT($H$48:CI$48,$H37:CI37)&lt;0.5,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IF(SUMPRODUCT($H$48:CL$48,$H37:CL37)&lt;0.5,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IF(SUMPRODUCT($H$48:CO$48,$H37:CO37)&lt;0.5,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IF(SUMPRODUCT($H$48:CR$48,$H37:CR37)&lt;0.5,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IF(SUMPRODUCT($H$48:CU$48,$H37:CU37)&lt;0.5,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IF(SUMPRODUCT($H$48:CX$48,$H37:CX37)&lt;0.5,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IF(SUMPRODUCT($H$48:DA$48,$H37:DA37)&lt;0.5,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IF(SUMPRODUCT($H$48:DD$48,$H37:DD37)&lt;0.5,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IF(SUMPRODUCT($H$48:DG$48,$H37:DG37)&lt;0.5,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IF(SUMPRODUCT($H$48:DJ$48,$H37:DJ37)&lt;0.5,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IF(SUMPRODUCT($H$48:DM$48,$H37:DM37)&lt;0.5,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IF(SUMPRODUCT($H$48:DP$48,$H37:DP37)&lt;0.5,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IF(SUMPRODUCT($H$48:DS$48,$H37:DS37)&lt;0.5,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IF(SUMPRODUCT($H$48:DV$48,$H37:DV37)&lt;0.5, "Pending", IF(DV37&lt;0.5, "Complete", "In Progress"))</f>
        <v>Pending</v>
      </c>
      <c r="DX37" s="24"/>
      <c r="DY37" s="25">
        <f>SUMPRODUCT($F$48:DE$48,$F37:DE37)</f>
        <v>0</v>
      </c>
    </row>
    <row r="38" spans="1:129">
      <c r="A38" s="16"/>
      <c r="B38" s="17"/>
      <c r="C38" s="26"/>
      <c r="D38" s="18" t="s">
        <v>54</v>
      </c>
      <c r="E38" s="19" t="str">
        <f t="shared" ca="1" si="0"/>
        <v>Pending</v>
      </c>
      <c r="F38" s="20">
        <v>1</v>
      </c>
      <c r="G38" s="21">
        <v>0</v>
      </c>
      <c r="H38" s="22">
        <v>0</v>
      </c>
      <c r="I38" s="22">
        <f t="shared" si="11"/>
        <v>0</v>
      </c>
      <c r="J38" s="23" t="str">
        <f>IF(SUMPRODUCT($H$48:I$48,$H38:I38)&lt;0.5, "Pending", IF(I38&lt;0.5, "Complete", "In Progress"))</f>
        <v>Pending</v>
      </c>
      <c r="K38" s="22">
        <v>0</v>
      </c>
      <c r="L38" s="22">
        <f t="shared" si="12"/>
        <v>0</v>
      </c>
      <c r="M38" s="23" t="str">
        <f>IF(SUMPRODUCT($H$48:L$48,$H38:L38)&lt;0.5,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IF(SUMPRODUCT($H$48:O$48,$H38:O38)&lt;0.5,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IF(SUMPRODUCT($H$48:R$48,$H38:R38)&lt;0.5,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IF(SUMPRODUCT($H$48:U$48,$H38:U38)&lt;0.5,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IF(SUMPRODUCT($H$48:X$48,$H38:X38)&lt;0.5,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IF(SUMPRODUCT($H$48:AA$48,$H38:AA38)&lt;0.5,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IF(SUMPRODUCT($H$48:AD$48,$H38:AD38)&lt;0.5,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IF(SUMPRODUCT($H$48:AG$48,$H38:AG38)&lt;0.5,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IF(SUMPRODUCT($H$48:AJ$48,$H38:AJ38)&lt;0.5,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IF(SUMPRODUCT($H$48:AM$48,$H38:AM38)&lt;0.5,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IF(SUMPRODUCT($H$48:AP$48,$H38:AP38)&lt;0.5,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IF(SUMPRODUCT($H$48:AS$48,$H38:AS38)&lt;0.5,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IF(SUMPRODUCT($H$48:AV$48,$H38:AV38)&lt;0.5,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IF(SUMPRODUCT($H$48:AY$48,$H38:AY38)&lt;0.5,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IF(SUMPRODUCT($H$48:BB$48,$H38:BB38)&lt;0.5,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IF(SUMPRODUCT($H$48:BE$48,$H38:BE38)&lt;0.5,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IF(SUMPRODUCT($H$48:BH$48,$H38:BH38)&lt;0.5,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IF(SUMPRODUCT($H$48:BK$48,$H38:BK38)&lt;0.5,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IF(SUMPRODUCT($H$48:BN$48,$H38:BN38)&lt;0.5,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IF(SUMPRODUCT($H$48:BQ$48,$H38:BQ38)&lt;0.5,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IF(SUMPRODUCT($H$48:BT$48,$H38:BT38)&lt;0.5,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IF(SUMPRODUCT($H$48:BW$48,$H38:BW38)&lt;0.5,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IF(SUMPRODUCT($H$48:BZ$48,$H38:BZ38)&lt;0.5,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IF(SUMPRODUCT($H$48:CC$48,$H38:CC38)&lt;0.5,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IF(SUMPRODUCT($H$48:CF$48,$H38:CF38)&lt;0.5,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IF(SUMPRODUCT($H$48:CI$48,$H38:CI38)&lt;0.5,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IF(SUMPRODUCT($H$48:CL$48,$H38:CL38)&lt;0.5,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IF(SUMPRODUCT($H$48:CO$48,$H38:CO38)&lt;0.5,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IF(SUMPRODUCT($H$48:CR$48,$H38:CR38)&lt;0.5,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IF(SUMPRODUCT($H$48:CU$48,$H38:CU38)&lt;0.5,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IF(SUMPRODUCT($H$48:CX$48,$H38:CX38)&lt;0.5,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IF(SUMPRODUCT($H$48:DA$48,$H38:DA38)&lt;0.5,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IF(SUMPRODUCT($H$48:DD$48,$H38:DD38)&lt;0.5,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IF(SUMPRODUCT($H$48:DG$48,$H38:DG38)&lt;0.5,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IF(SUMPRODUCT($H$48:DJ$48,$H38:DJ38)&lt;0.5,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IF(SUMPRODUCT($H$48:DM$48,$H38:DM38)&lt;0.5,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IF(SUMPRODUCT($H$48:DP$48,$H38:DP38)&lt;0.5,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IF(SUMPRODUCT($H$48:DS$48,$H38:DS38)&lt;0.5,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IF(SUMPRODUCT($H$48:DV$48,$H38:DV38)&lt;0.5, "Pending", IF(DV38&lt;0.5, "Complete", "In Progress"))</f>
        <v>Pending</v>
      </c>
      <c r="DX38" s="24"/>
      <c r="DY38" s="25">
        <f>SUMPRODUCT($F$48:DE$48,$F38:DE38)</f>
        <v>0</v>
      </c>
    </row>
    <row r="39" spans="1:129">
      <c r="A39" s="16"/>
      <c r="B39" s="17"/>
      <c r="C39" s="26"/>
      <c r="D39" s="18" t="s">
        <v>54</v>
      </c>
      <c r="E39" s="19" t="str">
        <f t="shared" ca="1" si="0"/>
        <v>Pending</v>
      </c>
      <c r="F39" s="20">
        <v>1</v>
      </c>
      <c r="G39" s="21">
        <v>0</v>
      </c>
      <c r="H39" s="22">
        <v>0</v>
      </c>
      <c r="I39" s="22">
        <f t="shared" si="11"/>
        <v>0</v>
      </c>
      <c r="J39" s="23" t="str">
        <f>IF(SUMPRODUCT($H$48:I$48,$H39:I39)&lt;0.5, "Pending", IF(I39&lt;0.5, "Complete", "In Progress"))</f>
        <v>Pending</v>
      </c>
      <c r="K39" s="22">
        <v>0</v>
      </c>
      <c r="L39" s="22">
        <f t="shared" si="12"/>
        <v>0</v>
      </c>
      <c r="M39" s="23" t="str">
        <f>IF(SUMPRODUCT($H$48:L$48,$H39:L39)&lt;0.5,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IF(SUMPRODUCT($H$48:O$48,$H39:O39)&lt;0.5,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IF(SUMPRODUCT($H$48:R$48,$H39:R39)&lt;0.5,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IF(SUMPRODUCT($H$48:U$48,$H39:U39)&lt;0.5,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IF(SUMPRODUCT($H$48:X$48,$H39:X39)&lt;0.5,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IF(SUMPRODUCT($H$48:AA$48,$H39:AA39)&lt;0.5,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IF(SUMPRODUCT($H$48:AD$48,$H39:AD39)&lt;0.5,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IF(SUMPRODUCT($H$48:AG$48,$H39:AG39)&lt;0.5,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IF(SUMPRODUCT($H$48:AJ$48,$H39:AJ39)&lt;0.5,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IF(SUMPRODUCT($H$48:AM$48,$H39:AM39)&lt;0.5,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IF(SUMPRODUCT($H$48:AP$48,$H39:AP39)&lt;0.5,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IF(SUMPRODUCT($H$48:AS$48,$H39:AS39)&lt;0.5,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IF(SUMPRODUCT($H$48:AV$48,$H39:AV39)&lt;0.5,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IF(SUMPRODUCT($H$48:AY$48,$H39:AY39)&lt;0.5,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IF(SUMPRODUCT($H$48:BB$48,$H39:BB39)&lt;0.5,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IF(SUMPRODUCT($H$48:BE$48,$H39:BE39)&lt;0.5,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IF(SUMPRODUCT($H$48:BH$48,$H39:BH39)&lt;0.5,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IF(SUMPRODUCT($H$48:BK$48,$H39:BK39)&lt;0.5,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IF(SUMPRODUCT($H$48:BN$48,$H39:BN39)&lt;0.5,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IF(SUMPRODUCT($H$48:BQ$48,$H39:BQ39)&lt;0.5,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IF(SUMPRODUCT($H$48:BT$48,$H39:BT39)&lt;0.5,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IF(SUMPRODUCT($H$48:BW$48,$H39:BW39)&lt;0.5,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IF(SUMPRODUCT($H$48:BZ$48,$H39:BZ39)&lt;0.5,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IF(SUMPRODUCT($H$48:CC$48,$H39:CC39)&lt;0.5,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IF(SUMPRODUCT($H$48:CF$48,$H39:CF39)&lt;0.5,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IF(SUMPRODUCT($H$48:CI$48,$H39:CI39)&lt;0.5,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IF(SUMPRODUCT($H$48:CL$48,$H39:CL39)&lt;0.5,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IF(SUMPRODUCT($H$48:CO$48,$H39:CO39)&lt;0.5,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IF(SUMPRODUCT($H$48:CR$48,$H39:CR39)&lt;0.5,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IF(SUMPRODUCT($H$48:CU$48,$H39:CU39)&lt;0.5,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IF(SUMPRODUCT($H$48:CX$48,$H39:CX39)&lt;0.5,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IF(SUMPRODUCT($H$48:DA$48,$H39:DA39)&lt;0.5,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IF(SUMPRODUCT($H$48:DD$48,$H39:DD39)&lt;0.5,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IF(SUMPRODUCT($H$48:DG$48,$H39:DG39)&lt;0.5,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IF(SUMPRODUCT($H$48:DJ$48,$H39:DJ39)&lt;0.5,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IF(SUMPRODUCT($H$48:DM$48,$H39:DM39)&lt;0.5,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IF(SUMPRODUCT($H$48:DP$48,$H39:DP39)&lt;0.5,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IF(SUMPRODUCT($H$48:DS$48,$H39:DS39)&lt;0.5,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IF(SUMPRODUCT($H$48:DV$48,$H39:DV39)&lt;0.5, "Pending", IF(DV39&lt;0.5, "Complete", "In Progress"))</f>
        <v>Pending</v>
      </c>
      <c r="DX39" s="24"/>
      <c r="DY39" s="25">
        <f>SUMPRODUCT($F$48:DE$48,$F39:DE39)</f>
        <v>0</v>
      </c>
    </row>
    <row r="40" spans="1:129">
      <c r="A40" s="16"/>
      <c r="B40" s="17"/>
      <c r="C40" s="26"/>
      <c r="D40" s="18" t="s">
        <v>54</v>
      </c>
      <c r="E40" s="19" t="str">
        <f t="shared" ca="1" si="0"/>
        <v>Pending</v>
      </c>
      <c r="F40" s="20">
        <v>1</v>
      </c>
      <c r="G40" s="21">
        <v>0</v>
      </c>
      <c r="H40" s="22">
        <v>0</v>
      </c>
      <c r="I40" s="22">
        <f t="shared" si="11"/>
        <v>0</v>
      </c>
      <c r="J40" s="23" t="str">
        <f>IF(SUMPRODUCT($H$48:I$48,$H40:I40)&lt;0.5, "Pending", IF(I40&lt;0.5, "Complete", "In Progress"))</f>
        <v>Pending</v>
      </c>
      <c r="K40" s="22">
        <v>0</v>
      </c>
      <c r="L40" s="22">
        <f t="shared" si="12"/>
        <v>0</v>
      </c>
      <c r="M40" s="23" t="str">
        <f>IF(SUMPRODUCT($H$48:L$48,$H40:L40)&lt;0.5,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IF(SUMPRODUCT($H$48:O$48,$H40:O40)&lt;0.5,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IF(SUMPRODUCT($H$48:R$48,$H40:R40)&lt;0.5,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IF(SUMPRODUCT($H$48:U$48,$H40:U40)&lt;0.5,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IF(SUMPRODUCT($H$48:X$48,$H40:X40)&lt;0.5,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IF(SUMPRODUCT($H$48:AA$48,$H40:AA40)&lt;0.5,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IF(SUMPRODUCT($H$48:AD$48,$H40:AD40)&lt;0.5,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IF(SUMPRODUCT($H$48:AG$48,$H40:AG40)&lt;0.5,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IF(SUMPRODUCT($H$48:AJ$48,$H40:AJ40)&lt;0.5,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IF(SUMPRODUCT($H$48:AM$48,$H40:AM40)&lt;0.5,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IF(SUMPRODUCT($H$48:AP$48,$H40:AP40)&lt;0.5,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IF(SUMPRODUCT($H$48:AS$48,$H40:AS40)&lt;0.5,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IF(SUMPRODUCT($H$48:AV$48,$H40:AV40)&lt;0.5,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IF(SUMPRODUCT($H$48:AY$48,$H40:AY40)&lt;0.5,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IF(SUMPRODUCT($H$48:BB$48,$H40:BB40)&lt;0.5,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IF(SUMPRODUCT($H$48:BE$48,$H40:BE40)&lt;0.5,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IF(SUMPRODUCT($H$48:BH$48,$H40:BH40)&lt;0.5,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IF(SUMPRODUCT($H$48:BK$48,$H40:BK40)&lt;0.5,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IF(SUMPRODUCT($H$48:BN$48,$H40:BN40)&lt;0.5,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IF(SUMPRODUCT($H$48:BQ$48,$H40:BQ40)&lt;0.5,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IF(SUMPRODUCT($H$48:BT$48,$H40:BT40)&lt;0.5,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IF(SUMPRODUCT($H$48:BW$48,$H40:BW40)&lt;0.5,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IF(SUMPRODUCT($H$48:BZ$48,$H40:BZ40)&lt;0.5,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IF(SUMPRODUCT($H$48:CC$48,$H40:CC40)&lt;0.5,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IF(SUMPRODUCT($H$48:CF$48,$H40:CF40)&lt;0.5,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IF(SUMPRODUCT($H$48:CI$48,$H40:CI40)&lt;0.5,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IF(SUMPRODUCT($H$48:CL$48,$H40:CL40)&lt;0.5,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IF(SUMPRODUCT($H$48:CO$48,$H40:CO40)&lt;0.5,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IF(SUMPRODUCT($H$48:CR$48,$H40:CR40)&lt;0.5,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IF(SUMPRODUCT($H$48:CU$48,$H40:CU40)&lt;0.5,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IF(SUMPRODUCT($H$48:CX$48,$H40:CX40)&lt;0.5,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IF(SUMPRODUCT($H$48:DA$48,$H40:DA40)&lt;0.5,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IF(SUMPRODUCT($H$48:DD$48,$H40:DD40)&lt;0.5,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IF(SUMPRODUCT($H$48:DG$48,$H40:DG40)&lt;0.5,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IF(SUMPRODUCT($H$48:DJ$48,$H40:DJ40)&lt;0.5,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IF(SUMPRODUCT($H$48:DM$48,$H40:DM40)&lt;0.5,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IF(SUMPRODUCT($H$48:DP$48,$H40:DP40)&lt;0.5,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IF(SUMPRODUCT($H$48:DS$48,$H40:DS40)&lt;0.5,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IF(SUMPRODUCT($H$48:DV$48,$H40:DV40)&lt;0.5, "Pending", IF(DV40&lt;0.5, "Complete", "In Progress"))</f>
        <v>Pending</v>
      </c>
      <c r="DX40" s="24"/>
      <c r="DY40" s="25">
        <f>SUMPRODUCT($F$48:DE$48,$F40:DE40)</f>
        <v>0</v>
      </c>
    </row>
    <row r="41" spans="1:129">
      <c r="A41" s="16"/>
      <c r="B41" s="17"/>
      <c r="C41" s="26"/>
      <c r="D41" s="18" t="s">
        <v>54</v>
      </c>
      <c r="E41" s="19" t="str">
        <f t="shared" ca="1" si="0"/>
        <v>Pending</v>
      </c>
      <c r="F41" s="20">
        <v>1</v>
      </c>
      <c r="G41" s="21">
        <v>0</v>
      </c>
      <c r="H41" s="22">
        <v>0</v>
      </c>
      <c r="I41" s="22">
        <f t="shared" si="11"/>
        <v>0</v>
      </c>
      <c r="J41" s="23" t="str">
        <f>IF(SUMPRODUCT($H$48:I$48,$H41:I41)&lt;0.5, "Pending", IF(I41&lt;0.5, "Complete", "In Progress"))</f>
        <v>Pending</v>
      </c>
      <c r="K41" s="22">
        <v>0</v>
      </c>
      <c r="L41" s="22">
        <f t="shared" si="12"/>
        <v>0</v>
      </c>
      <c r="M41" s="23" t="str">
        <f>IF(SUMPRODUCT($H$48:L$48,$H41:L41)&lt;0.5,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IF(SUMPRODUCT($H$48:O$48,$H41:O41)&lt;0.5,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IF(SUMPRODUCT($H$48:R$48,$H41:R41)&lt;0.5,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IF(SUMPRODUCT($H$48:U$48,$H41:U41)&lt;0.5,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IF(SUMPRODUCT($H$48:X$48,$H41:X41)&lt;0.5,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IF(SUMPRODUCT($H$48:AA$48,$H41:AA41)&lt;0.5,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IF(SUMPRODUCT($H$48:AD$48,$H41:AD41)&lt;0.5,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IF(SUMPRODUCT($H$48:AG$48,$H41:AG41)&lt;0.5,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IF(SUMPRODUCT($H$48:AJ$48,$H41:AJ41)&lt;0.5,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IF(SUMPRODUCT($H$48:AM$48,$H41:AM41)&lt;0.5,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IF(SUMPRODUCT($H$48:AP$48,$H41:AP41)&lt;0.5,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IF(SUMPRODUCT($H$48:AS$48,$H41:AS41)&lt;0.5,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IF(SUMPRODUCT($H$48:AV$48,$H41:AV41)&lt;0.5,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IF(SUMPRODUCT($H$48:AY$48,$H41:AY41)&lt;0.5,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IF(SUMPRODUCT($H$48:BB$48,$H41:BB41)&lt;0.5,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IF(SUMPRODUCT($H$48:BE$48,$H41:BE41)&lt;0.5,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IF(SUMPRODUCT($H$48:BH$48,$H41:BH41)&lt;0.5,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IF(SUMPRODUCT($H$48:BK$48,$H41:BK41)&lt;0.5,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IF(SUMPRODUCT($H$48:BN$48,$H41:BN41)&lt;0.5,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IF(SUMPRODUCT($H$48:BQ$48,$H41:BQ41)&lt;0.5,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IF(SUMPRODUCT($H$48:BT$48,$H41:BT41)&lt;0.5,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IF(SUMPRODUCT($H$48:BW$48,$H41:BW41)&lt;0.5,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IF(SUMPRODUCT($H$48:BZ$48,$H41:BZ41)&lt;0.5,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IF(SUMPRODUCT($H$48:CC$48,$H41:CC41)&lt;0.5,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IF(SUMPRODUCT($H$48:CF$48,$H41:CF41)&lt;0.5,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IF(SUMPRODUCT($H$48:CI$48,$H41:CI41)&lt;0.5,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IF(SUMPRODUCT($H$48:CL$48,$H41:CL41)&lt;0.5,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IF(SUMPRODUCT($H$48:CO$48,$H41:CO41)&lt;0.5,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IF(SUMPRODUCT($H$48:CR$48,$H41:CR41)&lt;0.5,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IF(SUMPRODUCT($H$48:CU$48,$H41:CU41)&lt;0.5,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IF(SUMPRODUCT($H$48:CX$48,$H41:CX41)&lt;0.5,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IF(SUMPRODUCT($H$48:DA$48,$H41:DA41)&lt;0.5,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IF(SUMPRODUCT($H$48:DD$48,$H41:DD41)&lt;0.5,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IF(SUMPRODUCT($H$48:DG$48,$H41:DG41)&lt;0.5,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IF(SUMPRODUCT($H$48:DJ$48,$H41:DJ41)&lt;0.5,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IF(SUMPRODUCT($H$48:DM$48,$H41:DM41)&lt;0.5,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IF(SUMPRODUCT($H$48:DP$48,$H41:DP41)&lt;0.5,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IF(SUMPRODUCT($H$48:DS$48,$H41:DS41)&lt;0.5,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IF(SUMPRODUCT($H$48:DV$48,$H41:DV41)&lt;0.5, "Pending", IF(DV41&lt;0.5, "Complete", "In Progress"))</f>
        <v>Pending</v>
      </c>
      <c r="DX41" s="24"/>
      <c r="DY41" s="25">
        <f>SUMPRODUCT($F$48:DE$48,$F41:DE41)</f>
        <v>0</v>
      </c>
    </row>
    <row r="42" spans="1:129">
      <c r="A42" s="16"/>
      <c r="B42" s="17"/>
      <c r="C42" s="26"/>
      <c r="D42" s="18" t="s">
        <v>54</v>
      </c>
      <c r="E42" s="19" t="str">
        <f t="shared" ca="1" si="0"/>
        <v>Pending</v>
      </c>
      <c r="F42" s="20">
        <v>1</v>
      </c>
      <c r="G42" s="21">
        <v>0</v>
      </c>
      <c r="H42" s="22">
        <v>0</v>
      </c>
      <c r="I42" s="22">
        <f t="shared" si="11"/>
        <v>0</v>
      </c>
      <c r="J42" s="23" t="str">
        <f>IF(SUMPRODUCT($H$48:I$48,$H42:I42)&lt;0.5, "Pending", IF(I42&lt;0.5, "Complete", "In Progress"))</f>
        <v>Pending</v>
      </c>
      <c r="K42" s="22">
        <v>0</v>
      </c>
      <c r="L42" s="22">
        <f t="shared" si="12"/>
        <v>0</v>
      </c>
      <c r="M42" s="23" t="str">
        <f>IF(SUMPRODUCT($H$48:L$48,$H42:L42)&lt;0.5,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IF(SUMPRODUCT($H$48:O$48,$H42:O42)&lt;0.5,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IF(SUMPRODUCT($H$48:R$48,$H42:R42)&lt;0.5,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IF(SUMPRODUCT($H$48:U$48,$H42:U42)&lt;0.5,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IF(SUMPRODUCT($H$48:X$48,$H42:X42)&lt;0.5,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IF(SUMPRODUCT($H$48:AA$48,$H42:AA42)&lt;0.5,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IF(SUMPRODUCT($H$48:AD$48,$H42:AD42)&lt;0.5,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IF(SUMPRODUCT($H$48:AG$48,$H42:AG42)&lt;0.5,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IF(SUMPRODUCT($H$48:AJ$48,$H42:AJ42)&lt;0.5,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IF(SUMPRODUCT($H$48:AM$48,$H42:AM42)&lt;0.5,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IF(SUMPRODUCT($H$48:AP$48,$H42:AP42)&lt;0.5,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IF(SUMPRODUCT($H$48:AS$48,$H42:AS42)&lt;0.5,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IF(SUMPRODUCT($H$48:AV$48,$H42:AV42)&lt;0.5,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IF(SUMPRODUCT($H$48:AY$48,$H42:AY42)&lt;0.5,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IF(SUMPRODUCT($H$48:BB$48,$H42:BB42)&lt;0.5,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IF(SUMPRODUCT($H$48:BE$48,$H42:BE42)&lt;0.5,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IF(SUMPRODUCT($H$48:BH$48,$H42:BH42)&lt;0.5,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IF(SUMPRODUCT($H$48:BK$48,$H42:BK42)&lt;0.5,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IF(SUMPRODUCT($H$48:BN$48,$H42:BN42)&lt;0.5,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IF(SUMPRODUCT($H$48:BQ$48,$H42:BQ42)&lt;0.5,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IF(SUMPRODUCT($H$48:BT$48,$H42:BT42)&lt;0.5,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IF(SUMPRODUCT($H$48:BW$48,$H42:BW42)&lt;0.5,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IF(SUMPRODUCT($H$48:BZ$48,$H42:BZ42)&lt;0.5,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IF(SUMPRODUCT($H$48:CC$48,$H42:CC42)&lt;0.5,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IF(SUMPRODUCT($H$48:CF$48,$H42:CF42)&lt;0.5,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IF(SUMPRODUCT($H$48:CI$48,$H42:CI42)&lt;0.5,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IF(SUMPRODUCT($H$48:CL$48,$H42:CL42)&lt;0.5,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IF(SUMPRODUCT($H$48:CO$48,$H42:CO42)&lt;0.5,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IF(SUMPRODUCT($H$48:CR$48,$H42:CR42)&lt;0.5,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IF(SUMPRODUCT($H$48:CU$48,$H42:CU42)&lt;0.5,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IF(SUMPRODUCT($H$48:CX$48,$H42:CX42)&lt;0.5,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IF(SUMPRODUCT($H$48:DA$48,$H42:DA42)&lt;0.5,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IF(SUMPRODUCT($H$48:DD$48,$H42:DD42)&lt;0.5,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IF(SUMPRODUCT($H$48:DG$48,$H42:DG42)&lt;0.5,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IF(SUMPRODUCT($H$48:DJ$48,$H42:DJ42)&lt;0.5,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IF(SUMPRODUCT($H$48:DM$48,$H42:DM42)&lt;0.5,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IF(SUMPRODUCT($H$48:DP$48,$H42:DP42)&lt;0.5,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IF(SUMPRODUCT($H$48:DS$48,$H42:DS42)&lt;0.5,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IF(SUMPRODUCT($H$48:DV$48,$H42:DV42)&lt;0.5, "Pending", IF(DV42&lt;0.5, "Complete", "In Progress"))</f>
        <v>Pending</v>
      </c>
      <c r="DX42" s="24"/>
      <c r="DY42" s="25">
        <f>SUMPRODUCT($F$48:DE$48,$F42:DE42)</f>
        <v>0</v>
      </c>
    </row>
    <row r="43" spans="1:129">
      <c r="A43" s="16"/>
      <c r="B43" s="17"/>
      <c r="C43" s="26"/>
      <c r="D43" s="18" t="s">
        <v>54</v>
      </c>
      <c r="E43" s="19" t="str">
        <f t="shared" ca="1" si="0"/>
        <v>Pending</v>
      </c>
      <c r="F43" s="20">
        <v>1</v>
      </c>
      <c r="G43" s="21">
        <v>0</v>
      </c>
      <c r="H43" s="22">
        <v>0</v>
      </c>
      <c r="I43" s="22">
        <f t="shared" si="11"/>
        <v>0</v>
      </c>
      <c r="J43" s="23" t="str">
        <f>IF(SUMPRODUCT($H$48:I$48,$H43:I43)&lt;0.5, "Pending", IF(I43&lt;0.5, "Complete", "In Progress"))</f>
        <v>Pending</v>
      </c>
      <c r="K43" s="22">
        <v>0</v>
      </c>
      <c r="L43" s="22">
        <f t="shared" si="12"/>
        <v>0</v>
      </c>
      <c r="M43" s="23" t="str">
        <f>IF(SUMPRODUCT($H$48:L$48,$H43:L43)&lt;0.5, "Pending", IF(L43&lt;0.5, "Complete", "In Progress"))</f>
        <v>Pending</v>
      </c>
      <c r="N43" s="22">
        <v>0</v>
      </c>
      <c r="O43" s="22">
        <f t="shared" si="13"/>
        <v>0</v>
      </c>
      <c r="P43" s="23" t="str">
        <f>IF(SUMPRODUCT($H$48:O$48,$H43:O43)&lt;0.5, "Pending", IF(O43&lt;0.5, "Complete", "In Progress"))</f>
        <v>Pending</v>
      </c>
      <c r="Q43" s="22">
        <v>0</v>
      </c>
      <c r="R43" s="22">
        <f t="shared" si="14"/>
        <v>0</v>
      </c>
      <c r="S43" s="23" t="str">
        <f>IF(SUMPRODUCT($H$48:R$48,$H43:R43)&lt;0.5, "Pending", IF(R43&lt;0.5, "Complete", "In Progress"))</f>
        <v>Pending</v>
      </c>
      <c r="T43" s="22">
        <v>0</v>
      </c>
      <c r="U43" s="22">
        <f t="shared" si="15"/>
        <v>0</v>
      </c>
      <c r="V43" s="23" t="str">
        <f>IF(SUMPRODUCT($H$48:U$48,$H43:U43)&lt;0.5, "Pending", IF(U43&lt;0.5, "Complete", "In Progress"))</f>
        <v>Pending</v>
      </c>
      <c r="W43" s="22">
        <v>0</v>
      </c>
      <c r="X43" s="22">
        <f t="shared" si="16"/>
        <v>0</v>
      </c>
      <c r="Y43" s="23" t="str">
        <f>IF(SUMPRODUCT($H$48:X$48,$H43:X43)&lt;0.5, "Pending", IF(X43&lt;0.5, "Complete", "In Progress"))</f>
        <v>Pending</v>
      </c>
      <c r="Z43" s="22">
        <v>0</v>
      </c>
      <c r="AA43" s="22">
        <f t="shared" si="17"/>
        <v>0</v>
      </c>
      <c r="AB43" s="23" t="str">
        <f>IF(SUMPRODUCT($H$48:AA$48,$H43:AA43)&lt;0.5, "Pending", IF(AA43&lt;0.5, "Complete", "In Progress"))</f>
        <v>Pending</v>
      </c>
      <c r="AC43" s="22">
        <v>0</v>
      </c>
      <c r="AD43" s="22">
        <f t="shared" si="18"/>
        <v>0</v>
      </c>
      <c r="AE43" s="23" t="str">
        <f>IF(SUMPRODUCT($H$48:AD$48,$H43:AD43)&lt;0.5, "Pending", IF(AD43&lt;0.5, "Complete", "In Progress"))</f>
        <v>Pending</v>
      </c>
      <c r="AF43" s="22">
        <v>0</v>
      </c>
      <c r="AG43" s="22">
        <f t="shared" si="19"/>
        <v>0</v>
      </c>
      <c r="AH43" s="23" t="str">
        <f>IF(SUMPRODUCT($H$48:AG$48,$H43:AG43)&lt;0.5, "Pending", IF(AG43&lt;0.5, "Complete", "In Progress"))</f>
        <v>Pending</v>
      </c>
      <c r="AI43" s="22">
        <v>0</v>
      </c>
      <c r="AJ43" s="22">
        <f t="shared" si="20"/>
        <v>0</v>
      </c>
      <c r="AK43" s="23" t="str">
        <f>IF(SUMPRODUCT($H$48:AJ$48,$H43:AJ43)&lt;0.5, "Pending", IF(AJ43&lt;0.5, "Complete", "In Progress"))</f>
        <v>Pending</v>
      </c>
      <c r="AL43" s="22">
        <v>0</v>
      </c>
      <c r="AM43" s="22">
        <f t="shared" si="21"/>
        <v>0</v>
      </c>
      <c r="AN43" s="23" t="str">
        <f>IF(SUMPRODUCT($H$48:AM$48,$H43:AM43)&lt;0.5, "Pending", IF(AM43&lt;0.5, "Complete", "In Progress"))</f>
        <v>Pending</v>
      </c>
      <c r="AO43" s="22">
        <v>0</v>
      </c>
      <c r="AP43" s="22">
        <f t="shared" si="22"/>
        <v>0</v>
      </c>
      <c r="AQ43" s="23" t="str">
        <f>IF(SUMPRODUCT($H$48:AP$48,$H43:AP43)&lt;0.5, "Pending", IF(AP43&lt;0.5, "Complete", "In Progress"))</f>
        <v>Pending</v>
      </c>
      <c r="AR43" s="22">
        <v>0</v>
      </c>
      <c r="AS43" s="22">
        <f t="shared" si="23"/>
        <v>0</v>
      </c>
      <c r="AT43" s="23" t="str">
        <f>IF(SUMPRODUCT($H$48:AS$48,$H43:AS43)&lt;0.5, "Pending", IF(AS43&lt;0.5, "Complete", "In Progress"))</f>
        <v>Pending</v>
      </c>
      <c r="AU43" s="22">
        <v>0</v>
      </c>
      <c r="AV43" s="22">
        <f t="shared" si="24"/>
        <v>0</v>
      </c>
      <c r="AW43" s="23" t="str">
        <f>IF(SUMPRODUCT($H$48:AV$48,$H43:AV43)&lt;0.5, "Pending", IF(AV43&lt;0.5, "Complete", "In Progress"))</f>
        <v>Pending</v>
      </c>
      <c r="AX43" s="22">
        <v>0</v>
      </c>
      <c r="AY43" s="22">
        <f t="shared" si="25"/>
        <v>0</v>
      </c>
      <c r="AZ43" s="23" t="str">
        <f>IF(SUMPRODUCT($H$48:AY$48,$H43:AY43)&lt;0.5, "Pending", IF(AY43&lt;0.5, "Complete", "In Progress"))</f>
        <v>Pending</v>
      </c>
      <c r="BA43" s="22">
        <v>0</v>
      </c>
      <c r="BB43" s="22">
        <f t="shared" si="26"/>
        <v>0</v>
      </c>
      <c r="BC43" s="23" t="str">
        <f>IF(SUMPRODUCT($H$48:BB$48,$H43:BB43)&lt;0.5, "Pending", IF(BB43&lt;0.5, "Complete", "In Progress"))</f>
        <v>Pending</v>
      </c>
      <c r="BD43" s="22">
        <v>0</v>
      </c>
      <c r="BE43" s="22">
        <f t="shared" si="27"/>
        <v>0</v>
      </c>
      <c r="BF43" s="23" t="str">
        <f>IF(SUMPRODUCT($H$48:BE$48,$H43:BE43)&lt;0.5, "Pending", IF(BE43&lt;0.5, "Complete", "In Progress"))</f>
        <v>Pending</v>
      </c>
      <c r="BG43" s="22">
        <v>0</v>
      </c>
      <c r="BH43" s="22">
        <f t="shared" si="28"/>
        <v>0</v>
      </c>
      <c r="BI43" s="23" t="str">
        <f>IF(SUMPRODUCT($H$48:BH$48,$H43:BH43)&lt;0.5, "Pending", IF(BH43&lt;0.5, "Complete", "In Progress"))</f>
        <v>Pending</v>
      </c>
      <c r="BJ43" s="22">
        <v>0</v>
      </c>
      <c r="BK43" s="22">
        <f t="shared" si="29"/>
        <v>0</v>
      </c>
      <c r="BL43" s="23" t="str">
        <f>IF(SUMPRODUCT($H$48:BK$48,$H43:BK43)&lt;0.5, "Pending", IF(BK43&lt;0.5, "Complete", "In Progress"))</f>
        <v>Pending</v>
      </c>
      <c r="BM43" s="22">
        <v>0</v>
      </c>
      <c r="BN43" s="22">
        <f t="shared" si="30"/>
        <v>0</v>
      </c>
      <c r="BO43" s="23" t="str">
        <f>IF(SUMPRODUCT($H$48:BN$48,$H43:BN43)&lt;0.5, "Pending", IF(BN43&lt;0.5, "Complete", "In Progress"))</f>
        <v>Pending</v>
      </c>
      <c r="BP43" s="22">
        <v>0</v>
      </c>
      <c r="BQ43" s="22">
        <f t="shared" si="31"/>
        <v>0</v>
      </c>
      <c r="BR43" s="23" t="str">
        <f>IF(SUMPRODUCT($H$48:BQ$48,$H43:BQ43)&lt;0.5, "Pending", IF(BQ43&lt;0.5, "Complete", "In Progress"))</f>
        <v>Pending</v>
      </c>
      <c r="BS43" s="22">
        <v>0</v>
      </c>
      <c r="BT43" s="22">
        <f t="shared" si="32"/>
        <v>0</v>
      </c>
      <c r="BU43" s="23" t="str">
        <f>IF(SUMPRODUCT($H$48:BT$48,$H43:BT43)&lt;0.5, "Pending", IF(BT43&lt;0.5, "Complete", "In Progress"))</f>
        <v>Pending</v>
      </c>
      <c r="BV43" s="22">
        <v>0</v>
      </c>
      <c r="BW43" s="22">
        <f t="shared" si="33"/>
        <v>0</v>
      </c>
      <c r="BX43" s="23" t="str">
        <f>IF(SUMPRODUCT($H$48:BW$48,$H43:BW43)&lt;0.5, "Pending", IF(BW43&lt;0.5, "Complete", "In Progress"))</f>
        <v>Pending</v>
      </c>
      <c r="BY43" s="22">
        <v>0</v>
      </c>
      <c r="BZ43" s="22">
        <f t="shared" si="34"/>
        <v>0</v>
      </c>
      <c r="CA43" s="23" t="str">
        <f>IF(SUMPRODUCT($H$48:BZ$48,$H43:BZ43)&lt;0.5, "Pending", IF(BZ43&lt;0.5, "Complete", "In Progress"))</f>
        <v>Pending</v>
      </c>
      <c r="CB43" s="22">
        <v>0</v>
      </c>
      <c r="CC43" s="22">
        <f t="shared" si="35"/>
        <v>0</v>
      </c>
      <c r="CD43" s="23" t="str">
        <f>IF(SUMPRODUCT($H$48:CC$48,$H43:CC43)&lt;0.5, "Pending", IF(CC43&lt;0.5, "Complete", "In Progress"))</f>
        <v>Pending</v>
      </c>
      <c r="CE43" s="22">
        <v>0</v>
      </c>
      <c r="CF43" s="22">
        <f t="shared" si="36"/>
        <v>0</v>
      </c>
      <c r="CG43" s="23" t="str">
        <f>IF(SUMPRODUCT($H$48:CF$48,$H43:CF43)&lt;0.5, "Pending", IF(CF43&lt;0.5, "Complete", "In Progress"))</f>
        <v>Pending</v>
      </c>
      <c r="CH43" s="22">
        <v>0</v>
      </c>
      <c r="CI43" s="22">
        <f t="shared" si="37"/>
        <v>0</v>
      </c>
      <c r="CJ43" s="23" t="str">
        <f>IF(SUMPRODUCT($H$48:CI$48,$H43:CI43)&lt;0.5, "Pending", IF(CI43&lt;0.5, "Complete", "In Progress"))</f>
        <v>Pending</v>
      </c>
      <c r="CK43" s="22">
        <v>0</v>
      </c>
      <c r="CL43" s="22">
        <f t="shared" si="38"/>
        <v>0</v>
      </c>
      <c r="CM43" s="23" t="str">
        <f>IF(SUMPRODUCT($H$48:CL$48,$H43:CL43)&lt;0.5, "Pending", IF(CL43&lt;0.5, "Complete", "In Progress"))</f>
        <v>Pending</v>
      </c>
      <c r="CN43" s="22">
        <v>0</v>
      </c>
      <c r="CO43" s="22">
        <f t="shared" si="39"/>
        <v>0</v>
      </c>
      <c r="CP43" s="23" t="str">
        <f>IF(SUMPRODUCT($H$48:CO$48,$H43:CO43)&lt;0.5, "Pending", IF(CO43&lt;0.5, "Complete", "In Progress"))</f>
        <v>Pending</v>
      </c>
      <c r="CQ43" s="22">
        <v>0</v>
      </c>
      <c r="CR43" s="22">
        <f t="shared" si="40"/>
        <v>0</v>
      </c>
      <c r="CS43" s="23" t="str">
        <f>IF(SUMPRODUCT($H$48:CR$48,$H43:CR43)&lt;0.5, "Pending", IF(CR43&lt;0.5, "Complete", "In Progress"))</f>
        <v>Pending</v>
      </c>
      <c r="CT43" s="22">
        <v>0</v>
      </c>
      <c r="CU43" s="22">
        <f t="shared" si="41"/>
        <v>0</v>
      </c>
      <c r="CV43" s="23" t="str">
        <f>IF(SUMPRODUCT($H$48:CU$48,$H43:CU43)&lt;0.5, "Pending", IF(CU43&lt;0.5, "Complete", "In Progress"))</f>
        <v>Pending</v>
      </c>
      <c r="CW43" s="22">
        <v>0</v>
      </c>
      <c r="CX43" s="22">
        <f t="shared" si="42"/>
        <v>0</v>
      </c>
      <c r="CY43" s="23" t="str">
        <f>IF(SUMPRODUCT($H$48:CX$48,$H43:CX43)&lt;0.5, "Pending", IF(CX43&lt;0.5, "Complete", "In Progress"))</f>
        <v>Pending</v>
      </c>
      <c r="CZ43" s="22">
        <v>0</v>
      </c>
      <c r="DA43" s="22">
        <f t="shared" si="43"/>
        <v>0</v>
      </c>
      <c r="DB43" s="23" t="str">
        <f>IF(SUMPRODUCT($H$48:DA$48,$H43:DA43)&lt;0.5, "Pending", IF(DA43&lt;0.5, "Complete", "In Progress"))</f>
        <v>Pending</v>
      </c>
      <c r="DC43" s="22">
        <v>0</v>
      </c>
      <c r="DD43" s="22">
        <f t="shared" si="44"/>
        <v>0</v>
      </c>
      <c r="DE43" s="23" t="str">
        <f>IF(SUMPRODUCT($H$48:DD$48,$H43:DD43)&lt;0.5, "Pending", IF(DD43&lt;0.5, "Complete", "In Progress"))</f>
        <v>Pending</v>
      </c>
      <c r="DF43" s="22">
        <v>0</v>
      </c>
      <c r="DG43" s="22">
        <f t="shared" si="45"/>
        <v>0</v>
      </c>
      <c r="DH43" s="23" t="str">
        <f>IF(SUMPRODUCT($H$48:DG$48,$H43:DG43)&lt;0.5, "Pending", IF(DG43&lt;0.5, "Complete", "In Progress"))</f>
        <v>Pending</v>
      </c>
      <c r="DI43" s="22">
        <v>0</v>
      </c>
      <c r="DJ43" s="22">
        <f t="shared" si="46"/>
        <v>0</v>
      </c>
      <c r="DK43" s="23" t="str">
        <f>IF(SUMPRODUCT($H$48:DJ$48,$H43:DJ43)&lt;0.5, "Pending", IF(DJ43&lt;0.5, "Complete", "In Progress"))</f>
        <v>Pending</v>
      </c>
      <c r="DL43" s="22">
        <v>0</v>
      </c>
      <c r="DM43" s="22">
        <f t="shared" si="47"/>
        <v>0</v>
      </c>
      <c r="DN43" s="23" t="str">
        <f>IF(SUMPRODUCT($H$48:DM$48,$H43:DM43)&lt;0.5, "Pending", IF(DM43&lt;0.5, "Complete", "In Progress"))</f>
        <v>Pending</v>
      </c>
      <c r="DO43" s="22">
        <v>0</v>
      </c>
      <c r="DP43" s="22">
        <f t="shared" si="48"/>
        <v>0</v>
      </c>
      <c r="DQ43" s="23" t="str">
        <f>IF(SUMPRODUCT($H$48:DP$48,$H43:DP43)&lt;0.5, "Pending", IF(DP43&lt;0.5, "Complete", "In Progress"))</f>
        <v>Pending</v>
      </c>
      <c r="DR43" s="22">
        <v>0</v>
      </c>
      <c r="DS43" s="22">
        <f t="shared" si="49"/>
        <v>0</v>
      </c>
      <c r="DT43" s="23" t="str">
        <f>IF(SUMPRODUCT($H$48:DS$48,$H43:DS43)&lt;0.5, "Pending", IF(DS43&lt;0.5, "Complete", "In Progress"))</f>
        <v>Pending</v>
      </c>
      <c r="DU43" s="22">
        <v>0</v>
      </c>
      <c r="DV43" s="22">
        <f t="shared" si="50"/>
        <v>0</v>
      </c>
      <c r="DW43" s="23" t="str">
        <f>IF(SUMPRODUCT($H$48:DV$48,$H43:DV43)&lt;0.5, "Pending", IF(DV43&lt;0.5, "Complete", "In Progress"))</f>
        <v>Pending</v>
      </c>
      <c r="DX43" s="24"/>
      <c r="DY43" s="25">
        <f>SUMPRODUCT($F$48:DE$48,$F43:DE43)</f>
        <v>0</v>
      </c>
    </row>
    <row r="44" spans="1:129">
      <c r="A44" s="16"/>
      <c r="B44" s="17"/>
      <c r="C44" s="26"/>
      <c r="D44" s="18" t="s">
        <v>54</v>
      </c>
      <c r="E44" s="19" t="str">
        <f t="shared" ca="1" si="0"/>
        <v>Pending</v>
      </c>
      <c r="F44" s="20">
        <v>1</v>
      </c>
      <c r="G44" s="21">
        <v>0</v>
      </c>
      <c r="H44" s="22">
        <v>0</v>
      </c>
      <c r="I44" s="22">
        <f t="shared" si="11"/>
        <v>0</v>
      </c>
      <c r="J44" s="23" t="str">
        <f>IF(SUMPRODUCT($H$48:I$48,$H44:I44)&lt;0.5, "Pending", IF(I44&lt;0.5, "Complete", "In Progress"))</f>
        <v>Pending</v>
      </c>
      <c r="K44" s="22">
        <v>0</v>
      </c>
      <c r="L44" s="22">
        <f t="shared" si="12"/>
        <v>0</v>
      </c>
      <c r="M44" s="23" t="str">
        <f>IF(SUMPRODUCT($H$48:L$48,$H44:L44)&lt;0.5, "Pending", IF(L44&lt;0.5, "Complete", "In Progress"))</f>
        <v>Pending</v>
      </c>
      <c r="N44" s="22">
        <v>0</v>
      </c>
      <c r="O44" s="22">
        <f t="shared" si="13"/>
        <v>0</v>
      </c>
      <c r="P44" s="23" t="str">
        <f>IF(SUMPRODUCT($H$48:O$48,$H44:O44)&lt;0.5, "Pending", IF(O44&lt;0.5, "Complete", "In Progress"))</f>
        <v>Pending</v>
      </c>
      <c r="Q44" s="22">
        <v>0</v>
      </c>
      <c r="R44" s="22">
        <f t="shared" si="14"/>
        <v>0</v>
      </c>
      <c r="S44" s="23" t="str">
        <f>IF(SUMPRODUCT($H$48:R$48,$H44:R44)&lt;0.5, "Pending", IF(R44&lt;0.5, "Complete", "In Progress"))</f>
        <v>Pending</v>
      </c>
      <c r="T44" s="22">
        <v>0</v>
      </c>
      <c r="U44" s="22">
        <f t="shared" si="15"/>
        <v>0</v>
      </c>
      <c r="V44" s="23" t="str">
        <f>IF(SUMPRODUCT($H$48:U$48,$H44:U44)&lt;0.5, "Pending", IF(U44&lt;0.5, "Complete", "In Progress"))</f>
        <v>Pending</v>
      </c>
      <c r="W44" s="22">
        <v>0</v>
      </c>
      <c r="X44" s="22">
        <f t="shared" si="16"/>
        <v>0</v>
      </c>
      <c r="Y44" s="23" t="str">
        <f>IF(SUMPRODUCT($H$48:X$48,$H44:X44)&lt;0.5, "Pending", IF(X44&lt;0.5, "Complete", "In Progress"))</f>
        <v>Pending</v>
      </c>
      <c r="Z44" s="22">
        <v>0</v>
      </c>
      <c r="AA44" s="22">
        <f t="shared" si="17"/>
        <v>0</v>
      </c>
      <c r="AB44" s="23" t="str">
        <f>IF(SUMPRODUCT($H$48:AA$48,$H44:AA44)&lt;0.5, "Pending", IF(AA44&lt;0.5, "Complete", "In Progress"))</f>
        <v>Pending</v>
      </c>
      <c r="AC44" s="22">
        <v>0</v>
      </c>
      <c r="AD44" s="22">
        <f t="shared" si="18"/>
        <v>0</v>
      </c>
      <c r="AE44" s="23" t="str">
        <f>IF(SUMPRODUCT($H$48:AD$48,$H44:AD44)&lt;0.5, "Pending", IF(AD44&lt;0.5, "Complete", "In Progress"))</f>
        <v>Pending</v>
      </c>
      <c r="AF44" s="22">
        <v>0</v>
      </c>
      <c r="AG44" s="22">
        <f t="shared" si="19"/>
        <v>0</v>
      </c>
      <c r="AH44" s="23" t="str">
        <f>IF(SUMPRODUCT($H$48:AG$48,$H44:AG44)&lt;0.5, "Pending", IF(AG44&lt;0.5, "Complete", "In Progress"))</f>
        <v>Pending</v>
      </c>
      <c r="AI44" s="22">
        <v>0</v>
      </c>
      <c r="AJ44" s="22">
        <f t="shared" si="20"/>
        <v>0</v>
      </c>
      <c r="AK44" s="23" t="str">
        <f>IF(SUMPRODUCT($H$48:AJ$48,$H44:AJ44)&lt;0.5, "Pending", IF(AJ44&lt;0.5, "Complete", "In Progress"))</f>
        <v>Pending</v>
      </c>
      <c r="AL44" s="22">
        <v>0</v>
      </c>
      <c r="AM44" s="22">
        <f t="shared" si="21"/>
        <v>0</v>
      </c>
      <c r="AN44" s="23" t="str">
        <f>IF(SUMPRODUCT($H$48:AM$48,$H44:AM44)&lt;0.5, "Pending", IF(AM44&lt;0.5, "Complete", "In Progress"))</f>
        <v>Pending</v>
      </c>
      <c r="AO44" s="22">
        <v>0</v>
      </c>
      <c r="AP44" s="22">
        <f t="shared" si="22"/>
        <v>0</v>
      </c>
      <c r="AQ44" s="23" t="str">
        <f>IF(SUMPRODUCT($H$48:AP$48,$H44:AP44)&lt;0.5, "Pending", IF(AP44&lt;0.5, "Complete", "In Progress"))</f>
        <v>Pending</v>
      </c>
      <c r="AR44" s="22">
        <v>0</v>
      </c>
      <c r="AS44" s="22">
        <f t="shared" si="23"/>
        <v>0</v>
      </c>
      <c r="AT44" s="23" t="str">
        <f>IF(SUMPRODUCT($H$48:AS$48,$H44:AS44)&lt;0.5, "Pending", IF(AS44&lt;0.5, "Complete", "In Progress"))</f>
        <v>Pending</v>
      </c>
      <c r="AU44" s="22">
        <v>0</v>
      </c>
      <c r="AV44" s="22">
        <f t="shared" si="24"/>
        <v>0</v>
      </c>
      <c r="AW44" s="23" t="str">
        <f>IF(SUMPRODUCT($H$48:AV$48,$H44:AV44)&lt;0.5, "Pending", IF(AV44&lt;0.5, "Complete", "In Progress"))</f>
        <v>Pending</v>
      </c>
      <c r="AX44" s="22">
        <v>0</v>
      </c>
      <c r="AY44" s="22">
        <f t="shared" si="25"/>
        <v>0</v>
      </c>
      <c r="AZ44" s="23" t="str">
        <f>IF(SUMPRODUCT($H$48:AY$48,$H44:AY44)&lt;0.5, "Pending", IF(AY44&lt;0.5, "Complete", "In Progress"))</f>
        <v>Pending</v>
      </c>
      <c r="BA44" s="22">
        <v>0</v>
      </c>
      <c r="BB44" s="22">
        <f t="shared" si="26"/>
        <v>0</v>
      </c>
      <c r="BC44" s="23" t="str">
        <f>IF(SUMPRODUCT($H$48:BB$48,$H44:BB44)&lt;0.5, "Pending", IF(BB44&lt;0.5, "Complete", "In Progress"))</f>
        <v>Pending</v>
      </c>
      <c r="BD44" s="22">
        <v>0</v>
      </c>
      <c r="BE44" s="22">
        <f t="shared" si="27"/>
        <v>0</v>
      </c>
      <c r="BF44" s="23" t="str">
        <f>IF(SUMPRODUCT($H$48:BE$48,$H44:BE44)&lt;0.5, "Pending", IF(BE44&lt;0.5, "Complete", "In Progress"))</f>
        <v>Pending</v>
      </c>
      <c r="BG44" s="22">
        <v>0</v>
      </c>
      <c r="BH44" s="22">
        <f t="shared" si="28"/>
        <v>0</v>
      </c>
      <c r="BI44" s="23" t="str">
        <f>IF(SUMPRODUCT($H$48:BH$48,$H44:BH44)&lt;0.5, "Pending", IF(BH44&lt;0.5, "Complete", "In Progress"))</f>
        <v>Pending</v>
      </c>
      <c r="BJ44" s="22">
        <v>0</v>
      </c>
      <c r="BK44" s="22">
        <f t="shared" si="29"/>
        <v>0</v>
      </c>
      <c r="BL44" s="23" t="str">
        <f>IF(SUMPRODUCT($H$48:BK$48,$H44:BK44)&lt;0.5, "Pending", IF(BK44&lt;0.5, "Complete", "In Progress"))</f>
        <v>Pending</v>
      </c>
      <c r="BM44" s="22">
        <v>0</v>
      </c>
      <c r="BN44" s="22">
        <f t="shared" si="30"/>
        <v>0</v>
      </c>
      <c r="BO44" s="23" t="str">
        <f>IF(SUMPRODUCT($H$48:BN$48,$H44:BN44)&lt;0.5, "Pending", IF(BN44&lt;0.5, "Complete", "In Progress"))</f>
        <v>Pending</v>
      </c>
      <c r="BP44" s="22">
        <v>0</v>
      </c>
      <c r="BQ44" s="22">
        <f t="shared" si="31"/>
        <v>0</v>
      </c>
      <c r="BR44" s="23" t="str">
        <f>IF(SUMPRODUCT($H$48:BQ$48,$H44:BQ44)&lt;0.5, "Pending", IF(BQ44&lt;0.5, "Complete", "In Progress"))</f>
        <v>Pending</v>
      </c>
      <c r="BS44" s="22">
        <v>0</v>
      </c>
      <c r="BT44" s="22">
        <f t="shared" si="32"/>
        <v>0</v>
      </c>
      <c r="BU44" s="23" t="str">
        <f>IF(SUMPRODUCT($H$48:BT$48,$H44:BT44)&lt;0.5, "Pending", IF(BT44&lt;0.5, "Complete", "In Progress"))</f>
        <v>Pending</v>
      </c>
      <c r="BV44" s="22">
        <v>0</v>
      </c>
      <c r="BW44" s="22">
        <f t="shared" si="33"/>
        <v>0</v>
      </c>
      <c r="BX44" s="23" t="str">
        <f>IF(SUMPRODUCT($H$48:BW$48,$H44:BW44)&lt;0.5, "Pending", IF(BW44&lt;0.5, "Complete", "In Progress"))</f>
        <v>Pending</v>
      </c>
      <c r="BY44" s="22">
        <v>0</v>
      </c>
      <c r="BZ44" s="22">
        <f t="shared" si="34"/>
        <v>0</v>
      </c>
      <c r="CA44" s="23" t="str">
        <f>IF(SUMPRODUCT($H$48:BZ$48,$H44:BZ44)&lt;0.5, "Pending", IF(BZ44&lt;0.5, "Complete", "In Progress"))</f>
        <v>Pending</v>
      </c>
      <c r="CB44" s="22">
        <v>0</v>
      </c>
      <c r="CC44" s="22">
        <f t="shared" si="35"/>
        <v>0</v>
      </c>
      <c r="CD44" s="23" t="str">
        <f>IF(SUMPRODUCT($H$48:CC$48,$H44:CC44)&lt;0.5, "Pending", IF(CC44&lt;0.5, "Complete", "In Progress"))</f>
        <v>Pending</v>
      </c>
      <c r="CE44" s="22">
        <v>0</v>
      </c>
      <c r="CF44" s="22">
        <f t="shared" si="36"/>
        <v>0</v>
      </c>
      <c r="CG44" s="23" t="str">
        <f>IF(SUMPRODUCT($H$48:CF$48,$H44:CF44)&lt;0.5, "Pending", IF(CF44&lt;0.5, "Complete", "In Progress"))</f>
        <v>Pending</v>
      </c>
      <c r="CH44" s="22">
        <v>0</v>
      </c>
      <c r="CI44" s="22">
        <f t="shared" si="37"/>
        <v>0</v>
      </c>
      <c r="CJ44" s="23" t="str">
        <f>IF(SUMPRODUCT($H$48:CI$48,$H44:CI44)&lt;0.5, "Pending", IF(CI44&lt;0.5, "Complete", "In Progress"))</f>
        <v>Pending</v>
      </c>
      <c r="CK44" s="22">
        <v>0</v>
      </c>
      <c r="CL44" s="22">
        <f t="shared" si="38"/>
        <v>0</v>
      </c>
      <c r="CM44" s="23" t="str">
        <f>IF(SUMPRODUCT($H$48:CL$48,$H44:CL44)&lt;0.5, "Pending", IF(CL44&lt;0.5, "Complete", "In Progress"))</f>
        <v>Pending</v>
      </c>
      <c r="CN44" s="22">
        <v>0</v>
      </c>
      <c r="CO44" s="22">
        <f t="shared" si="39"/>
        <v>0</v>
      </c>
      <c r="CP44" s="23" t="str">
        <f>IF(SUMPRODUCT($H$48:CO$48,$H44:CO44)&lt;0.5, "Pending", IF(CO44&lt;0.5, "Complete", "In Progress"))</f>
        <v>Pending</v>
      </c>
      <c r="CQ44" s="22">
        <v>0</v>
      </c>
      <c r="CR44" s="22">
        <f t="shared" si="40"/>
        <v>0</v>
      </c>
      <c r="CS44" s="23" t="str">
        <f>IF(SUMPRODUCT($H$48:CR$48,$H44:CR44)&lt;0.5, "Pending", IF(CR44&lt;0.5, "Complete", "In Progress"))</f>
        <v>Pending</v>
      </c>
      <c r="CT44" s="22">
        <v>0</v>
      </c>
      <c r="CU44" s="22">
        <f t="shared" si="41"/>
        <v>0</v>
      </c>
      <c r="CV44" s="23" t="str">
        <f>IF(SUMPRODUCT($H$48:CU$48,$H44:CU44)&lt;0.5, "Pending", IF(CU44&lt;0.5, "Complete", "In Progress"))</f>
        <v>Pending</v>
      </c>
      <c r="CW44" s="22">
        <v>0</v>
      </c>
      <c r="CX44" s="22">
        <f t="shared" si="42"/>
        <v>0</v>
      </c>
      <c r="CY44" s="23" t="str">
        <f>IF(SUMPRODUCT($H$48:CX$48,$H44:CX44)&lt;0.5, "Pending", IF(CX44&lt;0.5, "Complete", "In Progress"))</f>
        <v>Pending</v>
      </c>
      <c r="CZ44" s="22">
        <v>0</v>
      </c>
      <c r="DA44" s="22">
        <f t="shared" si="43"/>
        <v>0</v>
      </c>
      <c r="DB44" s="23" t="str">
        <f>IF(SUMPRODUCT($H$48:DA$48,$H44:DA44)&lt;0.5, "Pending", IF(DA44&lt;0.5, "Complete", "In Progress"))</f>
        <v>Pending</v>
      </c>
      <c r="DC44" s="22">
        <v>0</v>
      </c>
      <c r="DD44" s="22">
        <f t="shared" si="44"/>
        <v>0</v>
      </c>
      <c r="DE44" s="23" t="str">
        <f>IF(SUMPRODUCT($H$48:DD$48,$H44:DD44)&lt;0.5, "Pending", IF(DD44&lt;0.5, "Complete", "In Progress"))</f>
        <v>Pending</v>
      </c>
      <c r="DF44" s="22">
        <v>0</v>
      </c>
      <c r="DG44" s="22">
        <f t="shared" si="45"/>
        <v>0</v>
      </c>
      <c r="DH44" s="23" t="str">
        <f>IF(SUMPRODUCT($H$48:DG$48,$H44:DG44)&lt;0.5, "Pending", IF(DG44&lt;0.5, "Complete", "In Progress"))</f>
        <v>Pending</v>
      </c>
      <c r="DI44" s="22">
        <v>0</v>
      </c>
      <c r="DJ44" s="22">
        <f t="shared" si="46"/>
        <v>0</v>
      </c>
      <c r="DK44" s="23" t="str">
        <f>IF(SUMPRODUCT($H$48:DJ$48,$H44:DJ44)&lt;0.5, "Pending", IF(DJ44&lt;0.5, "Complete", "In Progress"))</f>
        <v>Pending</v>
      </c>
      <c r="DL44" s="22">
        <v>0</v>
      </c>
      <c r="DM44" s="22">
        <f t="shared" si="47"/>
        <v>0</v>
      </c>
      <c r="DN44" s="23" t="str">
        <f>IF(SUMPRODUCT($H$48:DM$48,$H44:DM44)&lt;0.5, "Pending", IF(DM44&lt;0.5, "Complete", "In Progress"))</f>
        <v>Pending</v>
      </c>
      <c r="DO44" s="22">
        <v>0</v>
      </c>
      <c r="DP44" s="22">
        <f t="shared" si="48"/>
        <v>0</v>
      </c>
      <c r="DQ44" s="23" t="str">
        <f>IF(SUMPRODUCT($H$48:DP$48,$H44:DP44)&lt;0.5, "Pending", IF(DP44&lt;0.5, "Complete", "In Progress"))</f>
        <v>Pending</v>
      </c>
      <c r="DR44" s="22">
        <v>0</v>
      </c>
      <c r="DS44" s="22">
        <f t="shared" si="49"/>
        <v>0</v>
      </c>
      <c r="DT44" s="23" t="str">
        <f>IF(SUMPRODUCT($H$48:DS$48,$H44:DS44)&lt;0.5, "Pending", IF(DS44&lt;0.5, "Complete", "In Progress"))</f>
        <v>Pending</v>
      </c>
      <c r="DU44" s="22">
        <v>0</v>
      </c>
      <c r="DV44" s="22">
        <f t="shared" si="50"/>
        <v>0</v>
      </c>
      <c r="DW44" s="23" t="str">
        <f>IF(SUMPRODUCT($H$48:DV$48,$H44:DV44)&lt;0.5, "Pending", IF(DV44&lt;0.5, "Complete", "In Progress"))</f>
        <v>Pending</v>
      </c>
      <c r="DX44" s="24"/>
      <c r="DY44" s="25">
        <f>SUMPRODUCT($F$48:DE$48,$F44:DE44)</f>
        <v>0</v>
      </c>
    </row>
    <row r="45" spans="1:129">
      <c r="A45" s="16"/>
      <c r="B45" s="17"/>
      <c r="C45" s="26"/>
      <c r="D45" s="18" t="s">
        <v>54</v>
      </c>
      <c r="E45" s="19" t="str">
        <f t="shared" ca="1" si="0"/>
        <v>Pending</v>
      </c>
      <c r="F45" s="20">
        <v>1</v>
      </c>
      <c r="G45" s="21">
        <v>0</v>
      </c>
      <c r="H45" s="22">
        <v>0</v>
      </c>
      <c r="I45" s="22">
        <f t="shared" si="11"/>
        <v>0</v>
      </c>
      <c r="J45" s="23" t="str">
        <f>IF(SUMPRODUCT($H$48:I$48,$H45:I45)&lt;0.5, "Pending", IF(I45&lt;0.5, "Complete", "In Progress"))</f>
        <v>Pending</v>
      </c>
      <c r="K45" s="22">
        <v>0</v>
      </c>
      <c r="L45" s="22">
        <f t="shared" si="12"/>
        <v>0</v>
      </c>
      <c r="M45" s="23" t="str">
        <f>IF(SUMPRODUCT($H$48:L$48,$H45:L45)&lt;0.5, "Pending", IF(L45&lt;0.5, "Complete", "In Progress"))</f>
        <v>Pending</v>
      </c>
      <c r="N45" s="22">
        <v>0</v>
      </c>
      <c r="O45" s="22">
        <f t="shared" si="13"/>
        <v>0</v>
      </c>
      <c r="P45" s="23" t="str">
        <f>IF(SUMPRODUCT($H$48:O$48,$H45:O45)&lt;0.5, "Pending", IF(O45&lt;0.5, "Complete", "In Progress"))</f>
        <v>Pending</v>
      </c>
      <c r="Q45" s="22">
        <v>0</v>
      </c>
      <c r="R45" s="22">
        <f t="shared" si="14"/>
        <v>0</v>
      </c>
      <c r="S45" s="23" t="str">
        <f>IF(SUMPRODUCT($H$48:R$48,$H45:R45)&lt;0.5, "Pending", IF(R45&lt;0.5, "Complete", "In Progress"))</f>
        <v>Pending</v>
      </c>
      <c r="T45" s="22">
        <v>0</v>
      </c>
      <c r="U45" s="22">
        <f t="shared" si="15"/>
        <v>0</v>
      </c>
      <c r="V45" s="23" t="str">
        <f>IF(SUMPRODUCT($H$48:U$48,$H45:U45)&lt;0.5, "Pending", IF(U45&lt;0.5, "Complete", "In Progress"))</f>
        <v>Pending</v>
      </c>
      <c r="W45" s="22">
        <v>0</v>
      </c>
      <c r="X45" s="22">
        <f t="shared" si="16"/>
        <v>0</v>
      </c>
      <c r="Y45" s="23" t="str">
        <f>IF(SUMPRODUCT($H$48:X$48,$H45:X45)&lt;0.5, "Pending", IF(X45&lt;0.5, "Complete", "In Progress"))</f>
        <v>Pending</v>
      </c>
      <c r="Z45" s="22">
        <v>0</v>
      </c>
      <c r="AA45" s="22">
        <f t="shared" si="17"/>
        <v>0</v>
      </c>
      <c r="AB45" s="23" t="str">
        <f>IF(SUMPRODUCT($H$48:AA$48,$H45:AA45)&lt;0.5, "Pending", IF(AA45&lt;0.5, "Complete", "In Progress"))</f>
        <v>Pending</v>
      </c>
      <c r="AC45" s="22">
        <v>0</v>
      </c>
      <c r="AD45" s="22">
        <f t="shared" si="18"/>
        <v>0</v>
      </c>
      <c r="AE45" s="23" t="str">
        <f>IF(SUMPRODUCT($H$48:AD$48,$H45:AD45)&lt;0.5, "Pending", IF(AD45&lt;0.5, "Complete", "In Progress"))</f>
        <v>Pending</v>
      </c>
      <c r="AF45" s="22">
        <v>0</v>
      </c>
      <c r="AG45" s="22">
        <f t="shared" si="19"/>
        <v>0</v>
      </c>
      <c r="AH45" s="23" t="str">
        <f>IF(SUMPRODUCT($H$48:AG$48,$H45:AG45)&lt;0.5, "Pending", IF(AG45&lt;0.5, "Complete", "In Progress"))</f>
        <v>Pending</v>
      </c>
      <c r="AI45" s="22">
        <v>0</v>
      </c>
      <c r="AJ45" s="22">
        <f t="shared" si="20"/>
        <v>0</v>
      </c>
      <c r="AK45" s="23" t="str">
        <f>IF(SUMPRODUCT($H$48:AJ$48,$H45:AJ45)&lt;0.5, "Pending", IF(AJ45&lt;0.5, "Complete", "In Progress"))</f>
        <v>Pending</v>
      </c>
      <c r="AL45" s="22">
        <v>0</v>
      </c>
      <c r="AM45" s="22">
        <f t="shared" si="21"/>
        <v>0</v>
      </c>
      <c r="AN45" s="23" t="str">
        <f>IF(SUMPRODUCT($H$48:AM$48,$H45:AM45)&lt;0.5, "Pending", IF(AM45&lt;0.5, "Complete", "In Progress"))</f>
        <v>Pending</v>
      </c>
      <c r="AO45" s="22">
        <v>0</v>
      </c>
      <c r="AP45" s="22">
        <f t="shared" si="22"/>
        <v>0</v>
      </c>
      <c r="AQ45" s="23" t="str">
        <f>IF(SUMPRODUCT($H$48:AP$48,$H45:AP45)&lt;0.5, "Pending", IF(AP45&lt;0.5, "Complete", "In Progress"))</f>
        <v>Pending</v>
      </c>
      <c r="AR45" s="22">
        <v>0</v>
      </c>
      <c r="AS45" s="22">
        <f t="shared" si="23"/>
        <v>0</v>
      </c>
      <c r="AT45" s="23" t="str">
        <f>IF(SUMPRODUCT($H$48:AS$48,$H45:AS45)&lt;0.5, "Pending", IF(AS45&lt;0.5, "Complete", "In Progress"))</f>
        <v>Pending</v>
      </c>
      <c r="AU45" s="22">
        <v>0</v>
      </c>
      <c r="AV45" s="22">
        <f t="shared" si="24"/>
        <v>0</v>
      </c>
      <c r="AW45" s="23" t="str">
        <f>IF(SUMPRODUCT($H$48:AV$48,$H45:AV45)&lt;0.5, "Pending", IF(AV45&lt;0.5, "Complete", "In Progress"))</f>
        <v>Pending</v>
      </c>
      <c r="AX45" s="22">
        <v>0</v>
      </c>
      <c r="AY45" s="22">
        <f t="shared" si="25"/>
        <v>0</v>
      </c>
      <c r="AZ45" s="23" t="str">
        <f>IF(SUMPRODUCT($H$48:AY$48,$H45:AY45)&lt;0.5, "Pending", IF(AY45&lt;0.5, "Complete", "In Progress"))</f>
        <v>Pending</v>
      </c>
      <c r="BA45" s="22">
        <v>0</v>
      </c>
      <c r="BB45" s="22">
        <f t="shared" si="26"/>
        <v>0</v>
      </c>
      <c r="BC45" s="23" t="str">
        <f>IF(SUMPRODUCT($H$48:BB$48,$H45:BB45)&lt;0.5, "Pending", IF(BB45&lt;0.5, "Complete", "In Progress"))</f>
        <v>Pending</v>
      </c>
      <c r="BD45" s="22">
        <v>0</v>
      </c>
      <c r="BE45" s="22">
        <f t="shared" si="27"/>
        <v>0</v>
      </c>
      <c r="BF45" s="23" t="str">
        <f>IF(SUMPRODUCT($H$48:BE$48,$H45:BE45)&lt;0.5, "Pending", IF(BE45&lt;0.5, "Complete", "In Progress"))</f>
        <v>Pending</v>
      </c>
      <c r="BG45" s="22">
        <v>0</v>
      </c>
      <c r="BH45" s="22">
        <f t="shared" si="28"/>
        <v>0</v>
      </c>
      <c r="BI45" s="23" t="str">
        <f>IF(SUMPRODUCT($H$48:BH$48,$H45:BH45)&lt;0.5, "Pending", IF(BH45&lt;0.5, "Complete", "In Progress"))</f>
        <v>Pending</v>
      </c>
      <c r="BJ45" s="22">
        <v>0</v>
      </c>
      <c r="BK45" s="22">
        <f t="shared" si="29"/>
        <v>0</v>
      </c>
      <c r="BL45" s="23" t="str">
        <f>IF(SUMPRODUCT($H$48:BK$48,$H45:BK45)&lt;0.5, "Pending", IF(BK45&lt;0.5, "Complete", "In Progress"))</f>
        <v>Pending</v>
      </c>
      <c r="BM45" s="22">
        <v>0</v>
      </c>
      <c r="BN45" s="22">
        <f t="shared" si="30"/>
        <v>0</v>
      </c>
      <c r="BO45" s="23" t="str">
        <f>IF(SUMPRODUCT($H$48:BN$48,$H45:BN45)&lt;0.5, "Pending", IF(BN45&lt;0.5, "Complete", "In Progress"))</f>
        <v>Pending</v>
      </c>
      <c r="BP45" s="22">
        <v>0</v>
      </c>
      <c r="BQ45" s="22">
        <f t="shared" si="31"/>
        <v>0</v>
      </c>
      <c r="BR45" s="23" t="str">
        <f>IF(SUMPRODUCT($H$48:BQ$48,$H45:BQ45)&lt;0.5, "Pending", IF(BQ45&lt;0.5, "Complete", "In Progress"))</f>
        <v>Pending</v>
      </c>
      <c r="BS45" s="22">
        <v>0</v>
      </c>
      <c r="BT45" s="22">
        <f t="shared" si="32"/>
        <v>0</v>
      </c>
      <c r="BU45" s="23" t="str">
        <f>IF(SUMPRODUCT($H$48:BT$48,$H45:BT45)&lt;0.5, "Pending", IF(BT45&lt;0.5, "Complete", "In Progress"))</f>
        <v>Pending</v>
      </c>
      <c r="BV45" s="22">
        <v>0</v>
      </c>
      <c r="BW45" s="22">
        <f t="shared" si="33"/>
        <v>0</v>
      </c>
      <c r="BX45" s="23" t="str">
        <f>IF(SUMPRODUCT($H$48:BW$48,$H45:BW45)&lt;0.5, "Pending", IF(BW45&lt;0.5, "Complete", "In Progress"))</f>
        <v>Pending</v>
      </c>
      <c r="BY45" s="22">
        <v>0</v>
      </c>
      <c r="BZ45" s="22">
        <f t="shared" si="34"/>
        <v>0</v>
      </c>
      <c r="CA45" s="23" t="str">
        <f>IF(SUMPRODUCT($H$48:BZ$48,$H45:BZ45)&lt;0.5, "Pending", IF(BZ45&lt;0.5, "Complete", "In Progress"))</f>
        <v>Pending</v>
      </c>
      <c r="CB45" s="22">
        <v>0</v>
      </c>
      <c r="CC45" s="22">
        <f t="shared" si="35"/>
        <v>0</v>
      </c>
      <c r="CD45" s="23" t="str">
        <f>IF(SUMPRODUCT($H$48:CC$48,$H45:CC45)&lt;0.5, "Pending", IF(CC45&lt;0.5, "Complete", "In Progress"))</f>
        <v>Pending</v>
      </c>
      <c r="CE45" s="22">
        <v>0</v>
      </c>
      <c r="CF45" s="22">
        <f t="shared" si="36"/>
        <v>0</v>
      </c>
      <c r="CG45" s="23" t="str">
        <f>IF(SUMPRODUCT($H$48:CF$48,$H45:CF45)&lt;0.5, "Pending", IF(CF45&lt;0.5, "Complete", "In Progress"))</f>
        <v>Pending</v>
      </c>
      <c r="CH45" s="22">
        <v>0</v>
      </c>
      <c r="CI45" s="22">
        <f t="shared" si="37"/>
        <v>0</v>
      </c>
      <c r="CJ45" s="23" t="str">
        <f>IF(SUMPRODUCT($H$48:CI$48,$H45:CI45)&lt;0.5, "Pending", IF(CI45&lt;0.5, "Complete", "In Progress"))</f>
        <v>Pending</v>
      </c>
      <c r="CK45" s="22">
        <v>0</v>
      </c>
      <c r="CL45" s="22">
        <f t="shared" si="38"/>
        <v>0</v>
      </c>
      <c r="CM45" s="23" t="str">
        <f>IF(SUMPRODUCT($H$48:CL$48,$H45:CL45)&lt;0.5, "Pending", IF(CL45&lt;0.5, "Complete", "In Progress"))</f>
        <v>Pending</v>
      </c>
      <c r="CN45" s="22">
        <v>0</v>
      </c>
      <c r="CO45" s="22">
        <f t="shared" si="39"/>
        <v>0</v>
      </c>
      <c r="CP45" s="23" t="str">
        <f>IF(SUMPRODUCT($H$48:CO$48,$H45:CO45)&lt;0.5, "Pending", IF(CO45&lt;0.5, "Complete", "In Progress"))</f>
        <v>Pending</v>
      </c>
      <c r="CQ45" s="22">
        <v>0</v>
      </c>
      <c r="CR45" s="22">
        <f t="shared" si="40"/>
        <v>0</v>
      </c>
      <c r="CS45" s="23" t="str">
        <f>IF(SUMPRODUCT($H$48:CR$48,$H45:CR45)&lt;0.5, "Pending", IF(CR45&lt;0.5, "Complete", "In Progress"))</f>
        <v>Pending</v>
      </c>
      <c r="CT45" s="22">
        <v>0</v>
      </c>
      <c r="CU45" s="22">
        <f t="shared" si="41"/>
        <v>0</v>
      </c>
      <c r="CV45" s="23" t="str">
        <f>IF(SUMPRODUCT($H$48:CU$48,$H45:CU45)&lt;0.5, "Pending", IF(CU45&lt;0.5, "Complete", "In Progress"))</f>
        <v>Pending</v>
      </c>
      <c r="CW45" s="22">
        <v>0</v>
      </c>
      <c r="CX45" s="22">
        <f t="shared" si="42"/>
        <v>0</v>
      </c>
      <c r="CY45" s="23" t="str">
        <f>IF(SUMPRODUCT($H$48:CX$48,$H45:CX45)&lt;0.5, "Pending", IF(CX45&lt;0.5, "Complete", "In Progress"))</f>
        <v>Pending</v>
      </c>
      <c r="CZ45" s="22">
        <v>0</v>
      </c>
      <c r="DA45" s="22">
        <f t="shared" si="43"/>
        <v>0</v>
      </c>
      <c r="DB45" s="23" t="str">
        <f>IF(SUMPRODUCT($H$48:DA$48,$H45:DA45)&lt;0.5, "Pending", IF(DA45&lt;0.5, "Complete", "In Progress"))</f>
        <v>Pending</v>
      </c>
      <c r="DC45" s="22">
        <v>0</v>
      </c>
      <c r="DD45" s="22">
        <f t="shared" si="44"/>
        <v>0</v>
      </c>
      <c r="DE45" s="23" t="str">
        <f>IF(SUMPRODUCT($H$48:DD$48,$H45:DD45)&lt;0.5, "Pending", IF(DD45&lt;0.5, "Complete", "In Progress"))</f>
        <v>Pending</v>
      </c>
      <c r="DF45" s="22">
        <v>0</v>
      </c>
      <c r="DG45" s="22">
        <f t="shared" si="45"/>
        <v>0</v>
      </c>
      <c r="DH45" s="23" t="str">
        <f>IF(SUMPRODUCT($H$48:DG$48,$H45:DG45)&lt;0.5, "Pending", IF(DG45&lt;0.5, "Complete", "In Progress"))</f>
        <v>Pending</v>
      </c>
      <c r="DI45" s="22">
        <v>0</v>
      </c>
      <c r="DJ45" s="22">
        <f t="shared" si="46"/>
        <v>0</v>
      </c>
      <c r="DK45" s="23" t="str">
        <f>IF(SUMPRODUCT($H$48:DJ$48,$H45:DJ45)&lt;0.5, "Pending", IF(DJ45&lt;0.5, "Complete", "In Progress"))</f>
        <v>Pending</v>
      </c>
      <c r="DL45" s="22">
        <v>0</v>
      </c>
      <c r="DM45" s="22">
        <f t="shared" si="47"/>
        <v>0</v>
      </c>
      <c r="DN45" s="23" t="str">
        <f>IF(SUMPRODUCT($H$48:DM$48,$H45:DM45)&lt;0.5, "Pending", IF(DM45&lt;0.5, "Complete", "In Progress"))</f>
        <v>Pending</v>
      </c>
      <c r="DO45" s="22">
        <v>0</v>
      </c>
      <c r="DP45" s="22">
        <f t="shared" si="48"/>
        <v>0</v>
      </c>
      <c r="DQ45" s="23" t="str">
        <f>IF(SUMPRODUCT($H$48:DP$48,$H45:DP45)&lt;0.5, "Pending", IF(DP45&lt;0.5, "Complete", "In Progress"))</f>
        <v>Pending</v>
      </c>
      <c r="DR45" s="22">
        <v>0</v>
      </c>
      <c r="DS45" s="22">
        <f t="shared" si="49"/>
        <v>0</v>
      </c>
      <c r="DT45" s="23" t="str">
        <f>IF(SUMPRODUCT($H$48:DS$48,$H45:DS45)&lt;0.5, "Pending", IF(DS45&lt;0.5, "Complete", "In Progress"))</f>
        <v>Pending</v>
      </c>
      <c r="DU45" s="22">
        <v>0</v>
      </c>
      <c r="DV45" s="22">
        <f t="shared" si="50"/>
        <v>0</v>
      </c>
      <c r="DW45" s="23" t="str">
        <f>IF(SUMPRODUCT($H$48:DV$48,$H45:DV45)&lt;0.5, "Pending", IF(DV45&lt;0.5, "Complete", "In Progress"))</f>
        <v>Pending</v>
      </c>
      <c r="DX45" s="24"/>
      <c r="DY45" s="25">
        <f>SUMPRODUCT($F$48:DE$48,$F45:DE45)</f>
        <v>0</v>
      </c>
    </row>
    <row r="46" spans="1:129" hidden="1">
      <c r="A46" s="27"/>
      <c r="B46" s="27"/>
      <c r="C46" s="27"/>
      <c r="D46" s="27"/>
      <c r="E46" s="27"/>
      <c r="F46" s="27"/>
      <c r="G46" s="27"/>
      <c r="H46" s="24"/>
      <c r="I46" s="24"/>
      <c r="J46" s="24"/>
      <c r="K46" s="28"/>
      <c r="L46" s="28"/>
      <c r="M46" s="24"/>
      <c r="N46" s="28"/>
      <c r="O46" s="28"/>
      <c r="P46" s="24"/>
      <c r="Q46" s="28"/>
      <c r="R46" s="28"/>
      <c r="S46" s="28"/>
      <c r="T46" s="28"/>
      <c r="U46" s="28"/>
      <c r="V46" s="24"/>
      <c r="W46" s="28"/>
      <c r="X46" s="28"/>
      <c r="Y46" s="24"/>
      <c r="Z46" s="28"/>
      <c r="AA46" s="28"/>
      <c r="AB46" s="24"/>
      <c r="AC46" s="28"/>
      <c r="AD46" s="28"/>
      <c r="AE46" s="24"/>
      <c r="AF46" s="28"/>
      <c r="AG46" s="28"/>
      <c r="AH46" s="24"/>
      <c r="AI46" s="28"/>
      <c r="AJ46" s="28"/>
      <c r="AK46" s="24"/>
      <c r="AL46" s="28"/>
      <c r="AM46" s="28"/>
      <c r="AN46" s="24"/>
      <c r="AO46" s="28"/>
      <c r="AP46" s="28"/>
      <c r="AQ46" s="24"/>
      <c r="AR46" s="28"/>
      <c r="AS46" s="28"/>
      <c r="AT46" s="24"/>
      <c r="AU46" s="28"/>
      <c r="AV46" s="28"/>
      <c r="AW46" s="24"/>
      <c r="AX46" s="28"/>
      <c r="AY46" s="28"/>
      <c r="AZ46" s="24"/>
      <c r="BA46" s="28"/>
      <c r="BB46" s="28"/>
      <c r="BC46" s="24"/>
      <c r="BD46" s="28"/>
      <c r="BE46" s="28"/>
      <c r="BF46" s="24"/>
      <c r="BG46" s="28"/>
      <c r="BH46" s="28"/>
      <c r="BI46" s="24"/>
      <c r="BJ46" s="28"/>
      <c r="BK46" s="28"/>
      <c r="BL46" s="24"/>
      <c r="BM46" s="28"/>
      <c r="BN46" s="28"/>
      <c r="BO46" s="24"/>
      <c r="BP46" s="28"/>
      <c r="BQ46" s="28"/>
      <c r="BR46" s="24"/>
      <c r="BS46" s="28"/>
      <c r="BT46" s="28"/>
      <c r="BU46" s="24"/>
      <c r="BV46" s="28"/>
      <c r="BW46" s="28"/>
      <c r="BX46" s="24"/>
      <c r="BY46" s="28"/>
      <c r="BZ46" s="28"/>
      <c r="CA46" s="24"/>
      <c r="CB46" s="28"/>
      <c r="CC46" s="28"/>
      <c r="CD46" s="24"/>
      <c r="CE46" s="28"/>
      <c r="CF46" s="28"/>
      <c r="CG46" s="24"/>
      <c r="CH46" s="28"/>
      <c r="CI46" s="28"/>
      <c r="CJ46" s="24"/>
      <c r="CK46" s="28"/>
      <c r="CL46" s="28"/>
      <c r="CM46" s="24"/>
      <c r="CN46" s="28"/>
      <c r="CO46" s="28"/>
      <c r="CP46" s="24"/>
      <c r="CQ46" s="28"/>
      <c r="CR46" s="28"/>
      <c r="CS46" s="24"/>
      <c r="CT46" s="28"/>
      <c r="CU46" s="28"/>
      <c r="CV46" s="24"/>
      <c r="CW46" s="28"/>
      <c r="CX46" s="28"/>
      <c r="CY46" s="24"/>
      <c r="CZ46" s="28"/>
      <c r="DA46" s="28"/>
      <c r="DB46" s="24"/>
      <c r="DC46" s="28"/>
      <c r="DD46" s="28"/>
      <c r="DE46" s="24"/>
      <c r="DF46" s="28"/>
      <c r="DG46" s="28"/>
      <c r="DH46" s="24"/>
      <c r="DI46" s="28"/>
      <c r="DJ46" s="28"/>
      <c r="DK46" s="24"/>
      <c r="DL46" s="28"/>
      <c r="DM46" s="28"/>
      <c r="DN46" s="24"/>
      <c r="DO46" s="28"/>
      <c r="DP46" s="28"/>
      <c r="DQ46" s="24"/>
      <c r="DR46" s="28"/>
      <c r="DS46" s="28"/>
      <c r="DT46" s="24"/>
      <c r="DU46" s="28"/>
      <c r="DV46" s="28"/>
      <c r="DW46" s="24"/>
      <c r="DX46" s="24"/>
      <c r="DY46" s="29">
        <f>SUMPRODUCT($F$49:DE$49,$F46:DE46)</f>
        <v>0</v>
      </c>
    </row>
    <row r="47" spans="1:129">
      <c r="A47" s="30"/>
      <c r="B47" s="30"/>
      <c r="C47" s="30"/>
      <c r="D47" s="30"/>
      <c r="E47" s="1"/>
      <c r="F47" s="30"/>
      <c r="G47" s="30"/>
      <c r="H47" s="205" t="s">
        <v>10</v>
      </c>
      <c r="I47" s="206"/>
      <c r="J47" s="31">
        <v>1</v>
      </c>
      <c r="K47" s="203" t="s">
        <v>10</v>
      </c>
      <c r="L47" s="204"/>
      <c r="M47" s="31">
        <f>J47+1</f>
        <v>2</v>
      </c>
      <c r="N47" s="203" t="s">
        <v>10</v>
      </c>
      <c r="O47" s="204"/>
      <c r="P47" s="31">
        <f>M47+1</f>
        <v>3</v>
      </c>
      <c r="Q47" s="203" t="s">
        <v>10</v>
      </c>
      <c r="R47" s="204"/>
      <c r="S47" s="31">
        <f>P47+1</f>
        <v>4</v>
      </c>
      <c r="T47" s="203" t="s">
        <v>10</v>
      </c>
      <c r="U47" s="204"/>
      <c r="V47" s="31">
        <f>S47+1</f>
        <v>5</v>
      </c>
      <c r="W47" s="203" t="s">
        <v>10</v>
      </c>
      <c r="X47" s="203"/>
      <c r="Y47" s="31">
        <f>V47+1</f>
        <v>6</v>
      </c>
      <c r="Z47" s="203" t="s">
        <v>10</v>
      </c>
      <c r="AA47" s="203"/>
      <c r="AB47" s="31">
        <f>Y47+1</f>
        <v>7</v>
      </c>
      <c r="AC47" s="203" t="s">
        <v>10</v>
      </c>
      <c r="AD47" s="203"/>
      <c r="AE47" s="31">
        <f>AB47+1</f>
        <v>8</v>
      </c>
      <c r="AF47" s="203" t="s">
        <v>10</v>
      </c>
      <c r="AG47" s="203"/>
      <c r="AH47" s="31">
        <f>AE47+1</f>
        <v>9</v>
      </c>
      <c r="AI47" s="203" t="s">
        <v>10</v>
      </c>
      <c r="AJ47" s="203"/>
      <c r="AK47" s="31">
        <f>AH47+1</f>
        <v>10</v>
      </c>
      <c r="AL47" s="203" t="s">
        <v>10</v>
      </c>
      <c r="AM47" s="203"/>
      <c r="AN47" s="31">
        <f>AK47+1</f>
        <v>11</v>
      </c>
      <c r="AO47" s="203" t="s">
        <v>10</v>
      </c>
      <c r="AP47" s="203"/>
      <c r="AQ47" s="31">
        <f>AN47+1</f>
        <v>12</v>
      </c>
      <c r="AR47" s="203" t="s">
        <v>10</v>
      </c>
      <c r="AS47" s="203"/>
      <c r="AT47" s="31">
        <f>AQ47+1</f>
        <v>13</v>
      </c>
      <c r="AU47" s="203" t="s">
        <v>10</v>
      </c>
      <c r="AV47" s="203"/>
      <c r="AW47" s="31">
        <f>AT47+1</f>
        <v>14</v>
      </c>
      <c r="AX47" s="203" t="s">
        <v>10</v>
      </c>
      <c r="AY47" s="203"/>
      <c r="AZ47" s="31">
        <f>AW47+1</f>
        <v>15</v>
      </c>
      <c r="BA47" s="203" t="s">
        <v>10</v>
      </c>
      <c r="BB47" s="203"/>
      <c r="BC47" s="31">
        <f>AZ47+1</f>
        <v>16</v>
      </c>
      <c r="BD47" s="203" t="s">
        <v>10</v>
      </c>
      <c r="BE47" s="203"/>
      <c r="BF47" s="31">
        <f>BC47+1</f>
        <v>17</v>
      </c>
      <c r="BG47" s="203" t="s">
        <v>10</v>
      </c>
      <c r="BH47" s="203"/>
      <c r="BI47" s="31">
        <f>BF47+1</f>
        <v>18</v>
      </c>
      <c r="BJ47" s="203" t="s">
        <v>10</v>
      </c>
      <c r="BK47" s="203"/>
      <c r="BL47" s="31">
        <f>BI47+1</f>
        <v>19</v>
      </c>
      <c r="BM47" s="203" t="s">
        <v>10</v>
      </c>
      <c r="BN47" s="203"/>
      <c r="BO47" s="31">
        <f>BL47+1</f>
        <v>20</v>
      </c>
      <c r="BP47" s="203" t="s">
        <v>10</v>
      </c>
      <c r="BQ47" s="203"/>
      <c r="BR47" s="31">
        <f>BO47+1</f>
        <v>21</v>
      </c>
      <c r="BS47" s="203" t="s">
        <v>10</v>
      </c>
      <c r="BT47" s="203"/>
      <c r="BU47" s="31">
        <f>BR47+1</f>
        <v>22</v>
      </c>
      <c r="BV47" s="203" t="s">
        <v>10</v>
      </c>
      <c r="BW47" s="203"/>
      <c r="BX47" s="31">
        <f>BU47+1</f>
        <v>23</v>
      </c>
      <c r="BY47" s="203" t="s">
        <v>10</v>
      </c>
      <c r="BZ47" s="203"/>
      <c r="CA47" s="31">
        <f>BX47+1</f>
        <v>24</v>
      </c>
      <c r="CB47" s="203" t="s">
        <v>10</v>
      </c>
      <c r="CC47" s="203"/>
      <c r="CD47" s="31">
        <f>CA47+1</f>
        <v>25</v>
      </c>
      <c r="CE47" s="203" t="s">
        <v>10</v>
      </c>
      <c r="CF47" s="203"/>
      <c r="CG47" s="31">
        <f>CD47+1</f>
        <v>26</v>
      </c>
      <c r="CH47" s="203" t="s">
        <v>10</v>
      </c>
      <c r="CI47" s="203"/>
      <c r="CJ47" s="31">
        <f>CG47+1</f>
        <v>27</v>
      </c>
      <c r="CK47" s="203" t="s">
        <v>10</v>
      </c>
      <c r="CL47" s="203"/>
      <c r="CM47" s="31">
        <f>CJ47+1</f>
        <v>28</v>
      </c>
      <c r="CN47" s="203" t="s">
        <v>10</v>
      </c>
      <c r="CO47" s="203"/>
      <c r="CP47" s="31">
        <f>CM47+1</f>
        <v>29</v>
      </c>
      <c r="CQ47" s="203" t="s">
        <v>10</v>
      </c>
      <c r="CR47" s="203"/>
      <c r="CS47" s="31">
        <f>CP47+1</f>
        <v>30</v>
      </c>
      <c r="CT47" s="203" t="s">
        <v>10</v>
      </c>
      <c r="CU47" s="204"/>
      <c r="CV47" s="31">
        <f>CS47+1</f>
        <v>31</v>
      </c>
      <c r="CW47" s="203" t="s">
        <v>10</v>
      </c>
      <c r="CX47" s="204"/>
      <c r="CY47" s="31">
        <f>CV47+1</f>
        <v>32</v>
      </c>
      <c r="CZ47" s="203" t="s">
        <v>10</v>
      </c>
      <c r="DA47" s="204"/>
      <c r="DB47" s="31">
        <f>CY47+1</f>
        <v>33</v>
      </c>
      <c r="DC47" s="203" t="s">
        <v>10</v>
      </c>
      <c r="DD47" s="204"/>
      <c r="DE47" s="31">
        <f>DB47+1</f>
        <v>34</v>
      </c>
      <c r="DF47" s="203" t="s">
        <v>10</v>
      </c>
      <c r="DG47" s="204"/>
      <c r="DH47" s="31">
        <f>DE47+1</f>
        <v>35</v>
      </c>
      <c r="DI47" s="203" t="s">
        <v>10</v>
      </c>
      <c r="DJ47" s="204"/>
      <c r="DK47" s="31">
        <f>DH47+1</f>
        <v>36</v>
      </c>
      <c r="DL47" s="203" t="s">
        <v>10</v>
      </c>
      <c r="DM47" s="204"/>
      <c r="DN47" s="31">
        <f>DK47+1</f>
        <v>37</v>
      </c>
      <c r="DO47" s="203" t="s">
        <v>10</v>
      </c>
      <c r="DP47" s="204"/>
      <c r="DQ47" s="31">
        <f>DN47+1</f>
        <v>38</v>
      </c>
      <c r="DR47" s="203" t="s">
        <v>10</v>
      </c>
      <c r="DS47" s="204"/>
      <c r="DT47" s="31">
        <f>DQ47+1</f>
        <v>39</v>
      </c>
      <c r="DU47" s="203" t="s">
        <v>10</v>
      </c>
      <c r="DV47" s="204"/>
      <c r="DW47" s="31">
        <f>DT47+1</f>
        <v>40</v>
      </c>
      <c r="DX47" s="31"/>
      <c r="DY47" s="32"/>
    </row>
    <row r="48" spans="1:129" hidden="1">
      <c r="A48" s="33"/>
      <c r="B48" s="33"/>
      <c r="C48" s="33" t="s">
        <v>12</v>
      </c>
      <c r="D48" s="33"/>
      <c r="E48" s="33"/>
      <c r="F48" s="33"/>
      <c r="G48" s="33"/>
      <c r="H48" s="196">
        <v>1</v>
      </c>
      <c r="I48" s="196">
        <v>0</v>
      </c>
      <c r="J48" s="33">
        <v>0</v>
      </c>
      <c r="K48" s="33">
        <v>1</v>
      </c>
      <c r="L48" s="33">
        <v>0</v>
      </c>
      <c r="M48" s="33">
        <v>0</v>
      </c>
      <c r="N48" s="33">
        <v>1</v>
      </c>
      <c r="O48" s="33">
        <v>0</v>
      </c>
      <c r="P48" s="33">
        <v>0</v>
      </c>
      <c r="Q48" s="33">
        <v>1</v>
      </c>
      <c r="R48" s="33">
        <v>0</v>
      </c>
      <c r="S48" s="33">
        <v>0</v>
      </c>
      <c r="T48" s="33">
        <v>1</v>
      </c>
      <c r="U48" s="33">
        <v>0</v>
      </c>
      <c r="V48" s="33">
        <v>0</v>
      </c>
      <c r="W48" s="33">
        <v>1</v>
      </c>
      <c r="X48" s="33">
        <v>0</v>
      </c>
      <c r="Y48" s="33">
        <v>0</v>
      </c>
      <c r="Z48" s="33">
        <v>1</v>
      </c>
      <c r="AA48" s="33">
        <v>0</v>
      </c>
      <c r="AB48" s="33">
        <v>0</v>
      </c>
      <c r="AC48" s="33">
        <v>1</v>
      </c>
      <c r="AD48" s="33">
        <v>0</v>
      </c>
      <c r="AE48" s="33">
        <v>0</v>
      </c>
      <c r="AF48" s="33">
        <v>1</v>
      </c>
      <c r="AG48" s="33">
        <v>0</v>
      </c>
      <c r="AH48" s="33">
        <v>0</v>
      </c>
      <c r="AI48" s="33">
        <v>1</v>
      </c>
      <c r="AJ48" s="33">
        <v>0</v>
      </c>
      <c r="AK48" s="33">
        <v>0</v>
      </c>
      <c r="AL48" s="33">
        <v>1</v>
      </c>
      <c r="AM48" s="33">
        <v>0</v>
      </c>
      <c r="AN48" s="33">
        <v>0</v>
      </c>
      <c r="AO48" s="33">
        <v>1</v>
      </c>
      <c r="AP48" s="33">
        <v>0</v>
      </c>
      <c r="AQ48" s="33">
        <v>0</v>
      </c>
      <c r="AR48" s="33">
        <v>1</v>
      </c>
      <c r="AS48" s="33">
        <v>0</v>
      </c>
      <c r="AT48" s="33">
        <v>0</v>
      </c>
      <c r="AU48" s="33">
        <v>1</v>
      </c>
      <c r="AV48" s="33">
        <v>0</v>
      </c>
      <c r="AW48" s="33">
        <v>0</v>
      </c>
      <c r="AX48" s="33">
        <v>1</v>
      </c>
      <c r="AY48" s="33">
        <v>0</v>
      </c>
      <c r="AZ48" s="33">
        <v>0</v>
      </c>
      <c r="BA48" s="33">
        <v>1</v>
      </c>
      <c r="BB48" s="33">
        <v>0</v>
      </c>
      <c r="BC48" s="33">
        <v>0</v>
      </c>
      <c r="BD48" s="33">
        <v>1</v>
      </c>
      <c r="BE48" s="33">
        <v>0</v>
      </c>
      <c r="BF48" s="33">
        <v>0</v>
      </c>
      <c r="BG48" s="33">
        <v>1</v>
      </c>
      <c r="BH48" s="33">
        <v>0</v>
      </c>
      <c r="BI48" s="33">
        <v>0</v>
      </c>
      <c r="BJ48" s="33">
        <v>1</v>
      </c>
      <c r="BK48" s="33">
        <v>0</v>
      </c>
      <c r="BL48" s="33">
        <v>0</v>
      </c>
      <c r="BM48" s="33">
        <v>1</v>
      </c>
      <c r="BN48" s="33">
        <v>0</v>
      </c>
      <c r="BO48" s="33">
        <v>0</v>
      </c>
      <c r="BP48" s="33">
        <v>1</v>
      </c>
      <c r="BQ48" s="33">
        <v>0</v>
      </c>
      <c r="BR48" s="33">
        <v>0</v>
      </c>
      <c r="BS48" s="33">
        <v>1</v>
      </c>
      <c r="BT48" s="33">
        <v>0</v>
      </c>
      <c r="BU48" s="33">
        <v>0</v>
      </c>
      <c r="BV48" s="33">
        <v>1</v>
      </c>
      <c r="BW48" s="33">
        <v>0</v>
      </c>
      <c r="BX48" s="33">
        <v>0</v>
      </c>
      <c r="BY48" s="33">
        <v>1</v>
      </c>
      <c r="BZ48" s="33">
        <v>0</v>
      </c>
      <c r="CA48" s="33">
        <v>0</v>
      </c>
      <c r="CB48" s="33">
        <v>1</v>
      </c>
      <c r="CC48" s="33">
        <v>0</v>
      </c>
      <c r="CD48" s="33">
        <v>0</v>
      </c>
      <c r="CE48" s="33">
        <v>1</v>
      </c>
      <c r="CF48" s="33">
        <v>0</v>
      </c>
      <c r="CG48" s="33">
        <v>0</v>
      </c>
      <c r="CH48" s="33">
        <v>1</v>
      </c>
      <c r="CI48" s="33">
        <v>0</v>
      </c>
      <c r="CJ48" s="33">
        <v>0</v>
      </c>
      <c r="CK48" s="33">
        <v>1</v>
      </c>
      <c r="CL48" s="33">
        <v>0</v>
      </c>
      <c r="CM48" s="33">
        <v>0</v>
      </c>
      <c r="CN48" s="33">
        <v>1</v>
      </c>
      <c r="CO48" s="33">
        <v>0</v>
      </c>
      <c r="CP48" s="33">
        <v>0</v>
      </c>
      <c r="CQ48" s="33">
        <v>1</v>
      </c>
      <c r="CR48" s="33">
        <v>0</v>
      </c>
      <c r="CS48" s="33">
        <v>0</v>
      </c>
      <c r="CT48" s="33">
        <v>1</v>
      </c>
      <c r="CU48" s="33">
        <v>0</v>
      </c>
      <c r="CV48" s="33">
        <v>0</v>
      </c>
      <c r="CW48" s="33">
        <v>1</v>
      </c>
      <c r="CX48" s="33">
        <v>0</v>
      </c>
      <c r="CY48" s="33">
        <v>0</v>
      </c>
      <c r="CZ48" s="33">
        <v>1</v>
      </c>
      <c r="DA48" s="33">
        <v>0</v>
      </c>
      <c r="DB48" s="33">
        <v>0</v>
      </c>
      <c r="DC48" s="33">
        <v>1</v>
      </c>
      <c r="DD48" s="33">
        <v>0</v>
      </c>
      <c r="DE48" s="33">
        <v>0</v>
      </c>
      <c r="DF48" s="33">
        <v>1</v>
      </c>
      <c r="DG48" s="33">
        <v>0</v>
      </c>
      <c r="DH48" s="33">
        <v>0</v>
      </c>
      <c r="DI48" s="33">
        <v>1</v>
      </c>
      <c r="DJ48" s="33">
        <v>0</v>
      </c>
      <c r="DK48" s="33">
        <v>0</v>
      </c>
      <c r="DL48" s="33">
        <v>1</v>
      </c>
      <c r="DM48" s="33">
        <v>0</v>
      </c>
      <c r="DN48" s="33">
        <v>0</v>
      </c>
      <c r="DO48" s="33">
        <v>1</v>
      </c>
      <c r="DP48" s="33">
        <v>0</v>
      </c>
      <c r="DQ48" s="33">
        <v>0</v>
      </c>
      <c r="DR48" s="33">
        <v>1</v>
      </c>
      <c r="DS48" s="33">
        <v>0</v>
      </c>
      <c r="DT48" s="33">
        <v>0</v>
      </c>
      <c r="DU48" s="33">
        <v>1</v>
      </c>
      <c r="DV48" s="33">
        <v>0</v>
      </c>
      <c r="DW48" s="33">
        <v>0</v>
      </c>
      <c r="DX48" s="33"/>
      <c r="DY48" s="34"/>
    </row>
    <row r="49" spans="1:129" hidden="1">
      <c r="A49" s="35"/>
      <c r="B49" s="35"/>
      <c r="C49" s="33" t="s">
        <v>14</v>
      </c>
      <c r="D49" s="33"/>
      <c r="E49" s="33"/>
      <c r="F49" s="33"/>
      <c r="G49" s="33"/>
      <c r="H49" s="24">
        <v>0</v>
      </c>
      <c r="I49" s="196">
        <v>1</v>
      </c>
      <c r="J49" s="33">
        <v>0</v>
      </c>
      <c r="K49" s="36">
        <v>0</v>
      </c>
      <c r="L49" s="33">
        <v>1</v>
      </c>
      <c r="M49" s="33">
        <v>0</v>
      </c>
      <c r="N49" s="36">
        <v>0</v>
      </c>
      <c r="O49" s="33">
        <v>1</v>
      </c>
      <c r="P49" s="33">
        <v>0</v>
      </c>
      <c r="Q49" s="36">
        <v>0</v>
      </c>
      <c r="R49" s="33">
        <v>1</v>
      </c>
      <c r="S49" s="33">
        <v>0</v>
      </c>
      <c r="T49" s="36">
        <v>0</v>
      </c>
      <c r="U49" s="33">
        <v>1</v>
      </c>
      <c r="V49" s="33">
        <v>0</v>
      </c>
      <c r="W49" s="36">
        <v>0</v>
      </c>
      <c r="X49" s="33">
        <v>1</v>
      </c>
      <c r="Y49" s="33">
        <v>0</v>
      </c>
      <c r="Z49" s="36">
        <v>0</v>
      </c>
      <c r="AA49" s="33">
        <v>1</v>
      </c>
      <c r="AB49" s="33">
        <v>0</v>
      </c>
      <c r="AC49" s="36">
        <v>0</v>
      </c>
      <c r="AD49" s="33">
        <v>1</v>
      </c>
      <c r="AE49" s="33">
        <v>0</v>
      </c>
      <c r="AF49" s="36">
        <v>0</v>
      </c>
      <c r="AG49" s="33">
        <v>1</v>
      </c>
      <c r="AH49" s="33">
        <v>0</v>
      </c>
      <c r="AI49" s="36">
        <v>0</v>
      </c>
      <c r="AJ49" s="33">
        <v>1</v>
      </c>
      <c r="AK49" s="33">
        <v>0</v>
      </c>
      <c r="AL49" s="36">
        <v>0</v>
      </c>
      <c r="AM49" s="33">
        <v>1</v>
      </c>
      <c r="AN49" s="33">
        <v>0</v>
      </c>
      <c r="AO49" s="36">
        <v>0</v>
      </c>
      <c r="AP49" s="33">
        <v>1</v>
      </c>
      <c r="AQ49" s="33">
        <v>0</v>
      </c>
      <c r="AR49" s="36">
        <v>0</v>
      </c>
      <c r="AS49" s="33">
        <v>1</v>
      </c>
      <c r="AT49" s="33">
        <v>0</v>
      </c>
      <c r="AU49" s="36">
        <v>0</v>
      </c>
      <c r="AV49" s="33">
        <v>1</v>
      </c>
      <c r="AW49" s="33">
        <v>0</v>
      </c>
      <c r="AX49" s="36">
        <v>0</v>
      </c>
      <c r="AY49" s="33">
        <v>1</v>
      </c>
      <c r="AZ49" s="33">
        <v>0</v>
      </c>
      <c r="BA49" s="36">
        <v>0</v>
      </c>
      <c r="BB49" s="33">
        <v>1</v>
      </c>
      <c r="BC49" s="33">
        <v>0</v>
      </c>
      <c r="BD49" s="36">
        <v>0</v>
      </c>
      <c r="BE49" s="33">
        <v>1</v>
      </c>
      <c r="BF49" s="33">
        <v>0</v>
      </c>
      <c r="BG49" s="36">
        <v>0</v>
      </c>
      <c r="BH49" s="33">
        <v>1</v>
      </c>
      <c r="BI49" s="33">
        <v>0</v>
      </c>
      <c r="BJ49" s="36">
        <v>0</v>
      </c>
      <c r="BK49" s="33">
        <v>1</v>
      </c>
      <c r="BL49" s="33">
        <v>0</v>
      </c>
      <c r="BM49" s="36">
        <v>0</v>
      </c>
      <c r="BN49" s="33">
        <v>1</v>
      </c>
      <c r="BO49" s="33">
        <v>0</v>
      </c>
      <c r="BP49" s="36">
        <v>0</v>
      </c>
      <c r="BQ49" s="33">
        <v>1</v>
      </c>
      <c r="BR49" s="33">
        <v>0</v>
      </c>
      <c r="BS49" s="36">
        <v>0</v>
      </c>
      <c r="BT49" s="33">
        <v>1</v>
      </c>
      <c r="BU49" s="33">
        <v>0</v>
      </c>
      <c r="BV49" s="36">
        <v>0</v>
      </c>
      <c r="BW49" s="33">
        <v>1</v>
      </c>
      <c r="BX49" s="33">
        <v>0</v>
      </c>
      <c r="BY49" s="36">
        <v>0</v>
      </c>
      <c r="BZ49" s="33">
        <v>1</v>
      </c>
      <c r="CA49" s="33">
        <v>0</v>
      </c>
      <c r="CB49" s="36">
        <v>0</v>
      </c>
      <c r="CC49" s="33">
        <v>1</v>
      </c>
      <c r="CD49" s="33">
        <v>0</v>
      </c>
      <c r="CE49" s="36">
        <v>0</v>
      </c>
      <c r="CF49" s="33">
        <v>1</v>
      </c>
      <c r="CG49" s="33">
        <v>0</v>
      </c>
      <c r="CH49" s="36">
        <v>0</v>
      </c>
      <c r="CI49" s="33">
        <v>1</v>
      </c>
      <c r="CJ49" s="33">
        <v>0</v>
      </c>
      <c r="CK49" s="36">
        <v>0</v>
      </c>
      <c r="CL49" s="33">
        <v>1</v>
      </c>
      <c r="CM49" s="33">
        <v>0</v>
      </c>
      <c r="CN49" s="36">
        <v>0</v>
      </c>
      <c r="CO49" s="33">
        <v>1</v>
      </c>
      <c r="CP49" s="33">
        <v>0</v>
      </c>
      <c r="CQ49" s="36">
        <v>0</v>
      </c>
      <c r="CR49" s="33">
        <v>1</v>
      </c>
      <c r="CS49" s="33">
        <v>0</v>
      </c>
      <c r="CT49" s="36">
        <v>0</v>
      </c>
      <c r="CU49" s="33">
        <v>1</v>
      </c>
      <c r="CV49" s="33">
        <v>0</v>
      </c>
      <c r="CW49" s="36">
        <v>0</v>
      </c>
      <c r="CX49" s="33">
        <v>1</v>
      </c>
      <c r="CY49" s="33">
        <v>0</v>
      </c>
      <c r="CZ49" s="36">
        <v>0</v>
      </c>
      <c r="DA49" s="33">
        <v>1</v>
      </c>
      <c r="DB49" s="33">
        <v>0</v>
      </c>
      <c r="DC49" s="36">
        <v>0</v>
      </c>
      <c r="DD49" s="33">
        <v>1</v>
      </c>
      <c r="DE49" s="33">
        <v>0</v>
      </c>
      <c r="DF49" s="36">
        <v>0</v>
      </c>
      <c r="DG49" s="33">
        <v>1</v>
      </c>
      <c r="DH49" s="33">
        <v>0</v>
      </c>
      <c r="DI49" s="36">
        <v>0</v>
      </c>
      <c r="DJ49" s="33">
        <v>1</v>
      </c>
      <c r="DK49" s="33">
        <v>0</v>
      </c>
      <c r="DL49" s="36">
        <v>0</v>
      </c>
      <c r="DM49" s="33">
        <v>1</v>
      </c>
      <c r="DN49" s="33">
        <v>0</v>
      </c>
      <c r="DO49" s="36">
        <v>0</v>
      </c>
      <c r="DP49" s="33">
        <v>1</v>
      </c>
      <c r="DQ49" s="33">
        <v>0</v>
      </c>
      <c r="DR49" s="36">
        <v>0</v>
      </c>
      <c r="DS49" s="33">
        <v>1</v>
      </c>
      <c r="DT49" s="33">
        <v>0</v>
      </c>
      <c r="DU49" s="36">
        <v>0</v>
      </c>
      <c r="DV49" s="33">
        <v>1</v>
      </c>
      <c r="DW49" s="33">
        <v>0</v>
      </c>
      <c r="DX49" s="33"/>
    </row>
    <row r="50" spans="1:129" hidden="1">
      <c r="A50" s="33"/>
      <c r="B50" s="33"/>
      <c r="C50" s="37" t="s">
        <v>15</v>
      </c>
      <c r="D50" s="33"/>
      <c r="E50" s="33"/>
      <c r="F50" s="33"/>
      <c r="G50" s="33"/>
      <c r="H50" s="24">
        <v>0</v>
      </c>
      <c r="I50" s="196">
        <v>0</v>
      </c>
      <c r="J50" s="33">
        <v>1</v>
      </c>
      <c r="K50" s="36">
        <v>0</v>
      </c>
      <c r="L50" s="33">
        <v>0</v>
      </c>
      <c r="M50" s="33">
        <v>1</v>
      </c>
      <c r="N50" s="36">
        <v>0</v>
      </c>
      <c r="O50" s="33">
        <v>0</v>
      </c>
      <c r="P50" s="33">
        <v>1</v>
      </c>
      <c r="Q50" s="36">
        <v>0</v>
      </c>
      <c r="R50" s="33">
        <v>0</v>
      </c>
      <c r="S50" s="33">
        <v>1</v>
      </c>
      <c r="T50" s="36">
        <v>0</v>
      </c>
      <c r="U50" s="33">
        <v>0</v>
      </c>
      <c r="V50" s="33">
        <v>1</v>
      </c>
      <c r="W50" s="36">
        <v>0</v>
      </c>
      <c r="X50" s="33">
        <v>0</v>
      </c>
      <c r="Y50" s="33">
        <v>1</v>
      </c>
      <c r="Z50" s="36">
        <v>0</v>
      </c>
      <c r="AA50" s="33">
        <v>0</v>
      </c>
      <c r="AB50" s="33">
        <v>1</v>
      </c>
      <c r="AC50" s="36">
        <v>0</v>
      </c>
      <c r="AD50" s="33">
        <v>0</v>
      </c>
      <c r="AE50" s="33">
        <v>1</v>
      </c>
      <c r="AF50" s="36">
        <v>0</v>
      </c>
      <c r="AG50" s="33">
        <v>0</v>
      </c>
      <c r="AH50" s="33">
        <v>1</v>
      </c>
      <c r="AI50" s="36">
        <v>0</v>
      </c>
      <c r="AJ50" s="33">
        <v>0</v>
      </c>
      <c r="AK50" s="33">
        <v>1</v>
      </c>
      <c r="AL50" s="36">
        <v>0</v>
      </c>
      <c r="AM50" s="33">
        <v>0</v>
      </c>
      <c r="AN50" s="33">
        <v>1</v>
      </c>
      <c r="AO50" s="36">
        <v>0</v>
      </c>
      <c r="AP50" s="33">
        <v>0</v>
      </c>
      <c r="AQ50" s="33">
        <v>1</v>
      </c>
      <c r="AR50" s="36">
        <v>0</v>
      </c>
      <c r="AS50" s="33">
        <v>0</v>
      </c>
      <c r="AT50" s="33">
        <v>1</v>
      </c>
      <c r="AU50" s="36">
        <v>0</v>
      </c>
      <c r="AV50" s="33">
        <v>0</v>
      </c>
      <c r="AW50" s="33">
        <v>1</v>
      </c>
      <c r="AX50" s="36">
        <v>0</v>
      </c>
      <c r="AY50" s="33">
        <v>0</v>
      </c>
      <c r="AZ50" s="33">
        <v>1</v>
      </c>
      <c r="BA50" s="36">
        <v>0</v>
      </c>
      <c r="BB50" s="33">
        <v>0</v>
      </c>
      <c r="BC50" s="33">
        <v>1</v>
      </c>
      <c r="BD50" s="36">
        <v>0</v>
      </c>
      <c r="BE50" s="33">
        <v>0</v>
      </c>
      <c r="BF50" s="33">
        <v>1</v>
      </c>
      <c r="BG50" s="36">
        <v>0</v>
      </c>
      <c r="BH50" s="33">
        <v>0</v>
      </c>
      <c r="BI50" s="33">
        <v>1</v>
      </c>
      <c r="BJ50" s="36">
        <v>0</v>
      </c>
      <c r="BK50" s="33">
        <v>0</v>
      </c>
      <c r="BL50" s="33">
        <v>1</v>
      </c>
      <c r="BM50" s="36">
        <v>0</v>
      </c>
      <c r="BN50" s="33">
        <v>0</v>
      </c>
      <c r="BO50" s="33">
        <v>1</v>
      </c>
      <c r="BP50" s="36">
        <v>0</v>
      </c>
      <c r="BQ50" s="33">
        <v>0</v>
      </c>
      <c r="BR50" s="33">
        <v>1</v>
      </c>
      <c r="BS50" s="36">
        <v>0</v>
      </c>
      <c r="BT50" s="33">
        <v>0</v>
      </c>
      <c r="BU50" s="33">
        <v>1</v>
      </c>
      <c r="BV50" s="36">
        <v>0</v>
      </c>
      <c r="BW50" s="33">
        <v>0</v>
      </c>
      <c r="BX50" s="33">
        <v>1</v>
      </c>
      <c r="BY50" s="36">
        <v>0</v>
      </c>
      <c r="BZ50" s="33">
        <v>0</v>
      </c>
      <c r="CA50" s="33">
        <v>1</v>
      </c>
      <c r="CB50" s="36">
        <v>0</v>
      </c>
      <c r="CC50" s="33">
        <v>0</v>
      </c>
      <c r="CD50" s="33">
        <v>1</v>
      </c>
      <c r="CE50" s="36">
        <v>0</v>
      </c>
      <c r="CF50" s="33">
        <v>0</v>
      </c>
      <c r="CG50" s="33">
        <v>1</v>
      </c>
      <c r="CH50" s="36">
        <v>0</v>
      </c>
      <c r="CI50" s="33">
        <v>0</v>
      </c>
      <c r="CJ50" s="33">
        <v>1</v>
      </c>
      <c r="CK50" s="36">
        <v>0</v>
      </c>
      <c r="CL50" s="33">
        <v>0</v>
      </c>
      <c r="CM50" s="33">
        <v>1</v>
      </c>
      <c r="CN50" s="36">
        <v>0</v>
      </c>
      <c r="CO50" s="33">
        <v>0</v>
      </c>
      <c r="CP50" s="33">
        <v>1</v>
      </c>
      <c r="CQ50" s="36">
        <v>0</v>
      </c>
      <c r="CR50" s="33">
        <v>0</v>
      </c>
      <c r="CS50" s="33">
        <v>1</v>
      </c>
      <c r="CT50" s="36">
        <v>0</v>
      </c>
      <c r="CU50" s="33">
        <v>0</v>
      </c>
      <c r="CV50" s="33">
        <v>1</v>
      </c>
      <c r="CW50" s="36">
        <v>0</v>
      </c>
      <c r="CX50" s="33">
        <v>0</v>
      </c>
      <c r="CY50" s="33">
        <v>1</v>
      </c>
      <c r="CZ50" s="36">
        <v>0</v>
      </c>
      <c r="DA50" s="33">
        <v>0</v>
      </c>
      <c r="DB50" s="33">
        <v>1</v>
      </c>
      <c r="DC50" s="36">
        <v>0</v>
      </c>
      <c r="DD50" s="33">
        <v>0</v>
      </c>
      <c r="DE50" s="33">
        <v>1</v>
      </c>
      <c r="DF50" s="36">
        <v>0</v>
      </c>
      <c r="DG50" s="33">
        <v>0</v>
      </c>
      <c r="DH50" s="33">
        <v>1</v>
      </c>
      <c r="DI50" s="36">
        <v>0</v>
      </c>
      <c r="DJ50" s="33">
        <v>0</v>
      </c>
      <c r="DK50" s="33">
        <v>1</v>
      </c>
      <c r="DL50" s="36">
        <v>0</v>
      </c>
      <c r="DM50" s="33">
        <v>0</v>
      </c>
      <c r="DN50" s="33">
        <v>1</v>
      </c>
      <c r="DO50" s="36">
        <v>0</v>
      </c>
      <c r="DP50" s="33">
        <v>0</v>
      </c>
      <c r="DQ50" s="33">
        <v>1</v>
      </c>
      <c r="DR50" s="36">
        <v>0</v>
      </c>
      <c r="DS50" s="33">
        <v>0</v>
      </c>
      <c r="DT50" s="33">
        <v>1</v>
      </c>
      <c r="DU50" s="36">
        <v>0</v>
      </c>
      <c r="DV50" s="33">
        <v>0</v>
      </c>
      <c r="DW50" s="33">
        <v>1</v>
      </c>
      <c r="DX50" s="33"/>
    </row>
    <row r="51" spans="1:129">
      <c r="A51" s="38">
        <v>300</v>
      </c>
      <c r="B51" s="38" t="s">
        <v>111</v>
      </c>
      <c r="C51" s="39" t="s">
        <v>107</v>
      </c>
      <c r="D51" s="39"/>
      <c r="E51" s="39"/>
      <c r="F51" s="39"/>
      <c r="G51" s="40">
        <f>SUBTOTAL(109,G$4:G$46)</f>
        <v>0</v>
      </c>
      <c r="H51" s="197">
        <f>SUBTOTAL(109,H$4:H$46)</f>
        <v>0</v>
      </c>
      <c r="I51" s="197">
        <f>SUBTOTAL(109,I$4:I$45)</f>
        <v>0</v>
      </c>
      <c r="J51" s="40"/>
      <c r="K51" s="40">
        <f>SUBTOTAL(109,K$4:K$46)</f>
        <v>0</v>
      </c>
      <c r="L51" s="40">
        <f>SUBTOTAL(109,L$4:L$45)</f>
        <v>0</v>
      </c>
      <c r="M51" s="40"/>
      <c r="N51" s="40">
        <f>SUBTOTAL(109,N$4:N$46)</f>
        <v>0</v>
      </c>
      <c r="O51" s="40">
        <f>SUBTOTAL(109,O$4:O$45)</f>
        <v>0</v>
      </c>
      <c r="P51" s="40"/>
      <c r="Q51" s="40">
        <f>SUBTOTAL(109,Q$4:Q$46)</f>
        <v>0</v>
      </c>
      <c r="R51" s="40">
        <f>SUBTOTAL(109,R$4:R$45)</f>
        <v>0</v>
      </c>
      <c r="S51" s="40"/>
      <c r="T51" s="40">
        <f>SUBTOTAL(109,T$4:T$46)</f>
        <v>0</v>
      </c>
      <c r="U51" s="40">
        <f>SUBTOTAL(109,U$4:U$45)</f>
        <v>0</v>
      </c>
      <c r="V51" s="40"/>
      <c r="W51" s="40">
        <f>SUBTOTAL(109,W$4:W$46)</f>
        <v>0</v>
      </c>
      <c r="X51" s="40">
        <f>SUBTOTAL(109,X$4:X$45)</f>
        <v>0</v>
      </c>
      <c r="Y51" s="40"/>
      <c r="Z51" s="40">
        <f>SUBTOTAL(109,Z$4:Z$46)</f>
        <v>0</v>
      </c>
      <c r="AA51" s="40">
        <f>SUBTOTAL(109,AA$4:AA$45)</f>
        <v>0</v>
      </c>
      <c r="AB51" s="40"/>
      <c r="AC51" s="40">
        <f>SUBTOTAL(109,AC$4:AC$46)</f>
        <v>0</v>
      </c>
      <c r="AD51" s="40">
        <f>SUBTOTAL(109,AD$4:AD$45)</f>
        <v>0</v>
      </c>
      <c r="AE51" s="40"/>
      <c r="AF51" s="40">
        <f>SUBTOTAL(109,AF$4:AF$46)</f>
        <v>0</v>
      </c>
      <c r="AG51" s="40">
        <f>SUBTOTAL(109,AG$4:AG$45)</f>
        <v>0</v>
      </c>
      <c r="AH51" s="40"/>
      <c r="AI51" s="40">
        <f>SUBTOTAL(109,AI$4:AI$46)</f>
        <v>0</v>
      </c>
      <c r="AJ51" s="40">
        <f>SUBTOTAL(109,AJ$4:AJ$45)</f>
        <v>0</v>
      </c>
      <c r="AK51" s="40"/>
      <c r="AL51" s="40">
        <f>SUBTOTAL(109,AL$4:AL$46)</f>
        <v>0</v>
      </c>
      <c r="AM51" s="40">
        <f>SUBTOTAL(109,AM$4:AM$45)</f>
        <v>0</v>
      </c>
      <c r="AN51" s="40"/>
      <c r="AO51" s="40">
        <f>SUBTOTAL(109,AO$4:AO$46)</f>
        <v>0</v>
      </c>
      <c r="AP51" s="40">
        <f>SUBTOTAL(109,AP$4:AP$45)</f>
        <v>0</v>
      </c>
      <c r="AQ51" s="40"/>
      <c r="AR51" s="40">
        <f>SUBTOTAL(109,AR$4:AR$46)</f>
        <v>0</v>
      </c>
      <c r="AS51" s="40">
        <f>SUBTOTAL(109,AS$4:AS$45)</f>
        <v>0</v>
      </c>
      <c r="AT51" s="40"/>
      <c r="AU51" s="40">
        <f>SUBTOTAL(109,AU$4:AU$46)</f>
        <v>0</v>
      </c>
      <c r="AV51" s="40">
        <f>SUBTOTAL(109,AV$4:AV$45)</f>
        <v>0</v>
      </c>
      <c r="AW51" s="40"/>
      <c r="AX51" s="40">
        <f>SUBTOTAL(109,AX$4:AX$46)</f>
        <v>0</v>
      </c>
      <c r="AY51" s="40">
        <f>SUBTOTAL(109,AY$4:AY$45)</f>
        <v>0</v>
      </c>
      <c r="AZ51" s="40"/>
      <c r="BA51" s="40">
        <f>SUBTOTAL(109,BA$4:BA$46)</f>
        <v>0</v>
      </c>
      <c r="BB51" s="40">
        <f>SUBTOTAL(109,BB$4:BB$45)</f>
        <v>0</v>
      </c>
      <c r="BC51" s="40"/>
      <c r="BD51" s="40">
        <f>SUBTOTAL(109,BD$4:BD$46)</f>
        <v>0</v>
      </c>
      <c r="BE51" s="40">
        <f>SUBTOTAL(109,BE$4:BE$45)</f>
        <v>0</v>
      </c>
      <c r="BF51" s="40"/>
      <c r="BG51" s="40">
        <f>SUBTOTAL(109,BG$4:BG$46)</f>
        <v>0</v>
      </c>
      <c r="BH51" s="40">
        <f>SUBTOTAL(109,BH$4:BH$45)</f>
        <v>0</v>
      </c>
      <c r="BI51" s="40"/>
      <c r="BJ51" s="40">
        <f>SUBTOTAL(109,BJ$4:BJ$46)</f>
        <v>0</v>
      </c>
      <c r="BK51" s="40">
        <f>SUBTOTAL(109,BK$4:BK$45)</f>
        <v>0</v>
      </c>
      <c r="BL51" s="40"/>
      <c r="BM51" s="40">
        <f>SUBTOTAL(109,BM$4:BM$46)</f>
        <v>0</v>
      </c>
      <c r="BN51" s="40">
        <f>SUBTOTAL(109,BN$4:BN$45)</f>
        <v>0</v>
      </c>
      <c r="BO51" s="40"/>
      <c r="BP51" s="40">
        <f>SUBTOTAL(109,BP$4:BP$46)</f>
        <v>0</v>
      </c>
      <c r="BQ51" s="40">
        <f>SUBTOTAL(109,BQ$4:BQ$45)</f>
        <v>0</v>
      </c>
      <c r="BR51" s="40"/>
      <c r="BS51" s="40">
        <f>SUBTOTAL(109,BS$4:BS$46)</f>
        <v>0</v>
      </c>
      <c r="BT51" s="40">
        <f>SUBTOTAL(109,BT$4:BT$45)</f>
        <v>0</v>
      </c>
      <c r="BU51" s="40"/>
      <c r="BV51" s="40">
        <f>SUBTOTAL(109,BV$4:BV$46)</f>
        <v>0</v>
      </c>
      <c r="BW51" s="40">
        <f>SUBTOTAL(109,BW$4:BW$45)</f>
        <v>0</v>
      </c>
      <c r="BX51" s="40"/>
      <c r="BY51" s="40">
        <f>SUBTOTAL(109,BY$4:BY$46)</f>
        <v>0</v>
      </c>
      <c r="BZ51" s="40">
        <f>SUBTOTAL(109,BZ$4:BZ$45)</f>
        <v>0</v>
      </c>
      <c r="CA51" s="40"/>
      <c r="CB51" s="40">
        <f>SUBTOTAL(109,CB$4:CB$46)</f>
        <v>0</v>
      </c>
      <c r="CC51" s="40">
        <f>SUBTOTAL(109,CC$4:CC$45)</f>
        <v>0</v>
      </c>
      <c r="CD51" s="40"/>
      <c r="CE51" s="40">
        <f>SUBTOTAL(109,CE$4:CE$46)</f>
        <v>0</v>
      </c>
      <c r="CF51" s="40">
        <f>SUBTOTAL(109,CF$4:CF$45)</f>
        <v>0</v>
      </c>
      <c r="CG51" s="40"/>
      <c r="CH51" s="40">
        <f>SUBTOTAL(109,CH$4:CH$46)</f>
        <v>0</v>
      </c>
      <c r="CI51" s="40">
        <f>SUBTOTAL(109,CI$4:CI$45)</f>
        <v>0</v>
      </c>
      <c r="CJ51" s="40"/>
      <c r="CK51" s="40">
        <f>SUBTOTAL(109,CK$4:CK$46)</f>
        <v>0</v>
      </c>
      <c r="CL51" s="40">
        <f>SUBTOTAL(109,CL$4:CL$45)</f>
        <v>0</v>
      </c>
      <c r="CM51" s="40"/>
      <c r="CN51" s="40">
        <f>SUBTOTAL(109,CN$4:CN$46)</f>
        <v>0</v>
      </c>
      <c r="CO51" s="40">
        <f>SUBTOTAL(109,CO$4:CO$45)</f>
        <v>0</v>
      </c>
      <c r="CP51" s="40"/>
      <c r="CQ51" s="40">
        <f>SUBTOTAL(109,CQ$4:CQ$46)</f>
        <v>0</v>
      </c>
      <c r="CR51" s="40">
        <f>SUBTOTAL(109,CR$4:CR$45)</f>
        <v>0</v>
      </c>
      <c r="CS51" s="40"/>
      <c r="CT51" s="40">
        <f t="shared" ref="CT51:DW51" si="51">SUBTOTAL(109,CT$4:CT$45)</f>
        <v>0</v>
      </c>
      <c r="CU51" s="40">
        <f t="shared" si="51"/>
        <v>0</v>
      </c>
      <c r="CV51" s="40">
        <f t="shared" si="51"/>
        <v>0</v>
      </c>
      <c r="CW51" s="40">
        <f t="shared" si="51"/>
        <v>0</v>
      </c>
      <c r="CX51" s="40">
        <f t="shared" si="51"/>
        <v>0</v>
      </c>
      <c r="CY51" s="40">
        <f t="shared" si="51"/>
        <v>0</v>
      </c>
      <c r="CZ51" s="40">
        <f t="shared" si="51"/>
        <v>0</v>
      </c>
      <c r="DA51" s="40">
        <f t="shared" si="51"/>
        <v>0</v>
      </c>
      <c r="DB51" s="40">
        <f t="shared" si="51"/>
        <v>0</v>
      </c>
      <c r="DC51" s="40">
        <f t="shared" si="51"/>
        <v>0</v>
      </c>
      <c r="DD51" s="40">
        <f t="shared" si="51"/>
        <v>0</v>
      </c>
      <c r="DE51" s="40">
        <f t="shared" si="51"/>
        <v>0</v>
      </c>
      <c r="DF51" s="40">
        <f t="shared" si="51"/>
        <v>0</v>
      </c>
      <c r="DG51" s="40">
        <f t="shared" si="51"/>
        <v>0</v>
      </c>
      <c r="DH51" s="40">
        <f t="shared" si="51"/>
        <v>0</v>
      </c>
      <c r="DI51" s="40">
        <f t="shared" si="51"/>
        <v>0</v>
      </c>
      <c r="DJ51" s="40">
        <f t="shared" si="51"/>
        <v>0</v>
      </c>
      <c r="DK51" s="40">
        <f t="shared" si="51"/>
        <v>0</v>
      </c>
      <c r="DL51" s="40">
        <f t="shared" si="51"/>
        <v>0</v>
      </c>
      <c r="DM51" s="40">
        <f t="shared" si="51"/>
        <v>0</v>
      </c>
      <c r="DN51" s="40">
        <f t="shared" si="51"/>
        <v>0</v>
      </c>
      <c r="DO51" s="40">
        <f t="shared" si="51"/>
        <v>0</v>
      </c>
      <c r="DP51" s="40">
        <f t="shared" si="51"/>
        <v>0</v>
      </c>
      <c r="DQ51" s="40">
        <f t="shared" si="51"/>
        <v>0</v>
      </c>
      <c r="DR51" s="40">
        <f t="shared" si="51"/>
        <v>0</v>
      </c>
      <c r="DS51" s="40">
        <f t="shared" si="51"/>
        <v>0</v>
      </c>
      <c r="DT51" s="40">
        <f t="shared" si="51"/>
        <v>0</v>
      </c>
      <c r="DU51" s="40">
        <f t="shared" si="51"/>
        <v>0</v>
      </c>
      <c r="DV51" s="40">
        <f t="shared" si="51"/>
        <v>0</v>
      </c>
      <c r="DW51" s="40">
        <f t="shared" si="51"/>
        <v>0</v>
      </c>
      <c r="DX51" s="39"/>
      <c r="DY51" s="41"/>
    </row>
    <row r="52" spans="1:129">
      <c r="A52" s="42"/>
      <c r="B52" s="42"/>
      <c r="C52" s="42"/>
      <c r="D52" s="42"/>
      <c r="E52" s="42"/>
      <c r="F52" s="42"/>
      <c r="G52" s="42"/>
      <c r="H52" s="198"/>
      <c r="I52" s="199"/>
      <c r="J52" s="42"/>
      <c r="K52" s="43"/>
      <c r="L52" s="42"/>
      <c r="M52" s="42"/>
      <c r="N52" s="43"/>
      <c r="O52" s="42"/>
      <c r="P52" s="42"/>
      <c r="Q52" s="43"/>
      <c r="R52" s="42"/>
      <c r="S52" s="42"/>
      <c r="T52" s="43"/>
      <c r="U52" s="42"/>
      <c r="V52" s="42"/>
      <c r="W52" s="43"/>
      <c r="X52" s="42"/>
      <c r="Y52" s="42"/>
      <c r="Z52" s="43"/>
      <c r="AA52" s="42"/>
      <c r="AB52" s="42"/>
      <c r="AC52" s="43"/>
      <c r="AD52" s="42"/>
      <c r="AE52" s="42"/>
      <c r="AF52" s="43"/>
      <c r="AG52" s="42"/>
      <c r="AH52" s="42"/>
      <c r="AI52" s="43"/>
      <c r="AJ52" s="42"/>
      <c r="AK52" s="42"/>
      <c r="AL52" s="43"/>
      <c r="AM52" s="42"/>
      <c r="AN52" s="42"/>
      <c r="AO52" s="43"/>
      <c r="AP52" s="42"/>
      <c r="AQ52" s="42"/>
      <c r="AR52" s="43"/>
      <c r="AS52" s="42"/>
      <c r="AT52" s="42"/>
      <c r="AU52" s="43"/>
      <c r="AV52" s="42"/>
      <c r="AW52" s="42"/>
      <c r="AX52" s="43"/>
      <c r="AY52" s="42"/>
      <c r="AZ52" s="42"/>
      <c r="BA52" s="43"/>
      <c r="BB52" s="42"/>
      <c r="BC52" s="42"/>
      <c r="BD52" s="43"/>
      <c r="BE52" s="42"/>
      <c r="BF52" s="42"/>
      <c r="BG52" s="43"/>
      <c r="BH52" s="42"/>
      <c r="BI52" s="42"/>
      <c r="BJ52" s="43"/>
      <c r="BK52" s="42"/>
      <c r="BL52" s="42"/>
      <c r="BM52" s="43"/>
      <c r="BN52" s="42"/>
      <c r="BO52" s="42"/>
      <c r="BP52" s="43"/>
      <c r="BQ52" s="42"/>
      <c r="BR52" s="42"/>
      <c r="BS52" s="43"/>
      <c r="BT52" s="42"/>
      <c r="BU52" s="42"/>
      <c r="BV52" s="43"/>
      <c r="BW52" s="42"/>
      <c r="BX52" s="42"/>
      <c r="BY52" s="43"/>
      <c r="BZ52" s="42"/>
      <c r="CA52" s="42"/>
      <c r="CB52" s="43"/>
      <c r="CC52" s="42"/>
      <c r="CD52" s="42"/>
      <c r="CE52" s="43"/>
      <c r="CF52" s="42"/>
      <c r="CG52" s="42"/>
      <c r="CH52" s="43"/>
      <c r="CI52" s="42"/>
      <c r="CJ52" s="42"/>
      <c r="CK52" s="43"/>
      <c r="CL52" s="42"/>
      <c r="CM52" s="42"/>
      <c r="CN52" s="43"/>
      <c r="CO52" s="42"/>
      <c r="CP52" s="42"/>
      <c r="CQ52" s="43"/>
      <c r="CR52" s="42"/>
      <c r="CS52" s="42"/>
      <c r="CT52" s="43"/>
      <c r="CU52" s="42"/>
      <c r="CV52" s="42"/>
      <c r="CW52" s="43"/>
      <c r="CX52" s="42"/>
      <c r="CY52" s="42"/>
      <c r="CZ52" s="43"/>
      <c r="DA52" s="42"/>
      <c r="DB52" s="42"/>
      <c r="DC52" s="43"/>
      <c r="DD52" s="42"/>
      <c r="DE52" s="42"/>
      <c r="DF52" s="43"/>
      <c r="DG52" s="42"/>
      <c r="DH52" s="42"/>
      <c r="DI52" s="43"/>
      <c r="DJ52" s="42"/>
      <c r="DK52" s="42"/>
      <c r="DL52" s="43"/>
      <c r="DM52" s="42"/>
      <c r="DN52" s="42"/>
      <c r="DO52" s="43"/>
      <c r="DP52" s="42"/>
      <c r="DQ52" s="42"/>
      <c r="DR52" s="43"/>
      <c r="DS52" s="42"/>
      <c r="DT52" s="42"/>
      <c r="DU52" s="43"/>
      <c r="DV52" s="42"/>
      <c r="DW52" s="42"/>
      <c r="DX52" s="42"/>
    </row>
    <row r="53" spans="1:129">
      <c r="A53" s="42"/>
      <c r="B53" s="42"/>
      <c r="C53" s="42"/>
      <c r="D53" s="42"/>
      <c r="E53" s="42"/>
      <c r="F53" s="42"/>
      <c r="G53" s="42"/>
      <c r="H53" s="198"/>
      <c r="I53" s="199"/>
      <c r="J53" s="42"/>
      <c r="K53" s="43"/>
      <c r="L53" s="42"/>
      <c r="M53" s="42"/>
      <c r="N53" s="43"/>
      <c r="O53" s="42"/>
      <c r="P53" s="42"/>
      <c r="Q53" s="43"/>
      <c r="R53" s="42"/>
      <c r="S53" s="42"/>
      <c r="T53" s="43"/>
      <c r="U53" s="42"/>
      <c r="V53" s="42"/>
      <c r="W53" s="43"/>
      <c r="X53" s="42"/>
      <c r="Y53" s="42"/>
      <c r="Z53" s="43"/>
      <c r="AA53" s="42"/>
      <c r="AB53" s="42"/>
      <c r="AC53" s="43"/>
      <c r="AD53" s="42"/>
      <c r="AE53" s="42"/>
      <c r="AF53" s="43"/>
      <c r="AG53" s="42"/>
      <c r="AH53" s="42"/>
      <c r="AI53" s="43"/>
      <c r="AJ53" s="42"/>
      <c r="AK53" s="42"/>
      <c r="AL53" s="43"/>
      <c r="AM53" s="42"/>
      <c r="AN53" s="42"/>
      <c r="AO53" s="43"/>
      <c r="AP53" s="42"/>
      <c r="AQ53" s="42"/>
      <c r="AR53" s="43"/>
      <c r="AS53" s="42"/>
      <c r="AT53" s="42"/>
      <c r="AU53" s="43"/>
      <c r="AV53" s="42"/>
      <c r="AW53" s="42"/>
      <c r="AX53" s="43"/>
      <c r="AY53" s="42"/>
      <c r="AZ53" s="42"/>
      <c r="BA53" s="43"/>
      <c r="BB53" s="42"/>
      <c r="BC53" s="42"/>
      <c r="BD53" s="43"/>
      <c r="BE53" s="42"/>
      <c r="BF53" s="42"/>
      <c r="BG53" s="43"/>
      <c r="BH53" s="42"/>
      <c r="BI53" s="42"/>
      <c r="BJ53" s="43"/>
      <c r="BK53" s="42"/>
      <c r="BL53" s="42"/>
      <c r="BM53" s="43"/>
      <c r="BN53" s="42"/>
      <c r="BO53" s="42"/>
      <c r="BP53" s="43"/>
      <c r="BQ53" s="42"/>
      <c r="BR53" s="42"/>
      <c r="BS53" s="43"/>
      <c r="BT53" s="42"/>
      <c r="BU53" s="42"/>
      <c r="BV53" s="43"/>
      <c r="BW53" s="42"/>
      <c r="BX53" s="42"/>
      <c r="BY53" s="43"/>
      <c r="BZ53" s="42"/>
      <c r="CA53" s="42"/>
      <c r="CB53" s="43"/>
      <c r="CC53" s="42"/>
      <c r="CD53" s="42"/>
      <c r="CE53" s="43"/>
      <c r="CF53" s="42"/>
      <c r="CG53" s="42"/>
      <c r="CH53" s="43"/>
      <c r="CI53" s="42"/>
      <c r="CJ53" s="42"/>
      <c r="CK53" s="43"/>
      <c r="CL53" s="42"/>
      <c r="CM53" s="42"/>
      <c r="CN53" s="43"/>
      <c r="CO53" s="42"/>
      <c r="CP53" s="42"/>
      <c r="CQ53" s="43"/>
      <c r="CR53" s="42"/>
      <c r="CS53" s="42"/>
      <c r="CT53" s="43"/>
      <c r="CU53" s="42"/>
      <c r="CV53" s="42"/>
      <c r="CW53" s="43"/>
      <c r="CX53" s="42"/>
      <c r="CY53" s="42"/>
      <c r="CZ53" s="43"/>
      <c r="DA53" s="42"/>
      <c r="DB53" s="42"/>
      <c r="DC53" s="43"/>
      <c r="DD53" s="42"/>
      <c r="DE53" s="42"/>
      <c r="DF53" s="43"/>
      <c r="DG53" s="42"/>
      <c r="DH53" s="42"/>
      <c r="DI53" s="43"/>
      <c r="DJ53" s="42"/>
      <c r="DK53" s="42"/>
      <c r="DL53" s="43"/>
      <c r="DM53" s="42"/>
      <c r="DN53" s="42"/>
      <c r="DO53" s="43"/>
      <c r="DP53" s="42"/>
      <c r="DQ53" s="42"/>
      <c r="DR53" s="43"/>
      <c r="DS53" s="42"/>
      <c r="DT53" s="42"/>
      <c r="DU53" s="43"/>
      <c r="DV53" s="42"/>
      <c r="DW53" s="42"/>
      <c r="DX53" s="42"/>
    </row>
    <row r="54" spans="1:129">
      <c r="A54" s="42"/>
      <c r="B54" s="42"/>
      <c r="C54" s="42"/>
      <c r="D54" s="42"/>
      <c r="E54" s="42"/>
    </row>
    <row r="55" spans="1:129">
      <c r="A55" s="42"/>
      <c r="B55" s="42"/>
      <c r="C55" s="42"/>
      <c r="D55" s="42"/>
      <c r="E55" s="42"/>
    </row>
  </sheetData>
  <autoFilter ref="A3:DY45"/>
  <mergeCells count="80">
    <mergeCell ref="CB47:CC47"/>
    <mergeCell ref="CB1:CD1"/>
    <mergeCell ref="DR1:DT1"/>
    <mergeCell ref="DR47:DS47"/>
    <mergeCell ref="CK1:CM1"/>
    <mergeCell ref="CK47:CL47"/>
    <mergeCell ref="CN47:CO47"/>
    <mergeCell ref="CN1:CP1"/>
    <mergeCell ref="CQ1:CS1"/>
    <mergeCell ref="CQ47:CR47"/>
    <mergeCell ref="DU1:DW1"/>
    <mergeCell ref="DU47:DV47"/>
    <mergeCell ref="AC47:AD47"/>
    <mergeCell ref="Z47:AA47"/>
    <mergeCell ref="DI1:DK1"/>
    <mergeCell ref="DI47:DJ47"/>
    <mergeCell ref="DL1:DN1"/>
    <mergeCell ref="DL47:DM47"/>
    <mergeCell ref="DO1:DQ1"/>
    <mergeCell ref="DO47:DP47"/>
    <mergeCell ref="CT1:CV1"/>
    <mergeCell ref="CT47:CU47"/>
    <mergeCell ref="CW1:CY1"/>
    <mergeCell ref="CW47:CX47"/>
    <mergeCell ref="DF1:DH1"/>
    <mergeCell ref="DF47:DG47"/>
    <mergeCell ref="H1:J1"/>
    <mergeCell ref="K1:M1"/>
    <mergeCell ref="AO47:AP47"/>
    <mergeCell ref="BP47:BQ47"/>
    <mergeCell ref="BD47:BE47"/>
    <mergeCell ref="AR47:AS47"/>
    <mergeCell ref="AU47:AV47"/>
    <mergeCell ref="BG47:BH47"/>
    <mergeCell ref="BJ47:BK47"/>
    <mergeCell ref="AX47:AY47"/>
    <mergeCell ref="BA47:BB47"/>
    <mergeCell ref="BM47:BN47"/>
    <mergeCell ref="W47:X47"/>
    <mergeCell ref="AC1:AE1"/>
    <mergeCell ref="Z1:AB1"/>
    <mergeCell ref="W1:Y1"/>
    <mergeCell ref="H47:I47"/>
    <mergeCell ref="K47:L47"/>
    <mergeCell ref="N47:O47"/>
    <mergeCell ref="Q47:R47"/>
    <mergeCell ref="AF47:AG47"/>
    <mergeCell ref="T47:U47"/>
    <mergeCell ref="DC1:DE1"/>
    <mergeCell ref="DC47:DD47"/>
    <mergeCell ref="T1:V1"/>
    <mergeCell ref="BP1:BR1"/>
    <mergeCell ref="BD1:BF1"/>
    <mergeCell ref="AR1:AT1"/>
    <mergeCell ref="AU1:AW1"/>
    <mergeCell ref="BG1:BI1"/>
    <mergeCell ref="BJ1:BL1"/>
    <mergeCell ref="AX1:AZ1"/>
    <mergeCell ref="BA1:BC1"/>
    <mergeCell ref="BM1:BO1"/>
    <mergeCell ref="AI47:AJ47"/>
    <mergeCell ref="AL47:AM47"/>
    <mergeCell ref="AI1:AK1"/>
    <mergeCell ref="AL1:AN1"/>
    <mergeCell ref="N1:P1"/>
    <mergeCell ref="Q1:S1"/>
    <mergeCell ref="AF1:AH1"/>
    <mergeCell ref="CZ1:DB1"/>
    <mergeCell ref="CZ47:DA47"/>
    <mergeCell ref="AO1:AQ1"/>
    <mergeCell ref="CH1:CJ1"/>
    <mergeCell ref="CH47:CI47"/>
    <mergeCell ref="BS1:BU1"/>
    <mergeCell ref="BS47:BT47"/>
    <mergeCell ref="BV1:BX1"/>
    <mergeCell ref="BV47:BW47"/>
    <mergeCell ref="BY1:CA1"/>
    <mergeCell ref="BY47:BZ47"/>
    <mergeCell ref="CE1:CG1"/>
    <mergeCell ref="CE47:CF47"/>
  </mergeCells>
  <phoneticPr fontId="2" type="noConversion"/>
  <conditionalFormatting sqref="H1:DW1">
    <cfRule type="expression" dxfId="47" priority="4" stopIfTrue="1">
      <formula>H$1=TODAY()+DailyScrumDateModifier</formula>
    </cfRule>
    <cfRule type="expression" dxfId="46" priority="4" stopIfTrue="1">
      <formula>H$1=TODAY()</formula>
    </cfRule>
  </conditionalFormatting>
  <conditionalFormatting sqref="G51">
    <cfRule type="cellIs" dxfId="45" priority="9" stopIfTrue="1" operator="lessThan">
      <formula>A51*0.75</formula>
    </cfRule>
    <cfRule type="cellIs" dxfId="44" priority="9" stopIfTrue="1" operator="between">
      <formula>A51*0.75</formula>
      <formula>#REF!</formula>
    </cfRule>
    <cfRule type="cellIs" dxfId="43" priority="9" stopIfTrue="1" operator="greaterThan">
      <formula>A51</formula>
    </cfRule>
  </conditionalFormatting>
  <conditionalFormatting sqref="H2:H3 DU2:DU3 DL2:DL3 DO2:DO3 N2:N3 Q2:Q3 T2:T3 W2:W3 Z2:Z3 AC2:AC3 AF2:AF3 AI2:AI3 AL2:AL3 AO2:AO3 AR2:AR3 AU2:AU3 AX2:AX3 BA2:BA3 BD2:BD3 BG2:BG3 BJ2:BJ3 BM2:BM3 BP2:BP3 BS2:BS3 BV2:BV3 BY2:BY3 CB2:CB3 CE2:CE3 CH2:CH3 CK2:CK3 CN2:CN3 CQ2:CQ3 CT2:CT3 CW2:CW3 CZ2:CZ3 DC2:DC3 DF2:DF3 DI2:DI3 DR2:DR3 K2:K3">
    <cfRule type="expression" dxfId="42" priority="1" stopIfTrue="1">
      <formula>H$1=TODAY()+DailyScrumDateModifier</formula>
    </cfRule>
  </conditionalFormatting>
  <conditionalFormatting sqref="I2:I3 O2:O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L2:L3">
    <cfRule type="expression" dxfId="41" priority="2" stopIfTrue="1">
      <formula>H$1=TODAY()+DailyScrumDateModifier</formula>
    </cfRule>
  </conditionalFormatting>
  <conditionalFormatting sqref="J2:J3 P2:P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M2:M3">
    <cfRule type="expression" dxfId="40" priority="3" stopIfTrue="1">
      <formula>H$1=TODAY()+DailyScrumDateModifier</formula>
    </cfRule>
  </conditionalFormatting>
  <conditionalFormatting sqref="H52:I53 K52:L53">
    <cfRule type="expression" dxfId="39" priority="6" stopIfTrue="1">
      <formula>"I1=TODAY()"</formula>
    </cfRule>
  </conditionalFormatting>
  <conditionalFormatting sqref="E47">
    <cfRule type="cellIs" dxfId="38" priority="7" stopIfTrue="1" operator="equal">
      <formula>"Complete"</formula>
    </cfRule>
    <cfRule type="cellIs" dxfId="37" priority="7" stopIfTrue="1" operator="equal">
      <formula>"In Progress"</formula>
    </cfRule>
  </conditionalFormatting>
  <conditionalFormatting sqref="CT4:CT45 CW4:CW45 CZ4:CZ45 DC4:DC45 DF4:DF45 DI4:DI45 DL4:DL45 DO4:DO45 DR4:DR45 DU4:DU45 N4:N45 K4:K45 CH4:CH45 T4:T45 W4:W45 Z4:Z45 AC4:AC45 AF4:AF45 AI4:AI45 AL4:AL45 AO4:AO45 AR4:AR45 AU4:AU45 AX4:AX45 BA4:BA45 BD4:BD45 BG4:BG45 BJ4:BJ45 BM4:BM45 BP4:BP45 BS4:BS45 BV4:BV45 BY4:BY45 CB4:CB45 CE4:CE45 Q4:Q45 CK4:CK45 CN4:CN45 CQ4:CQ45 H4:H45">
    <cfRule type="expression" dxfId="36" priority="12" stopIfTrue="1">
      <formula>H$1=TODAY()+DailyScrumDateModifier</formula>
    </cfRule>
    <cfRule type="expression" dxfId="35" priority="12" stopIfTrue="1">
      <formula>MOD(ROW(),2)</formula>
    </cfRule>
  </conditionalFormatting>
  <conditionalFormatting sqref="CU4:CU45 CX4:CX45 DA4:DA45 DD4:DD45 DG4:DG45 DJ4:DJ45 DM4:DM45 DP4:DP45 DS4:DS45 DV4:DV45 BT4:BT45 O4:O45 CI4:CI45 U4:U45 X4:X45 AA4:AA45 AD4:AD45 AG4:AG45 AJ4:AJ45 AM4:AM45 AP4:AP45 AS4:AS45 AV4:AV45 AY4:AY45 BB4:BB45 BE4:BE45 BH4:BH45 BK4:BK45 BN4:BN45 BQ4:BQ45 L4:L45 BW4:BW45 BZ4:BZ45 CC4:CC45 CF4:CF45 R4:R45 CL4:CL45 CO4:CO45 CR4:CR45 I4:I45">
    <cfRule type="expression" dxfId="34" priority="14" stopIfTrue="1">
      <formula>H$1=TODAY()+DailyScrumDateModifier</formula>
    </cfRule>
    <cfRule type="expression" dxfId="33" priority="14" stopIfTrue="1">
      <formula>MOD(ROW(),2)</formula>
    </cfRule>
  </conditionalFormatting>
  <conditionalFormatting sqref="DY4:DY46 A4:C45 F4:G45">
    <cfRule type="expression" dxfId="32" priority="16" stopIfTrue="1">
      <formula>MOD(ROW(),2)</formula>
    </cfRule>
  </conditionalFormatting>
  <conditionalFormatting sqref="DW4:DW45 DT4:DT45 DQ4:DQ45 DN4:DN45 DK4:DK45 DH4:DH45 DE4:DE45 DB4:DB45 CY4:CY45 CV4:CV45 V4:V45 S4:S45 P4:P45 M4:M45 CS4:CS45 CP4:CP45 CM4:CM45 CJ4:CJ45 CG4:CG45 CD4:CD45 CA4:CA45 BX4:BX45 BU4:BU45 BR4:BR45 BO4:BO45 BL4:BL45 BI4:BI45 BF4:BF45 BC4:BC45 AZ4:AZ45 AW4:AW45 AT4:AT45 AQ4:AQ45 AN4:AN45 AK4:AK45 AH4:AH45 AE4:AE45 AB4:AB45 Y4:Y45 J4:J45">
    <cfRule type="cellIs" dxfId="31" priority="17" stopIfTrue="1" operator="equal">
      <formula>"Pending"</formula>
    </cfRule>
    <cfRule type="cellIs" dxfId="30" priority="17" stopIfTrue="1" operator="equal">
      <formula>"In Progress"</formula>
    </cfRule>
    <cfRule type="cellIs" dxfId="29" priority="17" stopIfTrue="1" operator="equal">
      <formula>"Complete"</formula>
    </cfRule>
  </conditionalFormatting>
  <conditionalFormatting sqref="E4:E45">
    <cfRule type="cellIs" dxfId="28" priority="20" stopIfTrue="1" operator="equal">
      <formula>"Complete"</formula>
    </cfRule>
    <cfRule type="cellIs" dxfId="27" priority="20" stopIfTrue="1" operator="equal">
      <formula>"In Progress"</formula>
    </cfRule>
    <cfRule type="cellIs" dxfId="26" priority="20" stopIfTrue="1" operator="equal">
      <formula>"Pending"</formula>
    </cfRule>
  </conditionalFormatting>
  <dataValidations count="1">
    <dataValidation type="list" allowBlank="1" showInputMessage="1" showErrorMessage="1" sqref="D4:D45">
      <formula1>Members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5" r:id="rId3" name="BtnInsertNewLine"/>
    <control shapeId="6274" r:id="rId4" name="BtnInsertNewLineAt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R51"/>
  <sheetViews>
    <sheetView workbookViewId="0">
      <selection activeCell="N22" sqref="N22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73"/>
    </row>
    <row r="19" spans="1:44">
      <c r="A19" s="174" t="str">
        <f>IF(SkipWeekends, "Working Day", "Calendar Day")</f>
        <v>Calendar Day</v>
      </c>
      <c r="B19" s="175"/>
      <c r="C19" s="176"/>
      <c r="D19" s="177"/>
      <c r="E19" s="176">
        <v>1</v>
      </c>
      <c r="F19" s="176">
        <v>2</v>
      </c>
      <c r="G19" s="176">
        <v>3</v>
      </c>
      <c r="H19" s="176">
        <v>4</v>
      </c>
      <c r="I19" s="176">
        <v>5</v>
      </c>
      <c r="J19" s="176">
        <v>6</v>
      </c>
      <c r="K19" s="176">
        <v>7</v>
      </c>
      <c r="L19" s="176">
        <v>8</v>
      </c>
      <c r="M19" s="176">
        <v>9</v>
      </c>
      <c r="N19" s="176">
        <v>10</v>
      </c>
      <c r="O19" s="176">
        <v>11</v>
      </c>
      <c r="P19" s="176">
        <v>12</v>
      </c>
      <c r="Q19" s="176">
        <v>13</v>
      </c>
      <c r="R19" s="176">
        <v>14</v>
      </c>
      <c r="S19" s="176">
        <v>15</v>
      </c>
      <c r="T19" s="176">
        <v>16</v>
      </c>
      <c r="U19" s="176">
        <v>17</v>
      </c>
      <c r="V19" s="176">
        <v>18</v>
      </c>
      <c r="W19" s="176">
        <v>19</v>
      </c>
      <c r="X19" s="176">
        <v>20</v>
      </c>
      <c r="Y19" s="176">
        <v>21</v>
      </c>
      <c r="Z19" s="176">
        <v>22</v>
      </c>
      <c r="AA19" s="176">
        <v>23</v>
      </c>
      <c r="AB19" s="176">
        <v>24</v>
      </c>
      <c r="AC19" s="176">
        <v>25</v>
      </c>
      <c r="AD19" s="176">
        <v>26</v>
      </c>
      <c r="AE19" s="176">
        <v>27</v>
      </c>
      <c r="AF19" s="176">
        <v>28</v>
      </c>
      <c r="AG19" s="176">
        <v>29</v>
      </c>
      <c r="AH19" s="177">
        <v>30</v>
      </c>
      <c r="AI19" s="178">
        <v>31</v>
      </c>
      <c r="AJ19" s="178">
        <v>32</v>
      </c>
      <c r="AK19" s="178">
        <v>33</v>
      </c>
      <c r="AL19" s="178">
        <v>34</v>
      </c>
      <c r="AM19" s="178">
        <v>35</v>
      </c>
      <c r="AN19" s="178">
        <v>36</v>
      </c>
      <c r="AO19" s="178">
        <v>37</v>
      </c>
      <c r="AP19" s="178">
        <v>38</v>
      </c>
      <c r="AQ19" s="178">
        <v>39</v>
      </c>
      <c r="AR19" s="178">
        <v>40</v>
      </c>
    </row>
    <row r="20" spans="1:44">
      <c r="A20" s="174" t="s">
        <v>22</v>
      </c>
      <c r="B20" s="175"/>
      <c r="C20" s="176"/>
      <c r="D20" s="177"/>
      <c r="E20" s="179">
        <f t="shared" ref="E20:AR20" si="0">INDEX(SprintDates,1,(E19-1)*BurndownColumns+1)</f>
        <v>39314</v>
      </c>
      <c r="F20" s="179">
        <f t="shared" si="0"/>
        <v>39315</v>
      </c>
      <c r="G20" s="179">
        <f t="shared" si="0"/>
        <v>39316</v>
      </c>
      <c r="H20" s="179">
        <f t="shared" si="0"/>
        <v>39317</v>
      </c>
      <c r="I20" s="179">
        <f t="shared" si="0"/>
        <v>39318</v>
      </c>
      <c r="J20" s="179">
        <f t="shared" si="0"/>
        <v>39319</v>
      </c>
      <c r="K20" s="179">
        <f t="shared" si="0"/>
        <v>39320</v>
      </c>
      <c r="L20" s="179">
        <f t="shared" si="0"/>
        <v>39321</v>
      </c>
      <c r="M20" s="179">
        <f t="shared" si="0"/>
        <v>39322</v>
      </c>
      <c r="N20" s="179">
        <f t="shared" si="0"/>
        <v>39323</v>
      </c>
      <c r="O20" s="179">
        <f t="shared" si="0"/>
        <v>39324</v>
      </c>
      <c r="P20" s="179">
        <f t="shared" si="0"/>
        <v>39325</v>
      </c>
      <c r="Q20" s="179">
        <f t="shared" si="0"/>
        <v>39326</v>
      </c>
      <c r="R20" s="179">
        <f t="shared" si="0"/>
        <v>39327</v>
      </c>
      <c r="S20" s="179">
        <f t="shared" si="0"/>
        <v>39328</v>
      </c>
      <c r="T20" s="179">
        <f t="shared" si="0"/>
        <v>39329</v>
      </c>
      <c r="U20" s="179">
        <f t="shared" si="0"/>
        <v>39330</v>
      </c>
      <c r="V20" s="179">
        <f t="shared" si="0"/>
        <v>39331</v>
      </c>
      <c r="W20" s="179">
        <f t="shared" si="0"/>
        <v>39332</v>
      </c>
      <c r="X20" s="179">
        <f t="shared" si="0"/>
        <v>39333</v>
      </c>
      <c r="Y20" s="179">
        <f t="shared" si="0"/>
        <v>39334</v>
      </c>
      <c r="Z20" s="179">
        <f t="shared" si="0"/>
        <v>39335</v>
      </c>
      <c r="AA20" s="179">
        <f t="shared" si="0"/>
        <v>39336</v>
      </c>
      <c r="AB20" s="179">
        <f t="shared" si="0"/>
        <v>39337</v>
      </c>
      <c r="AC20" s="179">
        <f t="shared" si="0"/>
        <v>39338</v>
      </c>
      <c r="AD20" s="179">
        <f t="shared" si="0"/>
        <v>39339</v>
      </c>
      <c r="AE20" s="179">
        <f t="shared" si="0"/>
        <v>39340</v>
      </c>
      <c r="AF20" s="179">
        <f t="shared" si="0"/>
        <v>39341</v>
      </c>
      <c r="AG20" s="179">
        <f t="shared" si="0"/>
        <v>39342</v>
      </c>
      <c r="AH20" s="180">
        <f t="shared" si="0"/>
        <v>39343</v>
      </c>
      <c r="AI20" s="181">
        <f t="shared" si="0"/>
        <v>39344</v>
      </c>
      <c r="AJ20" s="181">
        <f t="shared" si="0"/>
        <v>39345</v>
      </c>
      <c r="AK20" s="181">
        <f t="shared" si="0"/>
        <v>39346</v>
      </c>
      <c r="AL20" s="181">
        <f t="shared" si="0"/>
        <v>39347</v>
      </c>
      <c r="AM20" s="181">
        <f t="shared" si="0"/>
        <v>39348</v>
      </c>
      <c r="AN20" s="181">
        <f t="shared" si="0"/>
        <v>39349</v>
      </c>
      <c r="AO20" s="181">
        <f t="shared" si="0"/>
        <v>39350</v>
      </c>
      <c r="AP20" s="181">
        <f t="shared" si="0"/>
        <v>39351</v>
      </c>
      <c r="AQ20" s="181">
        <f t="shared" si="0"/>
        <v>39352</v>
      </c>
      <c r="AR20" s="181">
        <f t="shared" si="0"/>
        <v>39353</v>
      </c>
    </row>
    <row r="21" spans="1:44">
      <c r="A21" s="174"/>
      <c r="B21" s="175"/>
      <c r="C21" s="176"/>
      <c r="D21" s="177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80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</row>
    <row r="22" spans="1:44">
      <c r="A22" s="174" t="s">
        <v>9</v>
      </c>
      <c r="B22" s="176"/>
      <c r="C22" s="182"/>
      <c r="D22" s="183"/>
      <c r="E22" s="176">
        <f t="shared" ref="E22:AR22" ca="1" si="1">IF(E20&gt;TODAY(), #N/A, SUM(INDEX(Burndown,,(E19-1)*BurndownColumns+HoursLeftColumn)))</f>
        <v>0</v>
      </c>
      <c r="F22" s="176">
        <f t="shared" ca="1" si="1"/>
        <v>0</v>
      </c>
      <c r="G22" s="176">
        <f t="shared" ca="1" si="1"/>
        <v>0</v>
      </c>
      <c r="H22" s="176">
        <f t="shared" ca="1" si="1"/>
        <v>0</v>
      </c>
      <c r="I22" s="176">
        <f t="shared" ca="1" si="1"/>
        <v>0</v>
      </c>
      <c r="J22" s="176">
        <f t="shared" ca="1" si="1"/>
        <v>0</v>
      </c>
      <c r="K22" s="176">
        <f t="shared" ca="1" si="1"/>
        <v>0</v>
      </c>
      <c r="L22" s="176">
        <f t="shared" ca="1" si="1"/>
        <v>0</v>
      </c>
      <c r="M22" s="176">
        <f t="shared" ca="1" si="1"/>
        <v>0</v>
      </c>
      <c r="N22" s="176">
        <f t="shared" ca="1" si="1"/>
        <v>0</v>
      </c>
      <c r="O22" s="176">
        <f t="shared" ca="1" si="1"/>
        <v>0</v>
      </c>
      <c r="P22" s="176">
        <f t="shared" ca="1" si="1"/>
        <v>0</v>
      </c>
      <c r="Q22" s="176">
        <f t="shared" ca="1" si="1"/>
        <v>0</v>
      </c>
      <c r="R22" s="176">
        <f t="shared" ca="1" si="1"/>
        <v>0</v>
      </c>
      <c r="S22" s="176">
        <f t="shared" ca="1" si="1"/>
        <v>0</v>
      </c>
      <c r="T22" s="176">
        <f t="shared" ca="1" si="1"/>
        <v>0</v>
      </c>
      <c r="U22" s="176">
        <f t="shared" ca="1" si="1"/>
        <v>0</v>
      </c>
      <c r="V22" s="176">
        <f t="shared" ca="1" si="1"/>
        <v>0</v>
      </c>
      <c r="W22" s="176">
        <f t="shared" ca="1" si="1"/>
        <v>0</v>
      </c>
      <c r="X22" s="176">
        <f t="shared" ca="1" si="1"/>
        <v>0</v>
      </c>
      <c r="Y22" s="176">
        <f t="shared" ca="1" si="1"/>
        <v>0</v>
      </c>
      <c r="Z22" s="176">
        <f t="shared" ca="1" si="1"/>
        <v>0</v>
      </c>
      <c r="AA22" s="176">
        <f t="shared" ca="1" si="1"/>
        <v>0</v>
      </c>
      <c r="AB22" s="176">
        <f t="shared" ca="1" si="1"/>
        <v>0</v>
      </c>
      <c r="AC22" s="176">
        <f t="shared" ca="1" si="1"/>
        <v>0</v>
      </c>
      <c r="AD22" s="176">
        <f t="shared" ca="1" si="1"/>
        <v>0</v>
      </c>
      <c r="AE22" s="176">
        <f t="shared" ca="1" si="1"/>
        <v>0</v>
      </c>
      <c r="AF22" s="176">
        <f t="shared" ca="1" si="1"/>
        <v>0</v>
      </c>
      <c r="AG22" s="176">
        <f t="shared" ca="1" si="1"/>
        <v>0</v>
      </c>
      <c r="AH22" s="177">
        <f t="shared" ca="1" si="1"/>
        <v>0</v>
      </c>
      <c r="AI22" s="178">
        <f t="shared" ca="1" si="1"/>
        <v>0</v>
      </c>
      <c r="AJ22" s="178">
        <f t="shared" ca="1" si="1"/>
        <v>0</v>
      </c>
      <c r="AK22" s="178">
        <f t="shared" ca="1" si="1"/>
        <v>0</v>
      </c>
      <c r="AL22" s="178">
        <f t="shared" ca="1" si="1"/>
        <v>0</v>
      </c>
      <c r="AM22" s="178">
        <f t="shared" ca="1" si="1"/>
        <v>0</v>
      </c>
      <c r="AN22" s="178">
        <f t="shared" ca="1" si="1"/>
        <v>0</v>
      </c>
      <c r="AO22" s="178">
        <f t="shared" ca="1" si="1"/>
        <v>0</v>
      </c>
      <c r="AP22" s="178">
        <f t="shared" ca="1" si="1"/>
        <v>0</v>
      </c>
      <c r="AQ22" s="178">
        <f t="shared" ca="1" si="1"/>
        <v>0</v>
      </c>
      <c r="AR22" s="178">
        <f t="shared" ca="1" si="1"/>
        <v>0</v>
      </c>
    </row>
    <row r="23" spans="1:44">
      <c r="A23" s="184" t="s">
        <v>21</v>
      </c>
      <c r="B23" s="182"/>
      <c r="C23" s="182"/>
      <c r="D23" s="183"/>
      <c r="E23" s="177">
        <f t="shared" ref="E23:AR23" ca="1" si="2">IF(E20&gt;TODAY(), #N/A, SUM(INDEX(Burndown,,(E19-1)*BurndownColumns+HoursSpentColumn)))</f>
        <v>0</v>
      </c>
      <c r="F23" s="177">
        <f t="shared" ca="1" si="2"/>
        <v>0</v>
      </c>
      <c r="G23" s="177">
        <f t="shared" ca="1" si="2"/>
        <v>0</v>
      </c>
      <c r="H23" s="177">
        <f t="shared" ca="1" si="2"/>
        <v>0</v>
      </c>
      <c r="I23" s="177">
        <f t="shared" ca="1" si="2"/>
        <v>0</v>
      </c>
      <c r="J23" s="177">
        <f t="shared" ca="1" si="2"/>
        <v>0</v>
      </c>
      <c r="K23" s="177">
        <f t="shared" ca="1" si="2"/>
        <v>0</v>
      </c>
      <c r="L23" s="177">
        <f t="shared" ca="1" si="2"/>
        <v>0</v>
      </c>
      <c r="M23" s="177">
        <f t="shared" ca="1" si="2"/>
        <v>0</v>
      </c>
      <c r="N23" s="177">
        <f t="shared" ca="1" si="2"/>
        <v>0</v>
      </c>
      <c r="O23" s="177">
        <f t="shared" ca="1" si="2"/>
        <v>0</v>
      </c>
      <c r="P23" s="177">
        <f t="shared" ca="1" si="2"/>
        <v>0</v>
      </c>
      <c r="Q23" s="177">
        <f t="shared" ca="1" si="2"/>
        <v>0</v>
      </c>
      <c r="R23" s="177">
        <f t="shared" ca="1" si="2"/>
        <v>0</v>
      </c>
      <c r="S23" s="177">
        <f t="shared" ca="1" si="2"/>
        <v>0</v>
      </c>
      <c r="T23" s="177">
        <f t="shared" ca="1" si="2"/>
        <v>0</v>
      </c>
      <c r="U23" s="177">
        <f t="shared" ca="1" si="2"/>
        <v>0</v>
      </c>
      <c r="V23" s="177">
        <f t="shared" ca="1" si="2"/>
        <v>0</v>
      </c>
      <c r="W23" s="177">
        <f t="shared" ca="1" si="2"/>
        <v>0</v>
      </c>
      <c r="X23" s="177">
        <f t="shared" ca="1" si="2"/>
        <v>0</v>
      </c>
      <c r="Y23" s="177">
        <f t="shared" ca="1" si="2"/>
        <v>0</v>
      </c>
      <c r="Z23" s="177">
        <f t="shared" ca="1" si="2"/>
        <v>0</v>
      </c>
      <c r="AA23" s="177">
        <f t="shared" ca="1" si="2"/>
        <v>0</v>
      </c>
      <c r="AB23" s="177">
        <f t="shared" ca="1" si="2"/>
        <v>0</v>
      </c>
      <c r="AC23" s="177">
        <f t="shared" ca="1" si="2"/>
        <v>0</v>
      </c>
      <c r="AD23" s="177">
        <f t="shared" ca="1" si="2"/>
        <v>0</v>
      </c>
      <c r="AE23" s="177">
        <f t="shared" ca="1" si="2"/>
        <v>0</v>
      </c>
      <c r="AF23" s="177">
        <f t="shared" ca="1" si="2"/>
        <v>0</v>
      </c>
      <c r="AG23" s="177">
        <f t="shared" ca="1" si="2"/>
        <v>0</v>
      </c>
      <c r="AH23" s="177">
        <f t="shared" ca="1" si="2"/>
        <v>0</v>
      </c>
      <c r="AI23" s="178">
        <f t="shared" ca="1" si="2"/>
        <v>0</v>
      </c>
      <c r="AJ23" s="178">
        <f t="shared" ca="1" si="2"/>
        <v>0</v>
      </c>
      <c r="AK23" s="178">
        <f t="shared" ca="1" si="2"/>
        <v>0</v>
      </c>
      <c r="AL23" s="178">
        <f t="shared" ca="1" si="2"/>
        <v>0</v>
      </c>
      <c r="AM23" s="178">
        <f t="shared" ca="1" si="2"/>
        <v>0</v>
      </c>
      <c r="AN23" s="178">
        <f t="shared" ca="1" si="2"/>
        <v>0</v>
      </c>
      <c r="AO23" s="178">
        <f t="shared" ca="1" si="2"/>
        <v>0</v>
      </c>
      <c r="AP23" s="178">
        <f t="shared" ca="1" si="2"/>
        <v>0</v>
      </c>
      <c r="AQ23" s="178">
        <f t="shared" ca="1" si="2"/>
        <v>0</v>
      </c>
      <c r="AR23" s="178">
        <f t="shared" ca="1" si="2"/>
        <v>0</v>
      </c>
    </row>
    <row r="24" spans="1:44">
      <c r="A24" s="184" t="s">
        <v>4</v>
      </c>
      <c r="B24" s="182"/>
      <c r="C24" s="182"/>
      <c r="D24" s="183"/>
      <c r="E24" s="177">
        <f ca="1">IF(E20&gt;TODAY(), #N/A, SUM($E23:E23))</f>
        <v>0</v>
      </c>
      <c r="F24" s="177">
        <f ca="1">IF(F20&gt;TODAY(), #N/A, SUM($E23:F23))</f>
        <v>0</v>
      </c>
      <c r="G24" s="177">
        <f ca="1">IF(G20&gt;TODAY(), #N/A, SUM($E23:G23))</f>
        <v>0</v>
      </c>
      <c r="H24" s="177">
        <f ca="1">IF(H20&gt;TODAY(), #N/A, SUM($E23:H23))</f>
        <v>0</v>
      </c>
      <c r="I24" s="177">
        <f ca="1">IF(I20&gt;TODAY(), #N/A, SUM($E23:I23))</f>
        <v>0</v>
      </c>
      <c r="J24" s="177">
        <f ca="1">IF(J20&gt;TODAY(), #N/A, SUM($E23:J23))</f>
        <v>0</v>
      </c>
      <c r="K24" s="177">
        <f ca="1">IF(K20&gt;TODAY(), #N/A, SUM($E23:K23))</f>
        <v>0</v>
      </c>
      <c r="L24" s="177">
        <f ca="1">IF(L20&gt;TODAY(), #N/A, SUM($E23:L23))</f>
        <v>0</v>
      </c>
      <c r="M24" s="177">
        <f ca="1">IF(M20&gt;TODAY(), #N/A, SUM($E23:M23))</f>
        <v>0</v>
      </c>
      <c r="N24" s="177">
        <f ca="1">IF(N20&gt;TODAY(), #N/A, SUM($E23:N23))</f>
        <v>0</v>
      </c>
      <c r="O24" s="177">
        <f ca="1">IF(O20&gt;TODAY(), #N/A, SUM($E23:O23))</f>
        <v>0</v>
      </c>
      <c r="P24" s="177">
        <f ca="1">IF(P20&gt;TODAY(), #N/A, SUM($E23:P23))</f>
        <v>0</v>
      </c>
      <c r="Q24" s="177">
        <f ca="1">IF(Q20&gt;TODAY(), #N/A, SUM($E23:Q23))</f>
        <v>0</v>
      </c>
      <c r="R24" s="177">
        <f ca="1">IF(R20&gt;TODAY(), #N/A, SUM($E23:R23))</f>
        <v>0</v>
      </c>
      <c r="S24" s="177">
        <f ca="1">IF(S20&gt;TODAY(), #N/A, SUM($E23:S23))</f>
        <v>0</v>
      </c>
      <c r="T24" s="177">
        <f ca="1">IF(T20&gt;TODAY(), #N/A, SUM($E23:T23))</f>
        <v>0</v>
      </c>
      <c r="U24" s="177">
        <f ca="1">IF(U20&gt;TODAY(), #N/A, SUM($E23:U23))</f>
        <v>0</v>
      </c>
      <c r="V24" s="177">
        <f ca="1">IF(V20&gt;TODAY(), #N/A, SUM($E23:V23))</f>
        <v>0</v>
      </c>
      <c r="W24" s="177">
        <f ca="1">IF(W20&gt;TODAY(), #N/A, SUM($E23:W23))</f>
        <v>0</v>
      </c>
      <c r="X24" s="177">
        <f ca="1">IF(X20&gt;TODAY(), #N/A, SUM($E23:X23))</f>
        <v>0</v>
      </c>
      <c r="Y24" s="177">
        <f ca="1">IF(Y20&gt;TODAY(), #N/A, SUM($E23:Y23))</f>
        <v>0</v>
      </c>
      <c r="Z24" s="177">
        <f ca="1">IF(Z20&gt;TODAY(), #N/A, SUM($E23:Z23))</f>
        <v>0</v>
      </c>
      <c r="AA24" s="177">
        <f ca="1">IF(AA20&gt;TODAY(), #N/A, SUM($E23:AA23))</f>
        <v>0</v>
      </c>
      <c r="AB24" s="177">
        <f ca="1">IF(AB20&gt;TODAY(), #N/A, SUM($E23:AB23))</f>
        <v>0</v>
      </c>
      <c r="AC24" s="177">
        <f ca="1">IF(AC20&gt;TODAY(), #N/A, SUM($E23:AC23))</f>
        <v>0</v>
      </c>
      <c r="AD24" s="177">
        <f ca="1">IF(AD20&gt;TODAY(), #N/A, SUM($E23:AD23))</f>
        <v>0</v>
      </c>
      <c r="AE24" s="177">
        <f ca="1">IF(AE20&gt;TODAY(), #N/A, SUM($E23:AE23))</f>
        <v>0</v>
      </c>
      <c r="AF24" s="177">
        <f ca="1">IF(AF20&gt;TODAY(), #N/A, SUM($E23:AF23))</f>
        <v>0</v>
      </c>
      <c r="AG24" s="177">
        <f ca="1">IF(AG20&gt;TODAY(), #N/A, SUM($E23:AG23))</f>
        <v>0</v>
      </c>
      <c r="AH24" s="177">
        <f ca="1">IF(AH20&gt;TODAY(), #N/A, SUM($E23:AH23))</f>
        <v>0</v>
      </c>
      <c r="AI24" s="178">
        <f ca="1">IF(AI20&gt;TODAY(), #N/A, SUM($E23:AI23))</f>
        <v>0</v>
      </c>
      <c r="AJ24" s="178">
        <f ca="1">IF(AJ20&gt;TODAY(), #N/A, SUM($E23:AJ23))</f>
        <v>0</v>
      </c>
      <c r="AK24" s="178">
        <f ca="1">IF(AK20&gt;TODAY(), #N/A, SUM($E23:AK23))</f>
        <v>0</v>
      </c>
      <c r="AL24" s="178">
        <f ca="1">IF(AL20&gt;TODAY(), #N/A, SUM($E23:AL23))</f>
        <v>0</v>
      </c>
      <c r="AM24" s="178">
        <f ca="1">IF(AM20&gt;TODAY(), #N/A, SUM($E23:AM23))</f>
        <v>0</v>
      </c>
      <c r="AN24" s="178">
        <f ca="1">IF(AN20&gt;TODAY(), #N/A, SUM($E23:AN23))</f>
        <v>0</v>
      </c>
      <c r="AO24" s="178">
        <f ca="1">IF(AO20&gt;TODAY(), #N/A, SUM($E23:AO23))</f>
        <v>0</v>
      </c>
      <c r="AP24" s="178">
        <f ca="1">IF(AP20&gt;TODAY(), #N/A, SUM($E23:AP23))</f>
        <v>0</v>
      </c>
      <c r="AQ24" s="178">
        <f ca="1">IF(AQ20&gt;TODAY(), #N/A, SUM($E23:AQ23))</f>
        <v>0</v>
      </c>
      <c r="AR24" s="178">
        <f ca="1">IF(AR20&gt;TODAY(), #N/A, SUM($E23:AR23))</f>
        <v>0</v>
      </c>
    </row>
    <row r="25" spans="1:44">
      <c r="A25" s="184" t="s">
        <v>23</v>
      </c>
      <c r="B25" s="182"/>
      <c r="C25" s="182"/>
      <c r="D25" s="183"/>
      <c r="E25" s="177">
        <f t="shared" ref="E25:AR25" ca="1" si="3">IF(E20&gt;TODAY(), #N/A, E22+E24)</f>
        <v>0</v>
      </c>
      <c r="F25" s="177">
        <f t="shared" ca="1" si="3"/>
        <v>0</v>
      </c>
      <c r="G25" s="177">
        <f t="shared" ca="1" si="3"/>
        <v>0</v>
      </c>
      <c r="H25" s="177">
        <f t="shared" ca="1" si="3"/>
        <v>0</v>
      </c>
      <c r="I25" s="177">
        <f t="shared" ca="1" si="3"/>
        <v>0</v>
      </c>
      <c r="J25" s="177">
        <f t="shared" ca="1" si="3"/>
        <v>0</v>
      </c>
      <c r="K25" s="177">
        <f t="shared" ca="1" si="3"/>
        <v>0</v>
      </c>
      <c r="L25" s="177">
        <f t="shared" ca="1" si="3"/>
        <v>0</v>
      </c>
      <c r="M25" s="177">
        <f t="shared" ca="1" si="3"/>
        <v>0</v>
      </c>
      <c r="N25" s="177">
        <f t="shared" ca="1" si="3"/>
        <v>0</v>
      </c>
      <c r="O25" s="177">
        <f t="shared" ca="1" si="3"/>
        <v>0</v>
      </c>
      <c r="P25" s="177">
        <f t="shared" ca="1" si="3"/>
        <v>0</v>
      </c>
      <c r="Q25" s="177">
        <f t="shared" ca="1" si="3"/>
        <v>0</v>
      </c>
      <c r="R25" s="177">
        <f t="shared" ca="1" si="3"/>
        <v>0</v>
      </c>
      <c r="S25" s="177">
        <f t="shared" ca="1" si="3"/>
        <v>0</v>
      </c>
      <c r="T25" s="177">
        <f t="shared" ca="1" si="3"/>
        <v>0</v>
      </c>
      <c r="U25" s="177">
        <f t="shared" ca="1" si="3"/>
        <v>0</v>
      </c>
      <c r="V25" s="177">
        <f t="shared" ca="1" si="3"/>
        <v>0</v>
      </c>
      <c r="W25" s="177">
        <f t="shared" ca="1" si="3"/>
        <v>0</v>
      </c>
      <c r="X25" s="177">
        <f t="shared" ca="1" si="3"/>
        <v>0</v>
      </c>
      <c r="Y25" s="177">
        <f t="shared" ca="1" si="3"/>
        <v>0</v>
      </c>
      <c r="Z25" s="177">
        <f t="shared" ca="1" si="3"/>
        <v>0</v>
      </c>
      <c r="AA25" s="177">
        <f t="shared" ca="1" si="3"/>
        <v>0</v>
      </c>
      <c r="AB25" s="177">
        <f t="shared" ca="1" si="3"/>
        <v>0</v>
      </c>
      <c r="AC25" s="177">
        <f t="shared" ca="1" si="3"/>
        <v>0</v>
      </c>
      <c r="AD25" s="177">
        <f t="shared" ca="1" si="3"/>
        <v>0</v>
      </c>
      <c r="AE25" s="177">
        <f t="shared" ca="1" si="3"/>
        <v>0</v>
      </c>
      <c r="AF25" s="177">
        <f t="shared" ca="1" si="3"/>
        <v>0</v>
      </c>
      <c r="AG25" s="177">
        <f t="shared" ca="1" si="3"/>
        <v>0</v>
      </c>
      <c r="AH25" s="177">
        <f t="shared" ca="1" si="3"/>
        <v>0</v>
      </c>
      <c r="AI25" s="178">
        <f t="shared" ca="1" si="3"/>
        <v>0</v>
      </c>
      <c r="AJ25" s="178">
        <f t="shared" ca="1" si="3"/>
        <v>0</v>
      </c>
      <c r="AK25" s="178">
        <f t="shared" ca="1" si="3"/>
        <v>0</v>
      </c>
      <c r="AL25" s="178">
        <f t="shared" ca="1" si="3"/>
        <v>0</v>
      </c>
      <c r="AM25" s="178">
        <f t="shared" ca="1" si="3"/>
        <v>0</v>
      </c>
      <c r="AN25" s="178">
        <f t="shared" ca="1" si="3"/>
        <v>0</v>
      </c>
      <c r="AO25" s="178">
        <f t="shared" ca="1" si="3"/>
        <v>0</v>
      </c>
      <c r="AP25" s="178">
        <f t="shared" ca="1" si="3"/>
        <v>0</v>
      </c>
      <c r="AQ25" s="178">
        <f t="shared" ca="1" si="3"/>
        <v>0</v>
      </c>
      <c r="AR25" s="178">
        <f t="shared" ca="1" si="3"/>
        <v>0</v>
      </c>
    </row>
    <row r="26" spans="1:44">
      <c r="A26" s="184"/>
      <c r="B26" s="182"/>
      <c r="C26" s="182"/>
      <c r="D26" s="183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77"/>
      <c r="AI26" s="185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44">
      <c r="A27" s="174" t="s">
        <v>5</v>
      </c>
      <c r="B27" s="182"/>
      <c r="C27" s="176"/>
      <c r="D27" s="183"/>
      <c r="E27" s="20">
        <f t="shared" ref="E27:AR27" ca="1" si="4">IF(E20&gt;TODAY(), #N/A, E24/E19)</f>
        <v>0</v>
      </c>
      <c r="F27" s="20">
        <f t="shared" ca="1" si="4"/>
        <v>0</v>
      </c>
      <c r="G27" s="20">
        <f t="shared" ca="1" si="4"/>
        <v>0</v>
      </c>
      <c r="H27" s="20">
        <f t="shared" ca="1" si="4"/>
        <v>0</v>
      </c>
      <c r="I27" s="20">
        <f t="shared" ca="1" si="4"/>
        <v>0</v>
      </c>
      <c r="J27" s="20">
        <f t="shared" ca="1" si="4"/>
        <v>0</v>
      </c>
      <c r="K27" s="20">
        <f t="shared" ca="1" si="4"/>
        <v>0</v>
      </c>
      <c r="L27" s="20">
        <f t="shared" ca="1" si="4"/>
        <v>0</v>
      </c>
      <c r="M27" s="20">
        <f t="shared" ca="1" si="4"/>
        <v>0</v>
      </c>
      <c r="N27" s="20">
        <f t="shared" ca="1" si="4"/>
        <v>0</v>
      </c>
      <c r="O27" s="20">
        <f t="shared" ca="1" si="4"/>
        <v>0</v>
      </c>
      <c r="P27" s="20">
        <f t="shared" ca="1" si="4"/>
        <v>0</v>
      </c>
      <c r="Q27" s="20">
        <f t="shared" ca="1" si="4"/>
        <v>0</v>
      </c>
      <c r="R27" s="20">
        <f t="shared" ca="1" si="4"/>
        <v>0</v>
      </c>
      <c r="S27" s="20">
        <f t="shared" ca="1" si="4"/>
        <v>0</v>
      </c>
      <c r="T27" s="20">
        <f t="shared" ca="1" si="4"/>
        <v>0</v>
      </c>
      <c r="U27" s="20">
        <f t="shared" ca="1" si="4"/>
        <v>0</v>
      </c>
      <c r="V27" s="20">
        <f t="shared" ca="1" si="4"/>
        <v>0</v>
      </c>
      <c r="W27" s="20">
        <f t="shared" ca="1" si="4"/>
        <v>0</v>
      </c>
      <c r="X27" s="20">
        <f t="shared" ca="1" si="4"/>
        <v>0</v>
      </c>
      <c r="Y27" s="20">
        <f t="shared" ca="1" si="4"/>
        <v>0</v>
      </c>
      <c r="Z27" s="20">
        <f t="shared" ca="1" si="4"/>
        <v>0</v>
      </c>
      <c r="AA27" s="20">
        <f t="shared" ca="1" si="4"/>
        <v>0</v>
      </c>
      <c r="AB27" s="20">
        <f t="shared" ca="1" si="4"/>
        <v>0</v>
      </c>
      <c r="AC27" s="20">
        <f t="shared" ca="1" si="4"/>
        <v>0</v>
      </c>
      <c r="AD27" s="20">
        <f t="shared" ca="1" si="4"/>
        <v>0</v>
      </c>
      <c r="AE27" s="20">
        <f t="shared" ca="1" si="4"/>
        <v>0</v>
      </c>
      <c r="AF27" s="20">
        <f t="shared" ca="1" si="4"/>
        <v>0</v>
      </c>
      <c r="AG27" s="20">
        <f t="shared" ca="1" si="4"/>
        <v>0</v>
      </c>
      <c r="AH27" s="186">
        <f t="shared" ca="1" si="4"/>
        <v>0</v>
      </c>
      <c r="AI27" s="187">
        <f t="shared" ca="1" si="4"/>
        <v>0</v>
      </c>
      <c r="AJ27" s="187">
        <f t="shared" ca="1" si="4"/>
        <v>0</v>
      </c>
      <c r="AK27" s="187">
        <f t="shared" ca="1" si="4"/>
        <v>0</v>
      </c>
      <c r="AL27" s="187">
        <f t="shared" ca="1" si="4"/>
        <v>0</v>
      </c>
      <c r="AM27" s="187">
        <f t="shared" ca="1" si="4"/>
        <v>0</v>
      </c>
      <c r="AN27" s="187">
        <f t="shared" ca="1" si="4"/>
        <v>0</v>
      </c>
      <c r="AO27" s="187">
        <f t="shared" ca="1" si="4"/>
        <v>0</v>
      </c>
      <c r="AP27" s="187">
        <f t="shared" ca="1" si="4"/>
        <v>0</v>
      </c>
      <c r="AQ27" s="187">
        <f t="shared" ca="1" si="4"/>
        <v>0</v>
      </c>
      <c r="AR27" s="187">
        <f t="shared" ca="1" si="4"/>
        <v>0</v>
      </c>
    </row>
    <row r="28" spans="1:44">
      <c r="A28" s="184" t="s">
        <v>6</v>
      </c>
      <c r="B28" s="182"/>
      <c r="C28" s="182"/>
      <c r="D28" s="183"/>
      <c r="E28" s="188">
        <f t="shared" ref="E28:AR28" ca="1" si="5">IF(E20&gt;TODAY(), #N/A, IF(E27=0, SprintStart, E20 + (E22/E27)))</f>
        <v>39314</v>
      </c>
      <c r="F28" s="188">
        <f t="shared" ca="1" si="5"/>
        <v>39314</v>
      </c>
      <c r="G28" s="188">
        <f t="shared" ca="1" si="5"/>
        <v>39314</v>
      </c>
      <c r="H28" s="188">
        <f t="shared" ca="1" si="5"/>
        <v>39314</v>
      </c>
      <c r="I28" s="188">
        <f t="shared" ca="1" si="5"/>
        <v>39314</v>
      </c>
      <c r="J28" s="188">
        <f t="shared" ca="1" si="5"/>
        <v>39314</v>
      </c>
      <c r="K28" s="188">
        <f t="shared" ca="1" si="5"/>
        <v>39314</v>
      </c>
      <c r="L28" s="188">
        <f t="shared" ca="1" si="5"/>
        <v>39314</v>
      </c>
      <c r="M28" s="188">
        <f t="shared" ca="1" si="5"/>
        <v>39314</v>
      </c>
      <c r="N28" s="188">
        <f t="shared" ca="1" si="5"/>
        <v>39314</v>
      </c>
      <c r="O28" s="188">
        <f t="shared" ca="1" si="5"/>
        <v>39314</v>
      </c>
      <c r="P28" s="188">
        <f t="shared" ca="1" si="5"/>
        <v>39314</v>
      </c>
      <c r="Q28" s="188">
        <f t="shared" ca="1" si="5"/>
        <v>39314</v>
      </c>
      <c r="R28" s="188">
        <f t="shared" ca="1" si="5"/>
        <v>39314</v>
      </c>
      <c r="S28" s="188">
        <f t="shared" ca="1" si="5"/>
        <v>39314</v>
      </c>
      <c r="T28" s="188">
        <f t="shared" ca="1" si="5"/>
        <v>39314</v>
      </c>
      <c r="U28" s="188">
        <f t="shared" ca="1" si="5"/>
        <v>39314</v>
      </c>
      <c r="V28" s="188">
        <f t="shared" ca="1" si="5"/>
        <v>39314</v>
      </c>
      <c r="W28" s="188">
        <f t="shared" ca="1" si="5"/>
        <v>39314</v>
      </c>
      <c r="X28" s="188">
        <f t="shared" ca="1" si="5"/>
        <v>39314</v>
      </c>
      <c r="Y28" s="188">
        <f t="shared" ca="1" si="5"/>
        <v>39314</v>
      </c>
      <c r="Z28" s="188">
        <f t="shared" ca="1" si="5"/>
        <v>39314</v>
      </c>
      <c r="AA28" s="188">
        <f t="shared" ca="1" si="5"/>
        <v>39314</v>
      </c>
      <c r="AB28" s="188">
        <f t="shared" ca="1" si="5"/>
        <v>39314</v>
      </c>
      <c r="AC28" s="188">
        <f t="shared" ca="1" si="5"/>
        <v>39314</v>
      </c>
      <c r="AD28" s="188">
        <f t="shared" ca="1" si="5"/>
        <v>39314</v>
      </c>
      <c r="AE28" s="188">
        <f t="shared" ca="1" si="5"/>
        <v>39314</v>
      </c>
      <c r="AF28" s="188">
        <f t="shared" ca="1" si="5"/>
        <v>39314</v>
      </c>
      <c r="AG28" s="188">
        <f t="shared" ca="1" si="5"/>
        <v>39314</v>
      </c>
      <c r="AH28" s="180">
        <f t="shared" ca="1" si="5"/>
        <v>39314</v>
      </c>
      <c r="AI28" s="189">
        <f t="shared" ca="1" si="5"/>
        <v>39314</v>
      </c>
      <c r="AJ28" s="189">
        <f t="shared" ca="1" si="5"/>
        <v>39314</v>
      </c>
      <c r="AK28" s="189">
        <f t="shared" ca="1" si="5"/>
        <v>39314</v>
      </c>
      <c r="AL28" s="189">
        <f t="shared" ca="1" si="5"/>
        <v>39314</v>
      </c>
      <c r="AM28" s="189">
        <f t="shared" ca="1" si="5"/>
        <v>39314</v>
      </c>
      <c r="AN28" s="189">
        <f t="shared" ca="1" si="5"/>
        <v>39314</v>
      </c>
      <c r="AO28" s="189">
        <f t="shared" ca="1" si="5"/>
        <v>39314</v>
      </c>
      <c r="AP28" s="189">
        <f t="shared" ca="1" si="5"/>
        <v>39314</v>
      </c>
      <c r="AQ28" s="189">
        <f t="shared" ca="1" si="5"/>
        <v>39314</v>
      </c>
      <c r="AR28" s="189">
        <f t="shared" ca="1" si="5"/>
        <v>39314</v>
      </c>
    </row>
    <row r="29" spans="1:44">
      <c r="A29" s="184" t="s">
        <v>32</v>
      </c>
      <c r="B29" s="182"/>
      <c r="C29" s="182"/>
      <c r="D29" s="183"/>
      <c r="E29" s="188">
        <f t="shared" ref="E29:AR29" ca="1" si="6">IF(E$20&gt;TODAY(), #N/A, IF(E$33&gt;0, SprintStart+((E$25*E$19)/E$33)-1, SprintStart))</f>
        <v>39314</v>
      </c>
      <c r="F29" s="188">
        <f t="shared" ca="1" si="6"/>
        <v>39314</v>
      </c>
      <c r="G29" s="188">
        <f t="shared" ca="1" si="6"/>
        <v>39314</v>
      </c>
      <c r="H29" s="188">
        <f t="shared" ca="1" si="6"/>
        <v>39314</v>
      </c>
      <c r="I29" s="188">
        <f t="shared" ca="1" si="6"/>
        <v>39314</v>
      </c>
      <c r="J29" s="188">
        <f t="shared" ca="1" si="6"/>
        <v>39314</v>
      </c>
      <c r="K29" s="188">
        <f t="shared" ca="1" si="6"/>
        <v>39314</v>
      </c>
      <c r="L29" s="188">
        <f t="shared" ca="1" si="6"/>
        <v>39314</v>
      </c>
      <c r="M29" s="188">
        <f t="shared" ca="1" si="6"/>
        <v>39314</v>
      </c>
      <c r="N29" s="188">
        <f t="shared" ca="1" si="6"/>
        <v>39314</v>
      </c>
      <c r="O29" s="188">
        <f t="shared" ca="1" si="6"/>
        <v>39314</v>
      </c>
      <c r="P29" s="188">
        <f t="shared" ca="1" si="6"/>
        <v>39314</v>
      </c>
      <c r="Q29" s="188">
        <f t="shared" ca="1" si="6"/>
        <v>39314</v>
      </c>
      <c r="R29" s="188">
        <f t="shared" ca="1" si="6"/>
        <v>39314</v>
      </c>
      <c r="S29" s="188">
        <f t="shared" ca="1" si="6"/>
        <v>39314</v>
      </c>
      <c r="T29" s="188">
        <f t="shared" ca="1" si="6"/>
        <v>39314</v>
      </c>
      <c r="U29" s="188">
        <f t="shared" ca="1" si="6"/>
        <v>39314</v>
      </c>
      <c r="V29" s="188">
        <f t="shared" ca="1" si="6"/>
        <v>39314</v>
      </c>
      <c r="W29" s="188">
        <f t="shared" ca="1" si="6"/>
        <v>39314</v>
      </c>
      <c r="X29" s="188">
        <f t="shared" ca="1" si="6"/>
        <v>39314</v>
      </c>
      <c r="Y29" s="188">
        <f t="shared" ca="1" si="6"/>
        <v>39314</v>
      </c>
      <c r="Z29" s="188">
        <f t="shared" ca="1" si="6"/>
        <v>39314</v>
      </c>
      <c r="AA29" s="188">
        <f t="shared" ca="1" si="6"/>
        <v>39314</v>
      </c>
      <c r="AB29" s="188">
        <f t="shared" ca="1" si="6"/>
        <v>39314</v>
      </c>
      <c r="AC29" s="188">
        <f t="shared" ca="1" si="6"/>
        <v>39314</v>
      </c>
      <c r="AD29" s="188">
        <f t="shared" ca="1" si="6"/>
        <v>39314</v>
      </c>
      <c r="AE29" s="188">
        <f t="shared" ca="1" si="6"/>
        <v>39314</v>
      </c>
      <c r="AF29" s="188">
        <f t="shared" ca="1" si="6"/>
        <v>39314</v>
      </c>
      <c r="AG29" s="188">
        <f t="shared" ca="1" si="6"/>
        <v>39314</v>
      </c>
      <c r="AH29" s="180">
        <f t="shared" ca="1" si="6"/>
        <v>39314</v>
      </c>
      <c r="AI29" s="189">
        <f t="shared" ca="1" si="6"/>
        <v>39314</v>
      </c>
      <c r="AJ29" s="189">
        <f t="shared" ca="1" si="6"/>
        <v>39314</v>
      </c>
      <c r="AK29" s="189">
        <f t="shared" ca="1" si="6"/>
        <v>39314</v>
      </c>
      <c r="AL29" s="189">
        <f t="shared" ca="1" si="6"/>
        <v>39314</v>
      </c>
      <c r="AM29" s="189">
        <f t="shared" ca="1" si="6"/>
        <v>39314</v>
      </c>
      <c r="AN29" s="189">
        <f t="shared" ca="1" si="6"/>
        <v>39314</v>
      </c>
      <c r="AO29" s="189">
        <f t="shared" ca="1" si="6"/>
        <v>39314</v>
      </c>
      <c r="AP29" s="189">
        <f t="shared" ca="1" si="6"/>
        <v>39314</v>
      </c>
      <c r="AQ29" s="189">
        <f t="shared" ca="1" si="6"/>
        <v>39314</v>
      </c>
      <c r="AR29" s="189">
        <f t="shared" ca="1" si="6"/>
        <v>39314</v>
      </c>
    </row>
    <row r="30" spans="1:44">
      <c r="A30" s="184"/>
      <c r="B30" s="182"/>
      <c r="C30" s="182"/>
      <c r="D30" s="183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  <c r="AH30" s="177"/>
      <c r="AI30" s="185"/>
      <c r="AJ30" s="185"/>
      <c r="AK30" s="185"/>
      <c r="AL30" s="185"/>
      <c r="AM30" s="185"/>
      <c r="AN30" s="185"/>
      <c r="AO30" s="185"/>
      <c r="AP30" s="185"/>
      <c r="AQ30" s="185"/>
      <c r="AR30" s="185"/>
    </row>
    <row r="31" spans="1:44">
      <c r="A31" s="184" t="s">
        <v>28</v>
      </c>
      <c r="B31" s="182"/>
      <c r="C31" s="182"/>
      <c r="D31" s="183"/>
      <c r="E31" s="182">
        <f t="shared" ref="E31:AR31" ca="1" si="7">IF(E$20&gt;TODAY(), #N/A, SUMIF(INDEX(Burndown,,(E$19-1)*BurndownColumns+StatusColumn), "=Pending",INDEX(Burndown,,(E$19-1)*BurndownColumns+HoursLeftColumn)))</f>
        <v>0</v>
      </c>
      <c r="F31" s="182">
        <f t="shared" ca="1" si="7"/>
        <v>0</v>
      </c>
      <c r="G31" s="182">
        <f t="shared" ca="1" si="7"/>
        <v>0</v>
      </c>
      <c r="H31" s="182">
        <f t="shared" ca="1" si="7"/>
        <v>0</v>
      </c>
      <c r="I31" s="182">
        <f t="shared" ca="1" si="7"/>
        <v>0</v>
      </c>
      <c r="J31" s="182">
        <f t="shared" ca="1" si="7"/>
        <v>0</v>
      </c>
      <c r="K31" s="182">
        <f t="shared" ca="1" si="7"/>
        <v>0</v>
      </c>
      <c r="L31" s="182">
        <f t="shared" ca="1" si="7"/>
        <v>0</v>
      </c>
      <c r="M31" s="182">
        <f t="shared" ca="1" si="7"/>
        <v>0</v>
      </c>
      <c r="N31" s="182">
        <f t="shared" ca="1" si="7"/>
        <v>0</v>
      </c>
      <c r="O31" s="182">
        <f t="shared" ca="1" si="7"/>
        <v>0</v>
      </c>
      <c r="P31" s="182">
        <f t="shared" ca="1" si="7"/>
        <v>0</v>
      </c>
      <c r="Q31" s="182">
        <f t="shared" ca="1" si="7"/>
        <v>0</v>
      </c>
      <c r="R31" s="182">
        <f t="shared" ca="1" si="7"/>
        <v>0</v>
      </c>
      <c r="S31" s="182">
        <f t="shared" ca="1" si="7"/>
        <v>0</v>
      </c>
      <c r="T31" s="182">
        <f t="shared" ca="1" si="7"/>
        <v>0</v>
      </c>
      <c r="U31" s="182">
        <f t="shared" ca="1" si="7"/>
        <v>0</v>
      </c>
      <c r="V31" s="182">
        <f t="shared" ca="1" si="7"/>
        <v>0</v>
      </c>
      <c r="W31" s="182">
        <f t="shared" ca="1" si="7"/>
        <v>0</v>
      </c>
      <c r="X31" s="182">
        <f t="shared" ca="1" si="7"/>
        <v>0</v>
      </c>
      <c r="Y31" s="182">
        <f t="shared" ca="1" si="7"/>
        <v>0</v>
      </c>
      <c r="Z31" s="182">
        <f t="shared" ca="1" si="7"/>
        <v>0</v>
      </c>
      <c r="AA31" s="182">
        <f t="shared" ca="1" si="7"/>
        <v>0</v>
      </c>
      <c r="AB31" s="182">
        <f t="shared" ca="1" si="7"/>
        <v>0</v>
      </c>
      <c r="AC31" s="182">
        <f t="shared" ca="1" si="7"/>
        <v>0</v>
      </c>
      <c r="AD31" s="182">
        <f t="shared" ca="1" si="7"/>
        <v>0</v>
      </c>
      <c r="AE31" s="182">
        <f t="shared" ca="1" si="7"/>
        <v>0</v>
      </c>
      <c r="AF31" s="182">
        <f t="shared" ca="1" si="7"/>
        <v>0</v>
      </c>
      <c r="AG31" s="182">
        <f t="shared" ca="1" si="7"/>
        <v>0</v>
      </c>
      <c r="AH31" s="177">
        <f t="shared" ca="1" si="7"/>
        <v>0</v>
      </c>
      <c r="AI31" s="185">
        <f t="shared" ca="1" si="7"/>
        <v>0</v>
      </c>
      <c r="AJ31" s="185">
        <f t="shared" ca="1" si="7"/>
        <v>0</v>
      </c>
      <c r="AK31" s="185">
        <f t="shared" ca="1" si="7"/>
        <v>0</v>
      </c>
      <c r="AL31" s="185">
        <f t="shared" ca="1" si="7"/>
        <v>0</v>
      </c>
      <c r="AM31" s="185">
        <f t="shared" ca="1" si="7"/>
        <v>0</v>
      </c>
      <c r="AN31" s="185">
        <f t="shared" ca="1" si="7"/>
        <v>0</v>
      </c>
      <c r="AO31" s="185">
        <f t="shared" ca="1" si="7"/>
        <v>0</v>
      </c>
      <c r="AP31" s="185">
        <f t="shared" ca="1" si="7"/>
        <v>0</v>
      </c>
      <c r="AQ31" s="185">
        <f t="shared" ca="1" si="7"/>
        <v>0</v>
      </c>
      <c r="AR31" s="185">
        <f t="shared" ca="1" si="7"/>
        <v>0</v>
      </c>
    </row>
    <row r="32" spans="1:44">
      <c r="A32" s="184" t="s">
        <v>29</v>
      </c>
      <c r="B32" s="182"/>
      <c r="C32" s="182"/>
      <c r="D32" s="183"/>
      <c r="E32" s="190">
        <f t="shared" ref="E32:AR32" ca="1" si="8">E$22-E$31+E$24-E$33</f>
        <v>0</v>
      </c>
      <c r="F32" s="190">
        <f t="shared" ca="1" si="8"/>
        <v>0</v>
      </c>
      <c r="G32" s="190">
        <f t="shared" ca="1" si="8"/>
        <v>0</v>
      </c>
      <c r="H32" s="190">
        <f t="shared" ca="1" si="8"/>
        <v>0</v>
      </c>
      <c r="I32" s="190">
        <f t="shared" ca="1" si="8"/>
        <v>0</v>
      </c>
      <c r="J32" s="190">
        <f t="shared" ca="1" si="8"/>
        <v>0</v>
      </c>
      <c r="K32" s="190">
        <f t="shared" ca="1" si="8"/>
        <v>0</v>
      </c>
      <c r="L32" s="190">
        <f t="shared" ca="1" si="8"/>
        <v>0</v>
      </c>
      <c r="M32" s="190">
        <f t="shared" ca="1" si="8"/>
        <v>0</v>
      </c>
      <c r="N32" s="190">
        <f t="shared" ca="1" si="8"/>
        <v>0</v>
      </c>
      <c r="O32" s="190">
        <f t="shared" ca="1" si="8"/>
        <v>0</v>
      </c>
      <c r="P32" s="190">
        <f t="shared" ca="1" si="8"/>
        <v>0</v>
      </c>
      <c r="Q32" s="190">
        <f t="shared" ca="1" si="8"/>
        <v>0</v>
      </c>
      <c r="R32" s="190">
        <f t="shared" ca="1" si="8"/>
        <v>0</v>
      </c>
      <c r="S32" s="190">
        <f t="shared" ca="1" si="8"/>
        <v>0</v>
      </c>
      <c r="T32" s="190">
        <f t="shared" ca="1" si="8"/>
        <v>0</v>
      </c>
      <c r="U32" s="190">
        <f t="shared" ca="1" si="8"/>
        <v>0</v>
      </c>
      <c r="V32" s="190">
        <f t="shared" ca="1" si="8"/>
        <v>0</v>
      </c>
      <c r="W32" s="190">
        <f t="shared" ca="1" si="8"/>
        <v>0</v>
      </c>
      <c r="X32" s="190">
        <f t="shared" ca="1" si="8"/>
        <v>0</v>
      </c>
      <c r="Y32" s="190">
        <f t="shared" ca="1" si="8"/>
        <v>0</v>
      </c>
      <c r="Z32" s="190">
        <f t="shared" ca="1" si="8"/>
        <v>0</v>
      </c>
      <c r="AA32" s="190">
        <f t="shared" ca="1" si="8"/>
        <v>0</v>
      </c>
      <c r="AB32" s="190">
        <f t="shared" ca="1" si="8"/>
        <v>0</v>
      </c>
      <c r="AC32" s="190">
        <f t="shared" ca="1" si="8"/>
        <v>0</v>
      </c>
      <c r="AD32" s="190">
        <f t="shared" ca="1" si="8"/>
        <v>0</v>
      </c>
      <c r="AE32" s="190">
        <f t="shared" ca="1" si="8"/>
        <v>0</v>
      </c>
      <c r="AF32" s="190">
        <f t="shared" ca="1" si="8"/>
        <v>0</v>
      </c>
      <c r="AG32" s="190">
        <f t="shared" ca="1" si="8"/>
        <v>0</v>
      </c>
      <c r="AH32" s="191">
        <f t="shared" ca="1" si="8"/>
        <v>0</v>
      </c>
      <c r="AI32" s="192">
        <f t="shared" ca="1" si="8"/>
        <v>0</v>
      </c>
      <c r="AJ32" s="192">
        <f t="shared" ca="1" si="8"/>
        <v>0</v>
      </c>
      <c r="AK32" s="192">
        <f t="shared" ca="1" si="8"/>
        <v>0</v>
      </c>
      <c r="AL32" s="192">
        <f t="shared" ca="1" si="8"/>
        <v>0</v>
      </c>
      <c r="AM32" s="192">
        <f t="shared" ca="1" si="8"/>
        <v>0</v>
      </c>
      <c r="AN32" s="192">
        <f t="shared" ca="1" si="8"/>
        <v>0</v>
      </c>
      <c r="AO32" s="192">
        <f t="shared" ca="1" si="8"/>
        <v>0</v>
      </c>
      <c r="AP32" s="192">
        <f t="shared" ca="1" si="8"/>
        <v>0</v>
      </c>
      <c r="AQ32" s="192">
        <f t="shared" ca="1" si="8"/>
        <v>0</v>
      </c>
      <c r="AR32" s="192">
        <f t="shared" ca="1" si="8"/>
        <v>0</v>
      </c>
    </row>
    <row r="33" spans="1:44">
      <c r="A33" s="184" t="s">
        <v>30</v>
      </c>
      <c r="B33" s="182"/>
      <c r="C33" s="182"/>
      <c r="D33" s="183"/>
      <c r="E33" s="182">
        <f t="shared" ref="E33:AR33" ca="1" si="9">IF(E$20&gt;TODAY(), #N/A, SUMIF(INDEX(Burndown,,(E$19-1)*BurndownColumns+StatusColumn), "=Complete",TotalEffort))</f>
        <v>0</v>
      </c>
      <c r="F33" s="182">
        <f t="shared" ca="1" si="9"/>
        <v>0</v>
      </c>
      <c r="G33" s="182">
        <f t="shared" ca="1" si="9"/>
        <v>0</v>
      </c>
      <c r="H33" s="182">
        <f t="shared" ca="1" si="9"/>
        <v>0</v>
      </c>
      <c r="I33" s="182">
        <f t="shared" ca="1" si="9"/>
        <v>0</v>
      </c>
      <c r="J33" s="182">
        <f t="shared" ca="1" si="9"/>
        <v>0</v>
      </c>
      <c r="K33" s="182">
        <f t="shared" ca="1" si="9"/>
        <v>0</v>
      </c>
      <c r="L33" s="182">
        <f t="shared" ca="1" si="9"/>
        <v>0</v>
      </c>
      <c r="M33" s="182">
        <f t="shared" ca="1" si="9"/>
        <v>0</v>
      </c>
      <c r="N33" s="182">
        <f t="shared" ca="1" si="9"/>
        <v>0</v>
      </c>
      <c r="O33" s="182">
        <f t="shared" ca="1" si="9"/>
        <v>0</v>
      </c>
      <c r="P33" s="182">
        <f t="shared" ca="1" si="9"/>
        <v>0</v>
      </c>
      <c r="Q33" s="182">
        <f t="shared" ca="1" si="9"/>
        <v>0</v>
      </c>
      <c r="R33" s="182">
        <f t="shared" ca="1" si="9"/>
        <v>0</v>
      </c>
      <c r="S33" s="182">
        <f t="shared" ca="1" si="9"/>
        <v>0</v>
      </c>
      <c r="T33" s="182">
        <f t="shared" ca="1" si="9"/>
        <v>0</v>
      </c>
      <c r="U33" s="182">
        <f t="shared" ca="1" si="9"/>
        <v>0</v>
      </c>
      <c r="V33" s="182">
        <f t="shared" ca="1" si="9"/>
        <v>0</v>
      </c>
      <c r="W33" s="182">
        <f t="shared" ca="1" si="9"/>
        <v>0</v>
      </c>
      <c r="X33" s="182">
        <f t="shared" ca="1" si="9"/>
        <v>0</v>
      </c>
      <c r="Y33" s="182">
        <f t="shared" ca="1" si="9"/>
        <v>0</v>
      </c>
      <c r="Z33" s="182">
        <f t="shared" ca="1" si="9"/>
        <v>0</v>
      </c>
      <c r="AA33" s="182">
        <f t="shared" ca="1" si="9"/>
        <v>0</v>
      </c>
      <c r="AB33" s="182">
        <f t="shared" ca="1" si="9"/>
        <v>0</v>
      </c>
      <c r="AC33" s="182">
        <f t="shared" ca="1" si="9"/>
        <v>0</v>
      </c>
      <c r="AD33" s="182">
        <f t="shared" ca="1" si="9"/>
        <v>0</v>
      </c>
      <c r="AE33" s="182">
        <f t="shared" ca="1" si="9"/>
        <v>0</v>
      </c>
      <c r="AF33" s="182">
        <f t="shared" ca="1" si="9"/>
        <v>0</v>
      </c>
      <c r="AG33" s="182">
        <f t="shared" ca="1" si="9"/>
        <v>0</v>
      </c>
      <c r="AH33" s="177">
        <f t="shared" ca="1" si="9"/>
        <v>0</v>
      </c>
      <c r="AI33" s="185">
        <f t="shared" ca="1" si="9"/>
        <v>0</v>
      </c>
      <c r="AJ33" s="185">
        <f t="shared" ca="1" si="9"/>
        <v>0</v>
      </c>
      <c r="AK33" s="185">
        <f t="shared" ca="1" si="9"/>
        <v>0</v>
      </c>
      <c r="AL33" s="185">
        <f t="shared" ca="1" si="9"/>
        <v>0</v>
      </c>
      <c r="AM33" s="185">
        <f t="shared" ca="1" si="9"/>
        <v>0</v>
      </c>
      <c r="AN33" s="185">
        <f t="shared" ca="1" si="9"/>
        <v>0</v>
      </c>
      <c r="AO33" s="185">
        <f t="shared" ca="1" si="9"/>
        <v>0</v>
      </c>
      <c r="AP33" s="185">
        <f t="shared" ca="1" si="9"/>
        <v>0</v>
      </c>
      <c r="AQ33" s="185">
        <f t="shared" ca="1" si="9"/>
        <v>0</v>
      </c>
      <c r="AR33" s="185">
        <f t="shared" ca="1" si="9"/>
        <v>0</v>
      </c>
    </row>
    <row r="34" spans="1:44">
      <c r="A34" s="184"/>
      <c r="B34" s="182"/>
      <c r="C34" s="182"/>
      <c r="D34" s="183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77"/>
      <c r="AI34" s="185"/>
      <c r="AJ34" s="185"/>
      <c r="AK34" s="185"/>
      <c r="AL34" s="185"/>
      <c r="AM34" s="185"/>
      <c r="AN34" s="185"/>
      <c r="AO34" s="185"/>
      <c r="AP34" s="185"/>
      <c r="AQ34" s="185"/>
      <c r="AR34" s="185"/>
    </row>
    <row r="35" spans="1:44">
      <c r="A35" s="184" t="s">
        <v>11</v>
      </c>
      <c r="B35" s="182"/>
      <c r="C35" s="182"/>
      <c r="D35" s="183"/>
      <c r="E35" s="182">
        <f t="shared" ref="E35:AR35" ca="1" si="10">IF(E20&gt;TODAY(), #N/A, COUNTIF(INDEX(Burndown,,(E19-1)*BurndownColumns+StatusColumn), "=Pending"))</f>
        <v>42</v>
      </c>
      <c r="F35" s="182">
        <f t="shared" ca="1" si="10"/>
        <v>42</v>
      </c>
      <c r="G35" s="182">
        <f t="shared" ca="1" si="10"/>
        <v>42</v>
      </c>
      <c r="H35" s="182">
        <f t="shared" ca="1" si="10"/>
        <v>42</v>
      </c>
      <c r="I35" s="182">
        <f t="shared" ca="1" si="10"/>
        <v>42</v>
      </c>
      <c r="J35" s="182">
        <f t="shared" ca="1" si="10"/>
        <v>42</v>
      </c>
      <c r="K35" s="182">
        <f t="shared" ca="1" si="10"/>
        <v>42</v>
      </c>
      <c r="L35" s="182">
        <f t="shared" ca="1" si="10"/>
        <v>42</v>
      </c>
      <c r="M35" s="182">
        <f t="shared" ca="1" si="10"/>
        <v>42</v>
      </c>
      <c r="N35" s="182">
        <f t="shared" ca="1" si="10"/>
        <v>42</v>
      </c>
      <c r="O35" s="182">
        <f t="shared" ca="1" si="10"/>
        <v>42</v>
      </c>
      <c r="P35" s="182">
        <f t="shared" ca="1" si="10"/>
        <v>42</v>
      </c>
      <c r="Q35" s="182">
        <f t="shared" ca="1" si="10"/>
        <v>42</v>
      </c>
      <c r="R35" s="182">
        <f t="shared" ca="1" si="10"/>
        <v>42</v>
      </c>
      <c r="S35" s="182">
        <f t="shared" ca="1" si="10"/>
        <v>42</v>
      </c>
      <c r="T35" s="182">
        <f t="shared" ca="1" si="10"/>
        <v>42</v>
      </c>
      <c r="U35" s="182">
        <f t="shared" ca="1" si="10"/>
        <v>42</v>
      </c>
      <c r="V35" s="182">
        <f t="shared" ca="1" si="10"/>
        <v>42</v>
      </c>
      <c r="W35" s="182">
        <f t="shared" ca="1" si="10"/>
        <v>42</v>
      </c>
      <c r="X35" s="182">
        <f t="shared" ca="1" si="10"/>
        <v>42</v>
      </c>
      <c r="Y35" s="182">
        <f t="shared" ca="1" si="10"/>
        <v>42</v>
      </c>
      <c r="Z35" s="182">
        <f t="shared" ca="1" si="10"/>
        <v>42</v>
      </c>
      <c r="AA35" s="182">
        <f t="shared" ca="1" si="10"/>
        <v>42</v>
      </c>
      <c r="AB35" s="182">
        <f t="shared" ca="1" si="10"/>
        <v>42</v>
      </c>
      <c r="AC35" s="182">
        <f t="shared" ca="1" si="10"/>
        <v>42</v>
      </c>
      <c r="AD35" s="182">
        <f t="shared" ca="1" si="10"/>
        <v>42</v>
      </c>
      <c r="AE35" s="182">
        <f t="shared" ca="1" si="10"/>
        <v>42</v>
      </c>
      <c r="AF35" s="182">
        <f t="shared" ca="1" si="10"/>
        <v>42</v>
      </c>
      <c r="AG35" s="182">
        <f t="shared" ca="1" si="10"/>
        <v>42</v>
      </c>
      <c r="AH35" s="182">
        <f t="shared" ca="1" si="10"/>
        <v>42</v>
      </c>
      <c r="AI35" s="182">
        <f t="shared" ca="1" si="10"/>
        <v>38</v>
      </c>
      <c r="AJ35" s="182">
        <f t="shared" ca="1" si="10"/>
        <v>38</v>
      </c>
      <c r="AK35" s="182">
        <f t="shared" ca="1" si="10"/>
        <v>38</v>
      </c>
      <c r="AL35" s="182">
        <f t="shared" ca="1" si="10"/>
        <v>38</v>
      </c>
      <c r="AM35" s="182">
        <f t="shared" ca="1" si="10"/>
        <v>38</v>
      </c>
      <c r="AN35" s="182">
        <f t="shared" ca="1" si="10"/>
        <v>38</v>
      </c>
      <c r="AO35" s="182">
        <f t="shared" ca="1" si="10"/>
        <v>38</v>
      </c>
      <c r="AP35" s="182">
        <f t="shared" ca="1" si="10"/>
        <v>38</v>
      </c>
      <c r="AQ35" s="182">
        <f t="shared" ca="1" si="10"/>
        <v>38</v>
      </c>
      <c r="AR35" s="182">
        <f t="shared" ca="1" si="10"/>
        <v>38</v>
      </c>
    </row>
    <row r="36" spans="1:44">
      <c r="A36" s="184" t="s">
        <v>7</v>
      </c>
      <c r="B36" s="182"/>
      <c r="C36" s="182"/>
      <c r="D36" s="183"/>
      <c r="E36" s="182">
        <f t="shared" ref="E36:AR36" ca="1" si="11">IF(E20&gt;TODAY(), #N/A, COUNTIF(INDEX(Burndown,,(E19-1)*BurndownColumns+StatusColumn), "=In Progress"))</f>
        <v>0</v>
      </c>
      <c r="F36" s="182">
        <f t="shared" ca="1" si="11"/>
        <v>0</v>
      </c>
      <c r="G36" s="182">
        <f t="shared" ca="1" si="11"/>
        <v>0</v>
      </c>
      <c r="H36" s="182">
        <f t="shared" ca="1" si="11"/>
        <v>0</v>
      </c>
      <c r="I36" s="182">
        <f t="shared" ca="1" si="11"/>
        <v>0</v>
      </c>
      <c r="J36" s="182">
        <f t="shared" ca="1" si="11"/>
        <v>0</v>
      </c>
      <c r="K36" s="182">
        <f t="shared" ca="1" si="11"/>
        <v>0</v>
      </c>
      <c r="L36" s="182">
        <f t="shared" ca="1" si="11"/>
        <v>0</v>
      </c>
      <c r="M36" s="182">
        <f t="shared" ca="1" si="11"/>
        <v>0</v>
      </c>
      <c r="N36" s="182">
        <f t="shared" ca="1" si="11"/>
        <v>0</v>
      </c>
      <c r="O36" s="182">
        <f t="shared" ca="1" si="11"/>
        <v>0</v>
      </c>
      <c r="P36" s="182">
        <f t="shared" ca="1" si="11"/>
        <v>0</v>
      </c>
      <c r="Q36" s="182">
        <f t="shared" ca="1" si="11"/>
        <v>0</v>
      </c>
      <c r="R36" s="182">
        <f t="shared" ca="1" si="11"/>
        <v>0</v>
      </c>
      <c r="S36" s="182">
        <f t="shared" ca="1" si="11"/>
        <v>0</v>
      </c>
      <c r="T36" s="182">
        <f t="shared" ca="1" si="11"/>
        <v>0</v>
      </c>
      <c r="U36" s="182">
        <f t="shared" ca="1" si="11"/>
        <v>0</v>
      </c>
      <c r="V36" s="182">
        <f t="shared" ca="1" si="11"/>
        <v>0</v>
      </c>
      <c r="W36" s="182">
        <f t="shared" ca="1" si="11"/>
        <v>0</v>
      </c>
      <c r="X36" s="182">
        <f t="shared" ca="1" si="11"/>
        <v>0</v>
      </c>
      <c r="Y36" s="182">
        <f t="shared" ca="1" si="11"/>
        <v>0</v>
      </c>
      <c r="Z36" s="182">
        <f t="shared" ca="1" si="11"/>
        <v>0</v>
      </c>
      <c r="AA36" s="182">
        <f t="shared" ca="1" si="11"/>
        <v>0</v>
      </c>
      <c r="AB36" s="182">
        <f t="shared" ca="1" si="11"/>
        <v>0</v>
      </c>
      <c r="AC36" s="182">
        <f t="shared" ca="1" si="11"/>
        <v>0</v>
      </c>
      <c r="AD36" s="182">
        <f t="shared" ca="1" si="11"/>
        <v>0</v>
      </c>
      <c r="AE36" s="182">
        <f t="shared" ca="1" si="11"/>
        <v>0</v>
      </c>
      <c r="AF36" s="182">
        <f t="shared" ca="1" si="11"/>
        <v>0</v>
      </c>
      <c r="AG36" s="182">
        <f t="shared" ca="1" si="11"/>
        <v>0</v>
      </c>
      <c r="AH36" s="177">
        <f t="shared" ca="1" si="11"/>
        <v>0</v>
      </c>
      <c r="AI36" s="185">
        <f t="shared" ca="1" si="11"/>
        <v>0</v>
      </c>
      <c r="AJ36" s="185">
        <f t="shared" ca="1" si="11"/>
        <v>0</v>
      </c>
      <c r="AK36" s="185">
        <f t="shared" ca="1" si="11"/>
        <v>0</v>
      </c>
      <c r="AL36" s="185">
        <f t="shared" ca="1" si="11"/>
        <v>0</v>
      </c>
      <c r="AM36" s="185">
        <f t="shared" ca="1" si="11"/>
        <v>0</v>
      </c>
      <c r="AN36" s="185">
        <f t="shared" ca="1" si="11"/>
        <v>0</v>
      </c>
      <c r="AO36" s="185">
        <f t="shared" ca="1" si="11"/>
        <v>0</v>
      </c>
      <c r="AP36" s="185">
        <f t="shared" ca="1" si="11"/>
        <v>0</v>
      </c>
      <c r="AQ36" s="185">
        <f t="shared" ca="1" si="11"/>
        <v>0</v>
      </c>
      <c r="AR36" s="185">
        <f t="shared" ca="1" si="11"/>
        <v>0</v>
      </c>
    </row>
    <row r="37" spans="1:44">
      <c r="A37" s="184" t="s">
        <v>8</v>
      </c>
      <c r="B37" s="182"/>
      <c r="C37" s="182"/>
      <c r="D37" s="183"/>
      <c r="E37" s="182">
        <f t="shared" ref="E37:AR37" ca="1" si="12">IF(E20&gt;TODAY(), #N/A, COUNTIF(INDEX(Burndown,,(E19-1)*BurndownColumns+StatusColumn), "=Complete"))</f>
        <v>0</v>
      </c>
      <c r="F37" s="182">
        <f t="shared" ca="1" si="12"/>
        <v>0</v>
      </c>
      <c r="G37" s="182">
        <f t="shared" ca="1" si="12"/>
        <v>0</v>
      </c>
      <c r="H37" s="182">
        <f t="shared" ca="1" si="12"/>
        <v>0</v>
      </c>
      <c r="I37" s="182">
        <f t="shared" ca="1" si="12"/>
        <v>0</v>
      </c>
      <c r="J37" s="182">
        <f t="shared" ca="1" si="12"/>
        <v>0</v>
      </c>
      <c r="K37" s="182">
        <f t="shared" ca="1" si="12"/>
        <v>0</v>
      </c>
      <c r="L37" s="182">
        <f t="shared" ca="1" si="12"/>
        <v>0</v>
      </c>
      <c r="M37" s="182">
        <f t="shared" ca="1" si="12"/>
        <v>0</v>
      </c>
      <c r="N37" s="182">
        <f t="shared" ca="1" si="12"/>
        <v>0</v>
      </c>
      <c r="O37" s="182">
        <f t="shared" ca="1" si="12"/>
        <v>0</v>
      </c>
      <c r="P37" s="182">
        <f t="shared" ca="1" si="12"/>
        <v>0</v>
      </c>
      <c r="Q37" s="182">
        <f t="shared" ca="1" si="12"/>
        <v>0</v>
      </c>
      <c r="R37" s="182">
        <f t="shared" ca="1" si="12"/>
        <v>0</v>
      </c>
      <c r="S37" s="182">
        <f t="shared" ca="1" si="12"/>
        <v>0</v>
      </c>
      <c r="T37" s="182">
        <f t="shared" ca="1" si="12"/>
        <v>0</v>
      </c>
      <c r="U37" s="182">
        <f t="shared" ca="1" si="12"/>
        <v>0</v>
      </c>
      <c r="V37" s="182">
        <f t="shared" ca="1" si="12"/>
        <v>0</v>
      </c>
      <c r="W37" s="182">
        <f t="shared" ca="1" si="12"/>
        <v>0</v>
      </c>
      <c r="X37" s="182">
        <f t="shared" ca="1" si="12"/>
        <v>0</v>
      </c>
      <c r="Y37" s="182">
        <f t="shared" ca="1" si="12"/>
        <v>0</v>
      </c>
      <c r="Z37" s="182">
        <f t="shared" ca="1" si="12"/>
        <v>0</v>
      </c>
      <c r="AA37" s="182">
        <f t="shared" ca="1" si="12"/>
        <v>0</v>
      </c>
      <c r="AB37" s="182">
        <f t="shared" ca="1" si="12"/>
        <v>0</v>
      </c>
      <c r="AC37" s="182">
        <f t="shared" ca="1" si="12"/>
        <v>0</v>
      </c>
      <c r="AD37" s="182">
        <f t="shared" ca="1" si="12"/>
        <v>0</v>
      </c>
      <c r="AE37" s="182">
        <f t="shared" ca="1" si="12"/>
        <v>0</v>
      </c>
      <c r="AF37" s="182">
        <f t="shared" ca="1" si="12"/>
        <v>0</v>
      </c>
      <c r="AG37" s="182">
        <f t="shared" ca="1" si="12"/>
        <v>0</v>
      </c>
      <c r="AH37" s="177">
        <f t="shared" ca="1" si="12"/>
        <v>0</v>
      </c>
      <c r="AI37" s="185">
        <f t="shared" ca="1" si="12"/>
        <v>0</v>
      </c>
      <c r="AJ37" s="185">
        <f t="shared" ca="1" si="12"/>
        <v>0</v>
      </c>
      <c r="AK37" s="185">
        <f t="shared" ca="1" si="12"/>
        <v>0</v>
      </c>
      <c r="AL37" s="185">
        <f t="shared" ca="1" si="12"/>
        <v>0</v>
      </c>
      <c r="AM37" s="185">
        <f t="shared" ca="1" si="12"/>
        <v>0</v>
      </c>
      <c r="AN37" s="185">
        <f t="shared" ca="1" si="12"/>
        <v>0</v>
      </c>
      <c r="AO37" s="185">
        <f t="shared" ca="1" si="12"/>
        <v>0</v>
      </c>
      <c r="AP37" s="185">
        <f t="shared" ca="1" si="12"/>
        <v>0</v>
      </c>
      <c r="AQ37" s="185">
        <f t="shared" ca="1" si="12"/>
        <v>0</v>
      </c>
      <c r="AR37" s="185">
        <f t="shared" ca="1" si="12"/>
        <v>0</v>
      </c>
    </row>
    <row r="38" spans="1:44">
      <c r="A38" s="182"/>
      <c r="B38" s="182"/>
      <c r="C38" s="182"/>
      <c r="D38" s="182"/>
      <c r="E38" s="182"/>
      <c r="F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</row>
    <row r="39" spans="1:44">
      <c r="A39" s="184" t="s">
        <v>26</v>
      </c>
      <c r="B39" s="182"/>
      <c r="C39" s="182"/>
      <c r="D39" s="182"/>
      <c r="E39" s="176"/>
      <c r="F39" s="182"/>
      <c r="G39" s="184" t="s">
        <v>25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</row>
    <row r="40" spans="1:44" ht="13.5" customHeight="1">
      <c r="A40" s="184"/>
      <c r="B40" s="182" t="s">
        <v>27</v>
      </c>
      <c r="C40" s="182"/>
      <c r="D40" s="182"/>
      <c r="E40" s="182">
        <v>0</v>
      </c>
      <c r="F40" s="182"/>
      <c r="G40" s="182" t="s">
        <v>108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</row>
    <row r="41" spans="1:44" ht="13.5" customHeight="1">
      <c r="A41" s="184"/>
      <c r="B41" s="182" t="s">
        <v>109</v>
      </c>
      <c r="C41" s="182"/>
      <c r="D41" s="182"/>
      <c r="E41" s="182">
        <v>0</v>
      </c>
      <c r="F41" s="182"/>
      <c r="G41" s="182" t="s">
        <v>110</v>
      </c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</row>
    <row r="42" spans="1:44">
      <c r="A42" s="184"/>
      <c r="B42" s="182"/>
      <c r="C42" s="182"/>
      <c r="D42" s="182"/>
      <c r="E42" s="176"/>
      <c r="F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</row>
    <row r="43" spans="1:44">
      <c r="A43" s="184" t="s">
        <v>18</v>
      </c>
      <c r="B43" s="182"/>
      <c r="C43" s="182"/>
      <c r="D43" s="182"/>
      <c r="E43" s="176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44">
      <c r="A44" s="182"/>
      <c r="B44" s="182" t="s">
        <v>16</v>
      </c>
      <c r="C44" s="182"/>
      <c r="D44" s="182"/>
      <c r="E44" s="182">
        <v>3</v>
      </c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</row>
    <row r="45" spans="1:44">
      <c r="A45" s="182"/>
      <c r="B45" s="182" t="s">
        <v>20</v>
      </c>
      <c r="C45" s="182"/>
      <c r="D45" s="182"/>
      <c r="E45" s="182">
        <v>1</v>
      </c>
      <c r="F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</row>
    <row r="46" spans="1:44">
      <c r="A46" s="182"/>
      <c r="B46" s="182" t="s">
        <v>19</v>
      </c>
      <c r="C46" s="182"/>
      <c r="D46" s="182"/>
      <c r="E46" s="182">
        <v>2</v>
      </c>
    </row>
    <row r="47" spans="1:44">
      <c r="A47" s="182"/>
      <c r="B47" s="182" t="s">
        <v>17</v>
      </c>
      <c r="C47" s="182"/>
      <c r="D47" s="182"/>
      <c r="E47" s="182">
        <v>3</v>
      </c>
    </row>
    <row r="48" spans="1:44">
      <c r="A48" s="182"/>
      <c r="C48" s="182"/>
      <c r="D48" s="182"/>
    </row>
    <row r="49" spans="1:1">
      <c r="A49" s="184"/>
    </row>
    <row r="50" spans="1:1">
      <c r="A50" s="182"/>
    </row>
    <row r="51" spans="1:1">
      <c r="A51" s="182"/>
    </row>
  </sheetData>
  <phoneticPr fontId="2" type="noConversion"/>
  <conditionalFormatting sqref="D19:A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workbookViewId="0">
      <selection activeCell="C4" sqref="C4"/>
    </sheetView>
  </sheetViews>
  <sheetFormatPr defaultRowHeight="12.75"/>
  <cols>
    <col min="1" max="1" width="2.7109375" style="44" customWidth="1"/>
    <col min="2" max="2" width="18.42578125" style="44" bestFit="1" customWidth="1"/>
    <col min="3" max="4" width="14.140625" style="44" bestFit="1" customWidth="1"/>
    <col min="5" max="6" width="15.140625" style="44" bestFit="1" customWidth="1"/>
    <col min="7" max="7" width="10.85546875" style="44" customWidth="1"/>
    <col min="8" max="8" width="28.7109375" style="44" customWidth="1"/>
    <col min="9" max="9" width="2.85546875" style="44" bestFit="1" customWidth="1"/>
    <col min="10" max="16384" width="9.140625" style="44"/>
  </cols>
  <sheetData>
    <row r="4" spans="2:8">
      <c r="B4" s="131" t="s">
        <v>62</v>
      </c>
    </row>
    <row r="5" spans="2:8" ht="13.5" thickBot="1"/>
    <row r="6" spans="2:8" ht="14.25" thickTop="1" thickBot="1">
      <c r="B6" s="131" t="s">
        <v>47</v>
      </c>
      <c r="C6" s="132" t="s">
        <v>35</v>
      </c>
      <c r="D6" s="133" t="s">
        <v>115</v>
      </c>
      <c r="E6" s="134" t="s">
        <v>36</v>
      </c>
      <c r="F6" s="135" t="s">
        <v>37</v>
      </c>
      <c r="G6" s="135" t="s">
        <v>38</v>
      </c>
      <c r="H6" s="136" t="s">
        <v>39</v>
      </c>
    </row>
    <row r="7" spans="2:8" ht="13.5" thickTop="1">
      <c r="C7" s="137"/>
      <c r="D7" s="138"/>
      <c r="E7" s="139"/>
      <c r="F7" s="140"/>
      <c r="G7" s="140"/>
      <c r="H7" s="141"/>
    </row>
    <row r="8" spans="2:8">
      <c r="C8" s="142" t="s">
        <v>116</v>
      </c>
      <c r="D8" s="143" t="s">
        <v>117</v>
      </c>
      <c r="E8" s="143" t="s">
        <v>113</v>
      </c>
      <c r="F8" s="144" t="s">
        <v>114</v>
      </c>
      <c r="G8" s="143"/>
      <c r="H8" s="145"/>
    </row>
    <row r="9" spans="2:8">
      <c r="C9" s="201" t="s">
        <v>112</v>
      </c>
      <c r="D9" s="156" t="s">
        <v>112</v>
      </c>
      <c r="E9" s="147"/>
      <c r="F9" s="147"/>
      <c r="G9" s="147"/>
      <c r="H9" s="149"/>
    </row>
    <row r="10" spans="2:8" ht="11.25" customHeight="1">
      <c r="C10" s="150" t="s">
        <v>54</v>
      </c>
      <c r="D10" s="151" t="s">
        <v>54</v>
      </c>
      <c r="E10" s="147"/>
      <c r="F10" s="147"/>
      <c r="G10" s="147"/>
      <c r="H10" s="149"/>
    </row>
    <row r="11" spans="2:8">
      <c r="C11" s="201"/>
      <c r="D11" s="156"/>
      <c r="E11" s="147"/>
      <c r="F11" s="147"/>
      <c r="G11" s="151"/>
      <c r="H11" s="149"/>
    </row>
    <row r="12" spans="2:8">
      <c r="C12" s="146"/>
      <c r="D12" s="153"/>
      <c r="E12" s="147"/>
      <c r="F12" s="147"/>
      <c r="G12" s="153"/>
      <c r="H12" s="149"/>
    </row>
    <row r="13" spans="2:8">
      <c r="C13" s="150"/>
      <c r="D13" s="151"/>
      <c r="E13" s="147"/>
      <c r="F13" s="147"/>
      <c r="G13" s="151"/>
      <c r="H13" s="149"/>
    </row>
    <row r="14" spans="2:8">
      <c r="C14" s="150"/>
      <c r="D14" s="151"/>
      <c r="E14" s="147"/>
      <c r="F14" s="147"/>
      <c r="G14" s="153"/>
      <c r="H14" s="149"/>
    </row>
    <row r="15" spans="2:8">
      <c r="C15" s="150"/>
      <c r="D15" s="153"/>
      <c r="E15" s="147"/>
      <c r="F15" s="147"/>
      <c r="G15" s="153"/>
      <c r="H15" s="149"/>
    </row>
    <row r="16" spans="2:8">
      <c r="C16" s="150"/>
      <c r="D16" s="151"/>
      <c r="E16" s="154"/>
      <c r="F16" s="152"/>
      <c r="G16" s="153"/>
      <c r="H16" s="155"/>
    </row>
    <row r="17" spans="3:8">
      <c r="C17" s="201"/>
      <c r="D17" s="156"/>
      <c r="E17" s="156"/>
      <c r="F17" s="156"/>
      <c r="G17" s="156"/>
      <c r="H17" s="155"/>
    </row>
    <row r="18" spans="3:8">
      <c r="C18" s="150"/>
      <c r="D18" s="151"/>
      <c r="E18" s="154"/>
      <c r="F18" s="148"/>
      <c r="G18" s="156"/>
      <c r="H18" s="155"/>
    </row>
    <row r="19" spans="3:8">
      <c r="C19" s="150"/>
      <c r="D19" s="151"/>
      <c r="E19" s="154"/>
      <c r="F19" s="148"/>
      <c r="G19" s="157"/>
      <c r="H19" s="155"/>
    </row>
    <row r="20" spans="3:8">
      <c r="C20" s="150"/>
      <c r="D20" s="151"/>
      <c r="E20" s="154"/>
      <c r="F20" s="148"/>
      <c r="G20" s="156"/>
      <c r="H20" s="155"/>
    </row>
    <row r="21" spans="3:8">
      <c r="C21" s="158"/>
      <c r="D21" s="159"/>
      <c r="E21" s="154"/>
      <c r="F21" s="148"/>
      <c r="G21" s="153"/>
      <c r="H21" s="155"/>
    </row>
    <row r="22" spans="3:8">
      <c r="C22" s="150"/>
      <c r="D22" s="151"/>
      <c r="E22" s="154"/>
      <c r="F22" s="152"/>
      <c r="G22" s="153"/>
      <c r="H22" s="160"/>
    </row>
    <row r="23" spans="3:8">
      <c r="C23" s="150"/>
      <c r="D23" s="151"/>
      <c r="E23" s="154"/>
      <c r="F23" s="152"/>
      <c r="G23" s="156"/>
      <c r="H23" s="160"/>
    </row>
    <row r="24" spans="3:8">
      <c r="C24" s="161"/>
      <c r="D24" s="162"/>
      <c r="E24" s="163"/>
      <c r="F24" s="164"/>
      <c r="G24" s="165"/>
      <c r="H24" s="166"/>
    </row>
    <row r="25" spans="3:8" ht="13.5" thickBot="1">
      <c r="C25" s="167"/>
      <c r="D25" s="168"/>
      <c r="E25" s="168"/>
      <c r="F25" s="169"/>
      <c r="G25" s="170"/>
      <c r="H25" s="171"/>
    </row>
    <row r="26" spans="3:8" ht="13.5" thickTop="1"/>
    <row r="41" spans="7:9">
      <c r="G41" s="131"/>
      <c r="I41" s="172"/>
    </row>
    <row r="43" spans="7:9">
      <c r="G43" s="131"/>
      <c r="H43" s="172"/>
      <c r="I43" s="172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Z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17" sqref="E17"/>
    </sheetView>
  </sheetViews>
  <sheetFormatPr defaultRowHeight="12.75"/>
  <cols>
    <col min="1" max="1" width="2.28515625" style="44" customWidth="1"/>
    <col min="2" max="2" width="23.42578125" style="45" customWidth="1"/>
    <col min="3" max="4" width="6.5703125" style="45" bestFit="1" customWidth="1"/>
    <col min="5" max="5" width="24.5703125" style="44" customWidth="1"/>
    <col min="6" max="6" width="13.7109375" style="44" customWidth="1"/>
    <col min="7" max="7" width="12.7109375" style="44" bestFit="1" customWidth="1"/>
    <col min="8" max="8" width="1.85546875" style="44" customWidth="1"/>
    <col min="9" max="9" width="6.85546875" style="44" bestFit="1" customWidth="1"/>
    <col min="10" max="10" width="3.140625" style="44" customWidth="1"/>
    <col min="11" max="15" width="3.7109375" style="44" customWidth="1"/>
    <col min="16" max="16" width="6.85546875" style="44" bestFit="1" customWidth="1"/>
    <col min="17" max="22" width="3.7109375" style="44" customWidth="1"/>
    <col min="23" max="23" width="7.140625" style="44" bestFit="1" customWidth="1"/>
    <col min="24" max="29" width="3.7109375" style="44" customWidth="1"/>
    <col min="30" max="30" width="7" style="44" bestFit="1" customWidth="1"/>
    <col min="31" max="36" width="3.7109375" style="44" customWidth="1"/>
    <col min="37" max="37" width="4" style="44" customWidth="1"/>
    <col min="38" max="42" width="3" style="44" customWidth="1"/>
    <col min="43" max="52" width="9.140625" style="44"/>
    <col min="53" max="16384" width="9.140625" style="6"/>
  </cols>
  <sheetData>
    <row r="1" spans="2:42" ht="13.5" thickBot="1"/>
    <row r="2" spans="2:42">
      <c r="B2" s="46" t="s">
        <v>50</v>
      </c>
      <c r="C2" s="47"/>
      <c r="D2" s="48" t="str">
        <f ca="1">TEXT(E2,"ddd")</f>
        <v>Tue</v>
      </c>
      <c r="E2" s="49">
        <f ca="1">TODAY()</f>
        <v>39490</v>
      </c>
    </row>
    <row r="3" spans="2:42" ht="13.5" thickBot="1">
      <c r="B3" s="50" t="s">
        <v>49</v>
      </c>
      <c r="C3" s="51"/>
      <c r="D3" s="52" t="str">
        <f>TEXT(E3,"ddd")</f>
        <v>Mon</v>
      </c>
      <c r="E3" s="53">
        <v>39314</v>
      </c>
    </row>
    <row r="4" spans="2:42" ht="13.5" thickBot="1">
      <c r="D4" s="44"/>
      <c r="E4" s="54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2:42" ht="15.75" thickBot="1">
      <c r="B5" s="210" t="s">
        <v>53</v>
      </c>
      <c r="C5" s="211"/>
      <c r="D5" s="211"/>
      <c r="E5" s="211"/>
      <c r="F5" s="211"/>
      <c r="G5" s="212"/>
      <c r="I5" s="56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9"/>
      <c r="AL5" s="58"/>
      <c r="AM5" s="58"/>
      <c r="AN5" s="58"/>
      <c r="AO5" s="58"/>
      <c r="AP5" s="60"/>
    </row>
    <row r="6" spans="2:42" ht="13.5" thickBot="1">
      <c r="B6" s="61" t="s">
        <v>60</v>
      </c>
      <c r="C6" s="62">
        <v>4</v>
      </c>
      <c r="D6" s="63"/>
      <c r="E6" s="64" t="s">
        <v>61</v>
      </c>
      <c r="F6" s="65">
        <v>30</v>
      </c>
      <c r="G6" s="66"/>
      <c r="I6" s="67">
        <f>IF(D3="Mon",E3-0,IF(D3="Tue",E3-1,IF(D3="Wed",E3-2,IF(D3="Thu",E3-3,IF(D3="Fri",E3-4,IF(D3="Sat",E3-5,IF(D3="Sun",E3-6,"False")))))))</f>
        <v>39314</v>
      </c>
      <c r="J6" s="68">
        <f t="shared" ref="J6:O6" si="0">I6+1</f>
        <v>39315</v>
      </c>
      <c r="K6" s="68">
        <f t="shared" si="0"/>
        <v>39316</v>
      </c>
      <c r="L6" s="68">
        <f t="shared" si="0"/>
        <v>39317</v>
      </c>
      <c r="M6" s="68">
        <f t="shared" si="0"/>
        <v>39318</v>
      </c>
      <c r="N6" s="69">
        <f t="shared" si="0"/>
        <v>39319</v>
      </c>
      <c r="O6" s="69">
        <f t="shared" si="0"/>
        <v>39320</v>
      </c>
      <c r="P6" s="70">
        <f>I6+7</f>
        <v>39321</v>
      </c>
      <c r="Q6" s="68">
        <f t="shared" ref="Q6:V6" si="1">P6+1</f>
        <v>39322</v>
      </c>
      <c r="R6" s="68">
        <f t="shared" si="1"/>
        <v>39323</v>
      </c>
      <c r="S6" s="68">
        <f t="shared" si="1"/>
        <v>39324</v>
      </c>
      <c r="T6" s="68">
        <f t="shared" si="1"/>
        <v>39325</v>
      </c>
      <c r="U6" s="69">
        <f t="shared" si="1"/>
        <v>39326</v>
      </c>
      <c r="V6" s="69">
        <f t="shared" si="1"/>
        <v>39327</v>
      </c>
      <c r="W6" s="70">
        <f>P6+7</f>
        <v>39328</v>
      </c>
      <c r="X6" s="68">
        <f t="shared" ref="X6:AC6" si="2">W6+1</f>
        <v>39329</v>
      </c>
      <c r="Y6" s="68">
        <f t="shared" si="2"/>
        <v>39330</v>
      </c>
      <c r="Z6" s="68">
        <f t="shared" si="2"/>
        <v>39331</v>
      </c>
      <c r="AA6" s="68">
        <f t="shared" si="2"/>
        <v>39332</v>
      </c>
      <c r="AB6" s="69">
        <f t="shared" si="2"/>
        <v>39333</v>
      </c>
      <c r="AC6" s="69">
        <f t="shared" si="2"/>
        <v>39334</v>
      </c>
      <c r="AD6" s="70">
        <f>W6+7</f>
        <v>39335</v>
      </c>
      <c r="AE6" s="68">
        <f t="shared" ref="AE6:AJ6" si="3">AD6+1</f>
        <v>39336</v>
      </c>
      <c r="AF6" s="68">
        <f t="shared" si="3"/>
        <v>39337</v>
      </c>
      <c r="AG6" s="68">
        <f t="shared" si="3"/>
        <v>39338</v>
      </c>
      <c r="AH6" s="68">
        <f t="shared" si="3"/>
        <v>39339</v>
      </c>
      <c r="AI6" s="69">
        <f t="shared" si="3"/>
        <v>39340</v>
      </c>
      <c r="AJ6" s="69">
        <f t="shared" si="3"/>
        <v>39341</v>
      </c>
      <c r="AK6" s="213"/>
      <c r="AL6" s="214"/>
      <c r="AM6" s="214"/>
      <c r="AN6" s="214"/>
      <c r="AO6" s="214"/>
      <c r="AP6" s="215"/>
    </row>
    <row r="7" spans="2:42" ht="29.25" customHeight="1" thickBot="1">
      <c r="B7" s="71"/>
      <c r="C7" s="72"/>
      <c r="D7" s="63"/>
      <c r="E7" s="73" t="s">
        <v>51</v>
      </c>
      <c r="F7" s="73" t="s">
        <v>58</v>
      </c>
      <c r="G7" s="74" t="s">
        <v>52</v>
      </c>
      <c r="I7" s="75" t="s">
        <v>33</v>
      </c>
      <c r="J7" s="76" t="s">
        <v>40</v>
      </c>
      <c r="K7" s="76" t="s">
        <v>41</v>
      </c>
      <c r="L7" s="76" t="s">
        <v>40</v>
      </c>
      <c r="M7" s="76" t="s">
        <v>42</v>
      </c>
      <c r="N7" s="77" t="s">
        <v>34</v>
      </c>
      <c r="O7" s="78" t="s">
        <v>34</v>
      </c>
      <c r="P7" s="75" t="s">
        <v>33</v>
      </c>
      <c r="Q7" s="76" t="s">
        <v>40</v>
      </c>
      <c r="R7" s="76" t="s">
        <v>41</v>
      </c>
      <c r="S7" s="76" t="s">
        <v>40</v>
      </c>
      <c r="T7" s="76" t="s">
        <v>42</v>
      </c>
      <c r="U7" s="77" t="s">
        <v>34</v>
      </c>
      <c r="V7" s="78" t="s">
        <v>34</v>
      </c>
      <c r="W7" s="75" t="s">
        <v>33</v>
      </c>
      <c r="X7" s="76" t="s">
        <v>40</v>
      </c>
      <c r="Y7" s="76" t="s">
        <v>41</v>
      </c>
      <c r="Z7" s="76" t="s">
        <v>40</v>
      </c>
      <c r="AA7" s="76" t="s">
        <v>42</v>
      </c>
      <c r="AB7" s="77" t="s">
        <v>34</v>
      </c>
      <c r="AC7" s="78" t="s">
        <v>34</v>
      </c>
      <c r="AD7" s="75" t="s">
        <v>33</v>
      </c>
      <c r="AE7" s="76" t="s">
        <v>40</v>
      </c>
      <c r="AF7" s="76" t="s">
        <v>41</v>
      </c>
      <c r="AG7" s="76" t="s">
        <v>40</v>
      </c>
      <c r="AH7" s="76" t="s">
        <v>42</v>
      </c>
      <c r="AI7" s="77" t="s">
        <v>34</v>
      </c>
      <c r="AJ7" s="78" t="s">
        <v>34</v>
      </c>
      <c r="AK7" s="216" t="s">
        <v>48</v>
      </c>
      <c r="AL7" s="217"/>
      <c r="AM7" s="217"/>
      <c r="AN7" s="217"/>
      <c r="AO7" s="217"/>
      <c r="AP7" s="218"/>
    </row>
    <row r="8" spans="2:42" ht="13.5" thickBot="1">
      <c r="B8" s="79" t="s">
        <v>43</v>
      </c>
      <c r="C8" s="80">
        <f>SUM(G8:G25)</f>
        <v>0</v>
      </c>
      <c r="D8" s="81"/>
      <c r="E8" s="82"/>
      <c r="F8" s="83">
        <v>1</v>
      </c>
      <c r="G8" s="84">
        <f>SUMIF(Sprint!$D$3:$D$1838,E8,Sprint!$CR$3:$CR$1838)</f>
        <v>0</v>
      </c>
      <c r="H8" s="85"/>
      <c r="I8" s="91">
        <f t="shared" ref="I8:J20" si="4">IF(I$6&lt;$E$3,0,IF(ISBLANK($E8),0,IF(I$6&lt;$E$2,0,1)))</f>
        <v>0</v>
      </c>
      <c r="J8" s="92">
        <f t="shared" si="4"/>
        <v>0</v>
      </c>
      <c r="K8" s="92">
        <f t="shared" ref="K8:M23" si="5">IF(K$6&lt;$E$3,0,IF(ISBLANK($E8),0,IF(K$6&lt;$E$2,0,1)))</f>
        <v>0</v>
      </c>
      <c r="L8" s="92">
        <f t="shared" si="5"/>
        <v>0</v>
      </c>
      <c r="M8" s="92">
        <f t="shared" si="5"/>
        <v>0</v>
      </c>
      <c r="N8" s="86"/>
      <c r="O8" s="87"/>
      <c r="P8" s="91">
        <f t="shared" ref="P8:T20" si="6">IF(P$6&lt;$E$3,0,IF(ISBLANK($E8),0,IF(P$6&lt;$E$2,0,1)))</f>
        <v>0</v>
      </c>
      <c r="Q8" s="92">
        <f t="shared" si="6"/>
        <v>0</v>
      </c>
      <c r="R8" s="92">
        <f t="shared" si="6"/>
        <v>0</v>
      </c>
      <c r="S8" s="92">
        <f t="shared" si="6"/>
        <v>0</v>
      </c>
      <c r="T8" s="92">
        <f t="shared" si="6"/>
        <v>0</v>
      </c>
      <c r="U8" s="86"/>
      <c r="V8" s="87"/>
      <c r="W8" s="91">
        <f t="shared" ref="W8:AA20" si="7">IF(W$6&lt;$E$3,0,IF(ISBLANK($E8),0,IF(W$6&lt;$E$2,0,1)))</f>
        <v>0</v>
      </c>
      <c r="X8" s="92">
        <f t="shared" si="7"/>
        <v>0</v>
      </c>
      <c r="Y8" s="92">
        <f t="shared" si="7"/>
        <v>0</v>
      </c>
      <c r="Z8" s="92">
        <f t="shared" si="7"/>
        <v>0</v>
      </c>
      <c r="AA8" s="92">
        <f t="shared" si="7"/>
        <v>0</v>
      </c>
      <c r="AB8" s="86"/>
      <c r="AC8" s="87"/>
      <c r="AD8" s="91">
        <f t="shared" ref="AD8:AH20" si="8">IF(AD$6&lt;$E$3,0,IF(ISBLANK($E8),0,IF(AD$6&lt;$E$2,0,1)))</f>
        <v>0</v>
      </c>
      <c r="AE8" s="92">
        <f t="shared" si="8"/>
        <v>0</v>
      </c>
      <c r="AF8" s="92">
        <f t="shared" si="8"/>
        <v>0</v>
      </c>
      <c r="AG8" s="92">
        <f t="shared" si="8"/>
        <v>0</v>
      </c>
      <c r="AH8" s="92">
        <f t="shared" si="8"/>
        <v>0</v>
      </c>
      <c r="AI8" s="86"/>
      <c r="AJ8" s="87"/>
      <c r="AK8" s="207">
        <f t="shared" ref="AK8:AK25" si="9">IF(E8="unassigned",0,(COUNTIF(I8:AJ8,1)*$C$6)*F8)</f>
        <v>0</v>
      </c>
      <c r="AL8" s="208"/>
      <c r="AM8" s="208"/>
      <c r="AN8" s="208"/>
      <c r="AO8" s="208"/>
      <c r="AP8" s="209"/>
    </row>
    <row r="9" spans="2:42" ht="13.5" thickBot="1">
      <c r="B9" s="88" t="s">
        <v>44</v>
      </c>
      <c r="C9" s="80">
        <f>SUM(AK8:AP25)</f>
        <v>0</v>
      </c>
      <c r="D9" s="89"/>
      <c r="E9" s="18"/>
      <c r="F9" s="90">
        <v>1</v>
      </c>
      <c r="G9" s="84">
        <f>SUMIF(Sprint!$D$3:$D$1838,E9,Sprint!$CR$3:$CR$1838)</f>
        <v>0</v>
      </c>
      <c r="H9" s="85"/>
      <c r="I9" s="91">
        <f t="shared" si="4"/>
        <v>0</v>
      </c>
      <c r="J9" s="92">
        <f t="shared" si="4"/>
        <v>0</v>
      </c>
      <c r="K9" s="92">
        <f t="shared" si="5"/>
        <v>0</v>
      </c>
      <c r="L9" s="92">
        <f t="shared" si="5"/>
        <v>0</v>
      </c>
      <c r="M9" s="92">
        <f t="shared" si="5"/>
        <v>0</v>
      </c>
      <c r="N9" s="93"/>
      <c r="O9" s="94"/>
      <c r="P9" s="91">
        <f t="shared" si="6"/>
        <v>0</v>
      </c>
      <c r="Q9" s="92">
        <f t="shared" si="6"/>
        <v>0</v>
      </c>
      <c r="R9" s="92">
        <f t="shared" si="6"/>
        <v>0</v>
      </c>
      <c r="S9" s="92">
        <f t="shared" si="6"/>
        <v>0</v>
      </c>
      <c r="T9" s="92">
        <f t="shared" si="6"/>
        <v>0</v>
      </c>
      <c r="U9" s="93"/>
      <c r="V9" s="94"/>
      <c r="W9" s="91">
        <f t="shared" si="7"/>
        <v>0</v>
      </c>
      <c r="X9" s="92">
        <f t="shared" si="7"/>
        <v>0</v>
      </c>
      <c r="Y9" s="92">
        <f t="shared" si="7"/>
        <v>0</v>
      </c>
      <c r="Z9" s="92">
        <f t="shared" si="7"/>
        <v>0</v>
      </c>
      <c r="AA9" s="92">
        <f t="shared" si="7"/>
        <v>0</v>
      </c>
      <c r="AB9" s="93"/>
      <c r="AC9" s="94"/>
      <c r="AD9" s="91">
        <f t="shared" si="8"/>
        <v>0</v>
      </c>
      <c r="AE9" s="92">
        <f t="shared" si="8"/>
        <v>0</v>
      </c>
      <c r="AF9" s="92">
        <f t="shared" si="8"/>
        <v>0</v>
      </c>
      <c r="AG9" s="92">
        <f t="shared" si="8"/>
        <v>0</v>
      </c>
      <c r="AH9" s="92">
        <f t="shared" si="8"/>
        <v>0</v>
      </c>
      <c r="AI9" s="93"/>
      <c r="AJ9" s="94"/>
      <c r="AK9" s="207">
        <f t="shared" si="9"/>
        <v>0</v>
      </c>
      <c r="AL9" s="208"/>
      <c r="AM9" s="208"/>
      <c r="AN9" s="208"/>
      <c r="AO9" s="208"/>
      <c r="AP9" s="209"/>
    </row>
    <row r="10" spans="2:42" ht="13.5" thickBot="1">
      <c r="B10" s="95" t="s">
        <v>45</v>
      </c>
      <c r="C10" s="96">
        <f>C8-C9</f>
        <v>0</v>
      </c>
      <c r="D10" s="63"/>
      <c r="E10" s="18"/>
      <c r="F10" s="90">
        <v>1</v>
      </c>
      <c r="G10" s="84">
        <f>SUMIF(Sprint!$D$3:$D$1838,E10,Sprint!$CR$3:$CR$1838)</f>
        <v>0</v>
      </c>
      <c r="H10" s="85"/>
      <c r="I10" s="91">
        <f t="shared" si="4"/>
        <v>0</v>
      </c>
      <c r="J10" s="92">
        <f t="shared" si="4"/>
        <v>0</v>
      </c>
      <c r="K10" s="92">
        <f t="shared" si="5"/>
        <v>0</v>
      </c>
      <c r="L10" s="92">
        <f t="shared" si="5"/>
        <v>0</v>
      </c>
      <c r="M10" s="92">
        <f t="shared" si="5"/>
        <v>0</v>
      </c>
      <c r="N10" s="93"/>
      <c r="O10" s="94"/>
      <c r="P10" s="91">
        <f t="shared" si="6"/>
        <v>0</v>
      </c>
      <c r="Q10" s="92">
        <f t="shared" si="6"/>
        <v>0</v>
      </c>
      <c r="R10" s="92">
        <f t="shared" si="6"/>
        <v>0</v>
      </c>
      <c r="S10" s="92">
        <f t="shared" si="6"/>
        <v>0</v>
      </c>
      <c r="T10" s="92">
        <f t="shared" si="6"/>
        <v>0</v>
      </c>
      <c r="U10" s="93"/>
      <c r="V10" s="94"/>
      <c r="W10" s="91">
        <f t="shared" si="7"/>
        <v>0</v>
      </c>
      <c r="X10" s="92">
        <f t="shared" si="7"/>
        <v>0</v>
      </c>
      <c r="Y10" s="92">
        <f t="shared" si="7"/>
        <v>0</v>
      </c>
      <c r="Z10" s="92">
        <f t="shared" si="7"/>
        <v>0</v>
      </c>
      <c r="AA10" s="92">
        <f t="shared" si="7"/>
        <v>0</v>
      </c>
      <c r="AB10" s="93"/>
      <c r="AC10" s="94"/>
      <c r="AD10" s="91">
        <f t="shared" si="8"/>
        <v>0</v>
      </c>
      <c r="AE10" s="92">
        <f t="shared" si="8"/>
        <v>0</v>
      </c>
      <c r="AF10" s="92">
        <f t="shared" si="8"/>
        <v>0</v>
      </c>
      <c r="AG10" s="92">
        <f t="shared" si="8"/>
        <v>0</v>
      </c>
      <c r="AH10" s="92">
        <f t="shared" si="8"/>
        <v>0</v>
      </c>
      <c r="AI10" s="93"/>
      <c r="AJ10" s="94"/>
      <c r="AK10" s="207">
        <f t="shared" si="9"/>
        <v>0</v>
      </c>
      <c r="AL10" s="208"/>
      <c r="AM10" s="208"/>
      <c r="AN10" s="208"/>
      <c r="AO10" s="208"/>
      <c r="AP10" s="209"/>
    </row>
    <row r="11" spans="2:42" ht="13.5" thickBot="1">
      <c r="B11" s="97"/>
      <c r="D11" s="98"/>
      <c r="E11" s="18"/>
      <c r="F11" s="90">
        <v>1</v>
      </c>
      <c r="G11" s="84">
        <f>SUMIF(Sprint!$D$3:$D$1838,E11,Sprint!$CR$3:$CR$1838)</f>
        <v>0</v>
      </c>
      <c r="H11" s="85"/>
      <c r="I11" s="91">
        <f t="shared" si="4"/>
        <v>0</v>
      </c>
      <c r="J11" s="92">
        <f t="shared" si="4"/>
        <v>0</v>
      </c>
      <c r="K11" s="92">
        <f t="shared" si="5"/>
        <v>0</v>
      </c>
      <c r="L11" s="92">
        <f t="shared" si="5"/>
        <v>0</v>
      </c>
      <c r="M11" s="92">
        <f t="shared" si="5"/>
        <v>0</v>
      </c>
      <c r="N11" s="93"/>
      <c r="O11" s="94"/>
      <c r="P11" s="91">
        <f t="shared" si="6"/>
        <v>0</v>
      </c>
      <c r="Q11" s="92">
        <f t="shared" si="6"/>
        <v>0</v>
      </c>
      <c r="R11" s="92">
        <f t="shared" si="6"/>
        <v>0</v>
      </c>
      <c r="S11" s="92">
        <f t="shared" si="6"/>
        <v>0</v>
      </c>
      <c r="T11" s="92">
        <f t="shared" si="6"/>
        <v>0</v>
      </c>
      <c r="U11" s="93"/>
      <c r="V11" s="94"/>
      <c r="W11" s="91">
        <f t="shared" si="7"/>
        <v>0</v>
      </c>
      <c r="X11" s="92">
        <f t="shared" si="7"/>
        <v>0</v>
      </c>
      <c r="Y11" s="92">
        <f t="shared" si="7"/>
        <v>0</v>
      </c>
      <c r="Z11" s="92">
        <f t="shared" si="7"/>
        <v>0</v>
      </c>
      <c r="AA11" s="92">
        <f t="shared" si="7"/>
        <v>0</v>
      </c>
      <c r="AB11" s="93"/>
      <c r="AC11" s="94"/>
      <c r="AD11" s="91">
        <f t="shared" si="8"/>
        <v>0</v>
      </c>
      <c r="AE11" s="92">
        <f t="shared" si="8"/>
        <v>0</v>
      </c>
      <c r="AF11" s="92">
        <f t="shared" si="8"/>
        <v>0</v>
      </c>
      <c r="AG11" s="92">
        <f t="shared" si="8"/>
        <v>0</v>
      </c>
      <c r="AH11" s="92">
        <f t="shared" si="8"/>
        <v>0</v>
      </c>
      <c r="AI11" s="93"/>
      <c r="AJ11" s="94"/>
      <c r="AK11" s="207">
        <f t="shared" si="9"/>
        <v>0</v>
      </c>
      <c r="AL11" s="208"/>
      <c r="AM11" s="208"/>
      <c r="AN11" s="208"/>
      <c r="AO11" s="208"/>
      <c r="AP11" s="209"/>
    </row>
    <row r="12" spans="2:42" ht="13.5" thickBot="1">
      <c r="B12" s="97"/>
      <c r="D12" s="98"/>
      <c r="E12" s="18"/>
      <c r="F12" s="90">
        <v>1</v>
      </c>
      <c r="G12" s="84">
        <f>SUMIF(Sprint!$D$3:$D$1838,E12,Sprint!$CR$3:$CR$1838)</f>
        <v>0</v>
      </c>
      <c r="H12" s="85"/>
      <c r="I12" s="91">
        <f t="shared" si="4"/>
        <v>0</v>
      </c>
      <c r="J12" s="92">
        <f t="shared" si="4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3"/>
      <c r="O12" s="94"/>
      <c r="P12" s="91">
        <f t="shared" si="6"/>
        <v>0</v>
      </c>
      <c r="Q12" s="92">
        <f t="shared" si="6"/>
        <v>0</v>
      </c>
      <c r="R12" s="92">
        <f t="shared" si="6"/>
        <v>0</v>
      </c>
      <c r="S12" s="92">
        <f t="shared" si="6"/>
        <v>0</v>
      </c>
      <c r="T12" s="92">
        <f t="shared" si="6"/>
        <v>0</v>
      </c>
      <c r="U12" s="93"/>
      <c r="V12" s="94"/>
      <c r="W12" s="91">
        <f t="shared" si="7"/>
        <v>0</v>
      </c>
      <c r="X12" s="92">
        <f t="shared" si="7"/>
        <v>0</v>
      </c>
      <c r="Y12" s="92">
        <f t="shared" si="7"/>
        <v>0</v>
      </c>
      <c r="Z12" s="92">
        <f t="shared" si="7"/>
        <v>0</v>
      </c>
      <c r="AA12" s="92">
        <f t="shared" si="7"/>
        <v>0</v>
      </c>
      <c r="AB12" s="93"/>
      <c r="AC12" s="94"/>
      <c r="AD12" s="91">
        <f t="shared" si="8"/>
        <v>0</v>
      </c>
      <c r="AE12" s="92">
        <f t="shared" si="8"/>
        <v>0</v>
      </c>
      <c r="AF12" s="92">
        <f t="shared" si="8"/>
        <v>0</v>
      </c>
      <c r="AG12" s="92">
        <f t="shared" si="8"/>
        <v>0</v>
      </c>
      <c r="AH12" s="92">
        <f t="shared" si="8"/>
        <v>0</v>
      </c>
      <c r="AI12" s="93"/>
      <c r="AJ12" s="94"/>
      <c r="AK12" s="207">
        <f t="shared" si="9"/>
        <v>0</v>
      </c>
      <c r="AL12" s="208"/>
      <c r="AM12" s="208"/>
      <c r="AN12" s="208"/>
      <c r="AO12" s="208"/>
      <c r="AP12" s="209"/>
    </row>
    <row r="13" spans="2:42" ht="13.5" thickBot="1">
      <c r="B13" s="97"/>
      <c r="D13" s="99"/>
      <c r="E13" s="18"/>
      <c r="F13" s="90">
        <v>1</v>
      </c>
      <c r="G13" s="84">
        <f>SUMIF(Sprint!$D$3:$D$1838,E13,Sprint!$CR$3:$CR$1838)</f>
        <v>0</v>
      </c>
      <c r="H13" s="85"/>
      <c r="I13" s="91">
        <f t="shared" si="4"/>
        <v>0</v>
      </c>
      <c r="J13" s="92">
        <f t="shared" si="4"/>
        <v>0</v>
      </c>
      <c r="K13" s="92">
        <f t="shared" si="5"/>
        <v>0</v>
      </c>
      <c r="L13" s="92">
        <f t="shared" si="5"/>
        <v>0</v>
      </c>
      <c r="M13" s="92">
        <f t="shared" si="5"/>
        <v>0</v>
      </c>
      <c r="N13" s="93"/>
      <c r="O13" s="94"/>
      <c r="P13" s="91">
        <f t="shared" si="6"/>
        <v>0</v>
      </c>
      <c r="Q13" s="92">
        <f t="shared" si="6"/>
        <v>0</v>
      </c>
      <c r="R13" s="92">
        <f t="shared" si="6"/>
        <v>0</v>
      </c>
      <c r="S13" s="92">
        <f t="shared" si="6"/>
        <v>0</v>
      </c>
      <c r="T13" s="92">
        <f t="shared" si="6"/>
        <v>0</v>
      </c>
      <c r="U13" s="93"/>
      <c r="V13" s="94"/>
      <c r="W13" s="91">
        <f t="shared" si="7"/>
        <v>0</v>
      </c>
      <c r="X13" s="92">
        <f t="shared" si="7"/>
        <v>0</v>
      </c>
      <c r="Y13" s="92">
        <f t="shared" si="7"/>
        <v>0</v>
      </c>
      <c r="Z13" s="92">
        <f t="shared" si="7"/>
        <v>0</v>
      </c>
      <c r="AA13" s="92">
        <f t="shared" si="7"/>
        <v>0</v>
      </c>
      <c r="AB13" s="93"/>
      <c r="AC13" s="94"/>
      <c r="AD13" s="91">
        <f t="shared" si="8"/>
        <v>0</v>
      </c>
      <c r="AE13" s="92">
        <f t="shared" si="8"/>
        <v>0</v>
      </c>
      <c r="AF13" s="92">
        <f t="shared" si="8"/>
        <v>0</v>
      </c>
      <c r="AG13" s="92">
        <f t="shared" si="8"/>
        <v>0</v>
      </c>
      <c r="AH13" s="92">
        <f t="shared" si="8"/>
        <v>0</v>
      </c>
      <c r="AI13" s="93"/>
      <c r="AJ13" s="94"/>
      <c r="AK13" s="207">
        <f t="shared" si="9"/>
        <v>0</v>
      </c>
      <c r="AL13" s="208"/>
      <c r="AM13" s="208"/>
      <c r="AN13" s="208"/>
      <c r="AO13" s="208"/>
      <c r="AP13" s="209"/>
    </row>
    <row r="14" spans="2:42" ht="13.5" thickBot="1">
      <c r="B14" s="97"/>
      <c r="D14" s="63"/>
      <c r="E14" s="18"/>
      <c r="F14" s="90">
        <v>1</v>
      </c>
      <c r="G14" s="84">
        <f>SUMIF(Sprint!$D$3:$D$1838,E14,Sprint!$CR$3:$CR$1838)</f>
        <v>0</v>
      </c>
      <c r="H14" s="85"/>
      <c r="I14" s="91">
        <f t="shared" si="4"/>
        <v>0</v>
      </c>
      <c r="J14" s="92">
        <f t="shared" si="4"/>
        <v>0</v>
      </c>
      <c r="K14" s="92">
        <f t="shared" si="5"/>
        <v>0</v>
      </c>
      <c r="L14" s="92">
        <f t="shared" si="5"/>
        <v>0</v>
      </c>
      <c r="M14" s="92">
        <f t="shared" si="5"/>
        <v>0</v>
      </c>
      <c r="N14" s="93"/>
      <c r="O14" s="94"/>
      <c r="P14" s="91">
        <f t="shared" si="6"/>
        <v>0</v>
      </c>
      <c r="Q14" s="92">
        <f t="shared" si="6"/>
        <v>0</v>
      </c>
      <c r="R14" s="92">
        <f t="shared" si="6"/>
        <v>0</v>
      </c>
      <c r="S14" s="92">
        <f t="shared" si="6"/>
        <v>0</v>
      </c>
      <c r="T14" s="92">
        <f t="shared" si="6"/>
        <v>0</v>
      </c>
      <c r="U14" s="93"/>
      <c r="V14" s="94"/>
      <c r="W14" s="91">
        <f t="shared" si="7"/>
        <v>0</v>
      </c>
      <c r="X14" s="92">
        <f t="shared" si="7"/>
        <v>0</v>
      </c>
      <c r="Y14" s="92">
        <f t="shared" si="7"/>
        <v>0</v>
      </c>
      <c r="Z14" s="92">
        <f t="shared" si="7"/>
        <v>0</v>
      </c>
      <c r="AA14" s="92">
        <f t="shared" si="7"/>
        <v>0</v>
      </c>
      <c r="AB14" s="93"/>
      <c r="AC14" s="94"/>
      <c r="AD14" s="91">
        <f t="shared" si="8"/>
        <v>0</v>
      </c>
      <c r="AE14" s="92">
        <f t="shared" si="8"/>
        <v>0</v>
      </c>
      <c r="AF14" s="92">
        <f t="shared" si="8"/>
        <v>0</v>
      </c>
      <c r="AG14" s="92">
        <f t="shared" si="8"/>
        <v>0</v>
      </c>
      <c r="AH14" s="92">
        <f t="shared" si="8"/>
        <v>0</v>
      </c>
      <c r="AI14" s="93"/>
      <c r="AJ14" s="94"/>
      <c r="AK14" s="207">
        <f t="shared" si="9"/>
        <v>0</v>
      </c>
      <c r="AL14" s="208"/>
      <c r="AM14" s="208"/>
      <c r="AN14" s="208"/>
      <c r="AO14" s="208"/>
      <c r="AP14" s="209"/>
    </row>
    <row r="15" spans="2:42" ht="13.5" thickBot="1">
      <c r="B15" s="97"/>
      <c r="D15" s="63"/>
      <c r="E15" s="18"/>
      <c r="F15" s="90">
        <v>1</v>
      </c>
      <c r="G15" s="84">
        <f>SUMIF(Sprint!$D$3:$D$1838,E15,Sprint!$CR$3:$CR$1838)</f>
        <v>0</v>
      </c>
      <c r="H15" s="85"/>
      <c r="I15" s="91">
        <f t="shared" si="4"/>
        <v>0</v>
      </c>
      <c r="J15" s="92">
        <f t="shared" si="4"/>
        <v>0</v>
      </c>
      <c r="K15" s="92">
        <f t="shared" si="5"/>
        <v>0</v>
      </c>
      <c r="L15" s="92">
        <f t="shared" si="5"/>
        <v>0</v>
      </c>
      <c r="M15" s="92">
        <f t="shared" si="5"/>
        <v>0</v>
      </c>
      <c r="N15" s="93"/>
      <c r="O15" s="94"/>
      <c r="P15" s="91">
        <f t="shared" si="6"/>
        <v>0</v>
      </c>
      <c r="Q15" s="92">
        <f t="shared" si="6"/>
        <v>0</v>
      </c>
      <c r="R15" s="92">
        <f t="shared" si="6"/>
        <v>0</v>
      </c>
      <c r="S15" s="92">
        <f t="shared" si="6"/>
        <v>0</v>
      </c>
      <c r="T15" s="92">
        <f t="shared" si="6"/>
        <v>0</v>
      </c>
      <c r="U15" s="93"/>
      <c r="V15" s="94"/>
      <c r="W15" s="91">
        <f t="shared" si="7"/>
        <v>0</v>
      </c>
      <c r="X15" s="92">
        <f t="shared" si="7"/>
        <v>0</v>
      </c>
      <c r="Y15" s="92">
        <f t="shared" si="7"/>
        <v>0</v>
      </c>
      <c r="Z15" s="92">
        <f t="shared" si="7"/>
        <v>0</v>
      </c>
      <c r="AA15" s="92">
        <f t="shared" si="7"/>
        <v>0</v>
      </c>
      <c r="AB15" s="93"/>
      <c r="AC15" s="94"/>
      <c r="AD15" s="91">
        <f t="shared" si="8"/>
        <v>0</v>
      </c>
      <c r="AE15" s="92">
        <f t="shared" si="8"/>
        <v>0</v>
      </c>
      <c r="AF15" s="92">
        <f t="shared" si="8"/>
        <v>0</v>
      </c>
      <c r="AG15" s="92">
        <f t="shared" si="8"/>
        <v>0</v>
      </c>
      <c r="AH15" s="92">
        <f t="shared" si="8"/>
        <v>0</v>
      </c>
      <c r="AI15" s="93"/>
      <c r="AJ15" s="94"/>
      <c r="AK15" s="207">
        <f t="shared" si="9"/>
        <v>0</v>
      </c>
      <c r="AL15" s="208"/>
      <c r="AM15" s="208"/>
      <c r="AN15" s="208"/>
      <c r="AO15" s="208"/>
      <c r="AP15" s="209"/>
    </row>
    <row r="16" spans="2:42" ht="13.5" thickBot="1">
      <c r="B16" s="97"/>
      <c r="D16" s="99"/>
      <c r="E16" s="18" t="s">
        <v>54</v>
      </c>
      <c r="F16" s="90">
        <v>1</v>
      </c>
      <c r="G16" s="84">
        <f>SUMIF(Sprint!$D$3:$D$1838,E16,Sprint!$CR$3:$CR$1838)</f>
        <v>0</v>
      </c>
      <c r="H16" s="85"/>
      <c r="I16" s="91">
        <f t="shared" ca="1" si="4"/>
        <v>0</v>
      </c>
      <c r="J16" s="92">
        <f t="shared" ca="1" si="4"/>
        <v>0</v>
      </c>
      <c r="K16" s="92">
        <f t="shared" ca="1" si="5"/>
        <v>0</v>
      </c>
      <c r="L16" s="92">
        <f t="shared" ca="1" si="5"/>
        <v>0</v>
      </c>
      <c r="M16" s="92">
        <f t="shared" ca="1" si="5"/>
        <v>0</v>
      </c>
      <c r="N16" s="93"/>
      <c r="O16" s="94"/>
      <c r="P16" s="91">
        <f t="shared" ca="1" si="6"/>
        <v>0</v>
      </c>
      <c r="Q16" s="92">
        <f t="shared" ca="1" si="6"/>
        <v>0</v>
      </c>
      <c r="R16" s="92">
        <f t="shared" ca="1" si="6"/>
        <v>0</v>
      </c>
      <c r="S16" s="92">
        <f t="shared" ca="1" si="6"/>
        <v>0</v>
      </c>
      <c r="T16" s="92">
        <f t="shared" ca="1" si="6"/>
        <v>0</v>
      </c>
      <c r="U16" s="93"/>
      <c r="V16" s="94"/>
      <c r="W16" s="91">
        <f t="shared" ca="1" si="7"/>
        <v>0</v>
      </c>
      <c r="X16" s="92">
        <f t="shared" ca="1" si="7"/>
        <v>0</v>
      </c>
      <c r="Y16" s="92">
        <f t="shared" ca="1" si="7"/>
        <v>0</v>
      </c>
      <c r="Z16" s="92">
        <f t="shared" ca="1" si="7"/>
        <v>0</v>
      </c>
      <c r="AA16" s="92">
        <f t="shared" ca="1" si="7"/>
        <v>0</v>
      </c>
      <c r="AB16" s="93"/>
      <c r="AC16" s="94"/>
      <c r="AD16" s="91">
        <f t="shared" ca="1" si="8"/>
        <v>0</v>
      </c>
      <c r="AE16" s="92">
        <f t="shared" ca="1" si="8"/>
        <v>0</v>
      </c>
      <c r="AF16" s="92">
        <f t="shared" ca="1" si="8"/>
        <v>0</v>
      </c>
      <c r="AG16" s="92">
        <f t="shared" ca="1" si="8"/>
        <v>0</v>
      </c>
      <c r="AH16" s="92">
        <f t="shared" ca="1" si="8"/>
        <v>0</v>
      </c>
      <c r="AI16" s="93"/>
      <c r="AJ16" s="94"/>
      <c r="AK16" s="207">
        <f t="shared" si="9"/>
        <v>0</v>
      </c>
      <c r="AL16" s="208"/>
      <c r="AM16" s="208"/>
      <c r="AN16" s="208"/>
      <c r="AO16" s="208"/>
      <c r="AP16" s="209"/>
    </row>
    <row r="17" spans="2:42" ht="13.5" thickBot="1">
      <c r="B17" s="97"/>
      <c r="D17" s="99"/>
      <c r="E17" s="18"/>
      <c r="F17" s="90"/>
      <c r="G17" s="84">
        <f>SUMIF(Sprint!$D$3:$D$1838,E17,Sprint!$CR$3:$CR$1838)</f>
        <v>0</v>
      </c>
      <c r="H17" s="100"/>
      <c r="I17" s="91">
        <f t="shared" si="4"/>
        <v>0</v>
      </c>
      <c r="J17" s="92">
        <f t="shared" si="4"/>
        <v>0</v>
      </c>
      <c r="K17" s="92">
        <f t="shared" si="5"/>
        <v>0</v>
      </c>
      <c r="L17" s="92">
        <f t="shared" si="5"/>
        <v>0</v>
      </c>
      <c r="M17" s="92">
        <f t="shared" si="5"/>
        <v>0</v>
      </c>
      <c r="N17" s="93"/>
      <c r="O17" s="94"/>
      <c r="P17" s="91">
        <f t="shared" si="6"/>
        <v>0</v>
      </c>
      <c r="Q17" s="92">
        <f t="shared" si="6"/>
        <v>0</v>
      </c>
      <c r="R17" s="92">
        <f t="shared" si="6"/>
        <v>0</v>
      </c>
      <c r="S17" s="92">
        <f t="shared" si="6"/>
        <v>0</v>
      </c>
      <c r="T17" s="92">
        <f t="shared" si="6"/>
        <v>0</v>
      </c>
      <c r="U17" s="93"/>
      <c r="V17" s="94"/>
      <c r="W17" s="91">
        <f t="shared" si="7"/>
        <v>0</v>
      </c>
      <c r="X17" s="92">
        <f t="shared" si="7"/>
        <v>0</v>
      </c>
      <c r="Y17" s="92">
        <f t="shared" si="7"/>
        <v>0</v>
      </c>
      <c r="Z17" s="92">
        <f t="shared" si="7"/>
        <v>0</v>
      </c>
      <c r="AA17" s="92">
        <f t="shared" si="7"/>
        <v>0</v>
      </c>
      <c r="AB17" s="93"/>
      <c r="AC17" s="94"/>
      <c r="AD17" s="91">
        <f t="shared" si="8"/>
        <v>0</v>
      </c>
      <c r="AE17" s="92">
        <f t="shared" si="8"/>
        <v>0</v>
      </c>
      <c r="AF17" s="92">
        <f t="shared" si="8"/>
        <v>0</v>
      </c>
      <c r="AG17" s="92">
        <f t="shared" si="8"/>
        <v>0</v>
      </c>
      <c r="AH17" s="92">
        <f t="shared" si="8"/>
        <v>0</v>
      </c>
      <c r="AI17" s="93"/>
      <c r="AJ17" s="94"/>
      <c r="AK17" s="207">
        <f t="shared" si="9"/>
        <v>0</v>
      </c>
      <c r="AL17" s="208"/>
      <c r="AM17" s="208"/>
      <c r="AN17" s="208"/>
      <c r="AO17" s="208"/>
      <c r="AP17" s="209"/>
    </row>
    <row r="18" spans="2:42" ht="13.5" thickBot="1">
      <c r="B18" s="97"/>
      <c r="D18" s="99"/>
      <c r="E18" s="18"/>
      <c r="F18" s="90"/>
      <c r="G18" s="84">
        <f>SUMIF(Sprint!$D$3:$D$1838,E18,Sprint!$CR$3:$CR$1838)</f>
        <v>0</v>
      </c>
      <c r="H18" s="100"/>
      <c r="I18" s="91">
        <f t="shared" si="4"/>
        <v>0</v>
      </c>
      <c r="J18" s="92">
        <f t="shared" si="4"/>
        <v>0</v>
      </c>
      <c r="K18" s="92">
        <f t="shared" si="5"/>
        <v>0</v>
      </c>
      <c r="L18" s="92">
        <f t="shared" si="5"/>
        <v>0</v>
      </c>
      <c r="M18" s="92">
        <f t="shared" si="5"/>
        <v>0</v>
      </c>
      <c r="N18" s="93"/>
      <c r="O18" s="94"/>
      <c r="P18" s="91">
        <f t="shared" si="6"/>
        <v>0</v>
      </c>
      <c r="Q18" s="92">
        <f t="shared" si="6"/>
        <v>0</v>
      </c>
      <c r="R18" s="92">
        <f t="shared" si="6"/>
        <v>0</v>
      </c>
      <c r="S18" s="92">
        <f t="shared" si="6"/>
        <v>0</v>
      </c>
      <c r="T18" s="92">
        <f t="shared" si="6"/>
        <v>0</v>
      </c>
      <c r="U18" s="93"/>
      <c r="V18" s="94"/>
      <c r="W18" s="91">
        <f t="shared" si="7"/>
        <v>0</v>
      </c>
      <c r="X18" s="92">
        <f t="shared" si="7"/>
        <v>0</v>
      </c>
      <c r="Y18" s="92">
        <f t="shared" si="7"/>
        <v>0</v>
      </c>
      <c r="Z18" s="92">
        <f t="shared" si="7"/>
        <v>0</v>
      </c>
      <c r="AA18" s="92">
        <f t="shared" si="7"/>
        <v>0</v>
      </c>
      <c r="AB18" s="93"/>
      <c r="AC18" s="94"/>
      <c r="AD18" s="91">
        <f t="shared" si="8"/>
        <v>0</v>
      </c>
      <c r="AE18" s="92">
        <f t="shared" si="8"/>
        <v>0</v>
      </c>
      <c r="AF18" s="92">
        <f t="shared" si="8"/>
        <v>0</v>
      </c>
      <c r="AG18" s="92">
        <f t="shared" si="8"/>
        <v>0</v>
      </c>
      <c r="AH18" s="92">
        <f t="shared" si="8"/>
        <v>0</v>
      </c>
      <c r="AI18" s="93"/>
      <c r="AJ18" s="94"/>
      <c r="AK18" s="207">
        <f t="shared" si="9"/>
        <v>0</v>
      </c>
      <c r="AL18" s="208"/>
      <c r="AM18" s="208"/>
      <c r="AN18" s="208"/>
      <c r="AO18" s="208"/>
      <c r="AP18" s="209"/>
    </row>
    <row r="19" spans="2:42" ht="13.5" thickBot="1">
      <c r="B19" s="97"/>
      <c r="D19" s="99"/>
      <c r="E19" s="18"/>
      <c r="F19" s="90"/>
      <c r="G19" s="84">
        <f>SUMIF(Sprint!$D$3:$D$1838,E19,Sprint!$CR$3:$CR$1838)</f>
        <v>0</v>
      </c>
      <c r="H19" s="100"/>
      <c r="I19" s="91">
        <f t="shared" si="4"/>
        <v>0</v>
      </c>
      <c r="J19" s="92">
        <f t="shared" si="4"/>
        <v>0</v>
      </c>
      <c r="K19" s="92">
        <f t="shared" si="5"/>
        <v>0</v>
      </c>
      <c r="L19" s="92">
        <f t="shared" si="5"/>
        <v>0</v>
      </c>
      <c r="M19" s="92">
        <f t="shared" si="5"/>
        <v>0</v>
      </c>
      <c r="N19" s="93"/>
      <c r="O19" s="94"/>
      <c r="P19" s="91">
        <f t="shared" si="6"/>
        <v>0</v>
      </c>
      <c r="Q19" s="92">
        <f t="shared" si="6"/>
        <v>0</v>
      </c>
      <c r="R19" s="92">
        <f t="shared" si="6"/>
        <v>0</v>
      </c>
      <c r="S19" s="92">
        <f t="shared" si="6"/>
        <v>0</v>
      </c>
      <c r="T19" s="92">
        <f t="shared" si="6"/>
        <v>0</v>
      </c>
      <c r="U19" s="93"/>
      <c r="V19" s="94"/>
      <c r="W19" s="91">
        <f t="shared" si="7"/>
        <v>0</v>
      </c>
      <c r="X19" s="92">
        <f t="shared" si="7"/>
        <v>0</v>
      </c>
      <c r="Y19" s="92">
        <f t="shared" si="7"/>
        <v>0</v>
      </c>
      <c r="Z19" s="92">
        <f t="shared" si="7"/>
        <v>0</v>
      </c>
      <c r="AA19" s="92">
        <f t="shared" si="7"/>
        <v>0</v>
      </c>
      <c r="AB19" s="93"/>
      <c r="AC19" s="94"/>
      <c r="AD19" s="91">
        <f t="shared" si="8"/>
        <v>0</v>
      </c>
      <c r="AE19" s="92">
        <f t="shared" si="8"/>
        <v>0</v>
      </c>
      <c r="AF19" s="92">
        <f t="shared" si="8"/>
        <v>0</v>
      </c>
      <c r="AG19" s="92">
        <f t="shared" si="8"/>
        <v>0</v>
      </c>
      <c r="AH19" s="92">
        <f t="shared" si="8"/>
        <v>0</v>
      </c>
      <c r="AI19" s="93"/>
      <c r="AJ19" s="94"/>
      <c r="AK19" s="207">
        <f t="shared" si="9"/>
        <v>0</v>
      </c>
      <c r="AL19" s="208"/>
      <c r="AM19" s="208"/>
      <c r="AN19" s="208"/>
      <c r="AO19" s="208"/>
      <c r="AP19" s="209"/>
    </row>
    <row r="20" spans="2:42" ht="13.5" thickBot="1">
      <c r="B20" s="97"/>
      <c r="D20" s="99"/>
      <c r="E20" s="18"/>
      <c r="F20" s="90"/>
      <c r="G20" s="84">
        <f>SUMIF(Sprint!$D$3:$D$1838,E20,Sprint!$CR$3:$CR$1838)</f>
        <v>0</v>
      </c>
      <c r="H20" s="100"/>
      <c r="I20" s="91">
        <f t="shared" si="4"/>
        <v>0</v>
      </c>
      <c r="J20" s="92">
        <f t="shared" si="4"/>
        <v>0</v>
      </c>
      <c r="K20" s="92">
        <f t="shared" si="5"/>
        <v>0</v>
      </c>
      <c r="L20" s="92">
        <f t="shared" si="5"/>
        <v>0</v>
      </c>
      <c r="M20" s="92">
        <f t="shared" si="5"/>
        <v>0</v>
      </c>
      <c r="N20" s="93"/>
      <c r="O20" s="94"/>
      <c r="P20" s="91">
        <f t="shared" si="6"/>
        <v>0</v>
      </c>
      <c r="Q20" s="92">
        <f t="shared" si="6"/>
        <v>0</v>
      </c>
      <c r="R20" s="92">
        <f t="shared" si="6"/>
        <v>0</v>
      </c>
      <c r="S20" s="92">
        <f t="shared" si="6"/>
        <v>0</v>
      </c>
      <c r="T20" s="92">
        <f t="shared" si="6"/>
        <v>0</v>
      </c>
      <c r="U20" s="93"/>
      <c r="V20" s="94"/>
      <c r="W20" s="91">
        <f t="shared" si="7"/>
        <v>0</v>
      </c>
      <c r="X20" s="92">
        <f t="shared" si="7"/>
        <v>0</v>
      </c>
      <c r="Y20" s="92">
        <f t="shared" si="7"/>
        <v>0</v>
      </c>
      <c r="Z20" s="92">
        <f t="shared" si="7"/>
        <v>0</v>
      </c>
      <c r="AA20" s="92">
        <f t="shared" si="7"/>
        <v>0</v>
      </c>
      <c r="AB20" s="93"/>
      <c r="AC20" s="94"/>
      <c r="AD20" s="91">
        <f t="shared" si="8"/>
        <v>0</v>
      </c>
      <c r="AE20" s="92">
        <f t="shared" si="8"/>
        <v>0</v>
      </c>
      <c r="AF20" s="92">
        <f t="shared" si="8"/>
        <v>0</v>
      </c>
      <c r="AG20" s="92">
        <f t="shared" si="8"/>
        <v>0</v>
      </c>
      <c r="AH20" s="92">
        <f t="shared" si="8"/>
        <v>0</v>
      </c>
      <c r="AI20" s="93"/>
      <c r="AJ20" s="94"/>
      <c r="AK20" s="207">
        <f t="shared" si="9"/>
        <v>0</v>
      </c>
      <c r="AL20" s="208"/>
      <c r="AM20" s="208"/>
      <c r="AN20" s="208"/>
      <c r="AO20" s="208"/>
      <c r="AP20" s="209"/>
    </row>
    <row r="21" spans="2:42" ht="13.5" thickBot="1">
      <c r="B21" s="97"/>
      <c r="C21" s="101"/>
      <c r="D21" s="99"/>
      <c r="E21" s="18"/>
      <c r="F21" s="90"/>
      <c r="G21" s="84">
        <f>SUMIF(Sprint!$D$3:$D$1838,E21,Sprint!$CR$3:$CR$1838)</f>
        <v>0</v>
      </c>
      <c r="H21" s="100"/>
      <c r="I21" s="91">
        <f t="shared" ref="I21:J25" si="10">IF(I$6&lt;$E$3,0,IF(ISBLANK($E21),0,IF(I$6&lt;$E$2,0,1)))</f>
        <v>0</v>
      </c>
      <c r="J21" s="92">
        <f t="shared" si="10"/>
        <v>0</v>
      </c>
      <c r="K21" s="92">
        <f t="shared" si="5"/>
        <v>0</v>
      </c>
      <c r="L21" s="92">
        <f t="shared" si="5"/>
        <v>0</v>
      </c>
      <c r="M21" s="92">
        <f t="shared" si="5"/>
        <v>0</v>
      </c>
      <c r="N21" s="93"/>
      <c r="O21" s="94"/>
      <c r="P21" s="91">
        <f t="shared" ref="P21:Q25" si="11">IF(P$6&lt;$E$3,0,IF(ISBLANK($E21),0,IF(P$6&lt;$E$2,0,1)))</f>
        <v>0</v>
      </c>
      <c r="Q21" s="92">
        <f t="shared" si="11"/>
        <v>0</v>
      </c>
      <c r="R21" s="92">
        <f t="shared" ref="R21:T23" si="12">IF(R$6&lt;$E$3,0,IF(ISBLANK($E21),0,IF(R$6&lt;$E$2,0,1)))</f>
        <v>0</v>
      </c>
      <c r="S21" s="92">
        <f t="shared" si="12"/>
        <v>0</v>
      </c>
      <c r="T21" s="92">
        <f t="shared" si="12"/>
        <v>0</v>
      </c>
      <c r="U21" s="93"/>
      <c r="V21" s="94"/>
      <c r="W21" s="91">
        <f t="shared" ref="W21:AA23" si="13">IF(W$6&lt;$E$3,0,IF(ISBLANK($E21),0,IF(W$6&lt;$E$2,0,1)))</f>
        <v>0</v>
      </c>
      <c r="X21" s="92">
        <f t="shared" si="13"/>
        <v>0</v>
      </c>
      <c r="Y21" s="92">
        <f t="shared" si="13"/>
        <v>0</v>
      </c>
      <c r="Z21" s="92">
        <f t="shared" si="13"/>
        <v>0</v>
      </c>
      <c r="AA21" s="92">
        <f t="shared" si="13"/>
        <v>0</v>
      </c>
      <c r="AB21" s="93"/>
      <c r="AC21" s="94"/>
      <c r="AD21" s="91">
        <f>IF(AD$6&lt;$E$3,0,IF(ISBLANK($E21),0,IF(AD$6&lt;$E$2,0,1)))</f>
        <v>0</v>
      </c>
      <c r="AE21" s="92">
        <f t="shared" ref="AE21:AF23" si="14">IF(AE$6&lt;$E$3,0,IF(ISBLANK($E21),0,IF(AE$6&lt;$E$2,0,1)))</f>
        <v>0</v>
      </c>
      <c r="AF21" s="92">
        <f t="shared" si="14"/>
        <v>0</v>
      </c>
      <c r="AG21" s="92">
        <f t="shared" ref="AG21:AH23" si="15">IF(AG$6&lt;$E$3,0,IF(ISBLANK($E21),0,IF(AG$6&lt;$E$2,0,1)))</f>
        <v>0</v>
      </c>
      <c r="AH21" s="92">
        <f t="shared" si="15"/>
        <v>0</v>
      </c>
      <c r="AI21" s="93"/>
      <c r="AJ21" s="94"/>
      <c r="AK21" s="207">
        <f t="shared" si="9"/>
        <v>0</v>
      </c>
      <c r="AL21" s="208"/>
      <c r="AM21" s="208"/>
      <c r="AN21" s="208"/>
      <c r="AO21" s="208"/>
      <c r="AP21" s="209"/>
    </row>
    <row r="22" spans="2:42" ht="13.5" thickBot="1">
      <c r="B22" s="71"/>
      <c r="C22" s="102"/>
      <c r="D22" s="99"/>
      <c r="E22" s="18"/>
      <c r="F22" s="103"/>
      <c r="G22" s="84">
        <f>SUMIF(Sprint!$D$3:$D$1838,E22,Sprint!$CR$3:$CR$1838)</f>
        <v>0</v>
      </c>
      <c r="H22" s="100"/>
      <c r="I22" s="91">
        <f t="shared" si="10"/>
        <v>0</v>
      </c>
      <c r="J22" s="92">
        <f t="shared" si="10"/>
        <v>0</v>
      </c>
      <c r="K22" s="92">
        <f t="shared" si="5"/>
        <v>0</v>
      </c>
      <c r="L22" s="92">
        <f t="shared" si="5"/>
        <v>0</v>
      </c>
      <c r="M22" s="92">
        <f t="shared" si="5"/>
        <v>0</v>
      </c>
      <c r="N22" s="93"/>
      <c r="O22" s="94"/>
      <c r="P22" s="91">
        <f t="shared" si="11"/>
        <v>0</v>
      </c>
      <c r="Q22" s="92">
        <f t="shared" si="11"/>
        <v>0</v>
      </c>
      <c r="R22" s="92">
        <f t="shared" si="12"/>
        <v>0</v>
      </c>
      <c r="S22" s="92">
        <f t="shared" si="12"/>
        <v>0</v>
      </c>
      <c r="T22" s="92">
        <f t="shared" si="12"/>
        <v>0</v>
      </c>
      <c r="U22" s="93"/>
      <c r="V22" s="94"/>
      <c r="W22" s="91">
        <f t="shared" si="13"/>
        <v>0</v>
      </c>
      <c r="X22" s="92">
        <f t="shared" si="13"/>
        <v>0</v>
      </c>
      <c r="Y22" s="92">
        <f t="shared" si="13"/>
        <v>0</v>
      </c>
      <c r="Z22" s="92">
        <f t="shared" si="13"/>
        <v>0</v>
      </c>
      <c r="AA22" s="92">
        <f t="shared" si="13"/>
        <v>0</v>
      </c>
      <c r="AB22" s="93"/>
      <c r="AC22" s="94"/>
      <c r="AD22" s="91">
        <f>IF(AD$6&lt;$E$3,0,IF(ISBLANK($E22),0,IF(AD$6&lt;$E$2,0,1)))</f>
        <v>0</v>
      </c>
      <c r="AE22" s="92">
        <f t="shared" si="14"/>
        <v>0</v>
      </c>
      <c r="AF22" s="92">
        <f t="shared" si="14"/>
        <v>0</v>
      </c>
      <c r="AG22" s="92">
        <f t="shared" si="15"/>
        <v>0</v>
      </c>
      <c r="AH22" s="92">
        <f t="shared" si="15"/>
        <v>0</v>
      </c>
      <c r="AI22" s="93"/>
      <c r="AJ22" s="94"/>
      <c r="AK22" s="207">
        <f t="shared" si="9"/>
        <v>0</v>
      </c>
      <c r="AL22" s="208"/>
      <c r="AM22" s="208"/>
      <c r="AN22" s="208"/>
      <c r="AO22" s="208"/>
      <c r="AP22" s="209"/>
    </row>
    <row r="23" spans="2:42" ht="13.5" thickBot="1">
      <c r="B23" s="71"/>
      <c r="D23" s="99"/>
      <c r="E23" s="18"/>
      <c r="F23" s="103"/>
      <c r="G23" s="84">
        <f>SUMIF(Sprint!$D$3:$D$1838,E23,Sprint!$CR$3:$CR$1838)</f>
        <v>0</v>
      </c>
      <c r="H23" s="100"/>
      <c r="I23" s="91">
        <f t="shared" si="10"/>
        <v>0</v>
      </c>
      <c r="J23" s="92">
        <f t="shared" si="10"/>
        <v>0</v>
      </c>
      <c r="K23" s="92">
        <f t="shared" si="5"/>
        <v>0</v>
      </c>
      <c r="L23" s="92">
        <f t="shared" si="5"/>
        <v>0</v>
      </c>
      <c r="M23" s="92">
        <f t="shared" si="5"/>
        <v>0</v>
      </c>
      <c r="N23" s="93"/>
      <c r="O23" s="94"/>
      <c r="P23" s="91">
        <f t="shared" si="11"/>
        <v>0</v>
      </c>
      <c r="Q23" s="92">
        <f t="shared" si="11"/>
        <v>0</v>
      </c>
      <c r="R23" s="92">
        <f t="shared" si="12"/>
        <v>0</v>
      </c>
      <c r="S23" s="92">
        <f t="shared" si="12"/>
        <v>0</v>
      </c>
      <c r="T23" s="92">
        <f t="shared" si="12"/>
        <v>0</v>
      </c>
      <c r="U23" s="93"/>
      <c r="V23" s="94"/>
      <c r="W23" s="91">
        <f t="shared" si="13"/>
        <v>0</v>
      </c>
      <c r="X23" s="92">
        <f t="shared" si="13"/>
        <v>0</v>
      </c>
      <c r="Y23" s="92">
        <f t="shared" si="13"/>
        <v>0</v>
      </c>
      <c r="Z23" s="92">
        <f t="shared" si="13"/>
        <v>0</v>
      </c>
      <c r="AA23" s="92">
        <f t="shared" si="13"/>
        <v>0</v>
      </c>
      <c r="AB23" s="93"/>
      <c r="AC23" s="94"/>
      <c r="AD23" s="91">
        <f>IF(AD$6&lt;$E$3,0,IF(ISBLANK($E23),0,IF(AD$6&lt;$E$2,0,1)))</f>
        <v>0</v>
      </c>
      <c r="AE23" s="92">
        <f t="shared" si="14"/>
        <v>0</v>
      </c>
      <c r="AF23" s="92">
        <f t="shared" si="14"/>
        <v>0</v>
      </c>
      <c r="AG23" s="92">
        <f t="shared" si="15"/>
        <v>0</v>
      </c>
      <c r="AH23" s="92">
        <f t="shared" si="15"/>
        <v>0</v>
      </c>
      <c r="AI23" s="93"/>
      <c r="AJ23" s="94"/>
      <c r="AK23" s="207">
        <f t="shared" si="9"/>
        <v>0</v>
      </c>
      <c r="AL23" s="208"/>
      <c r="AM23" s="208"/>
      <c r="AN23" s="208"/>
      <c r="AO23" s="208"/>
      <c r="AP23" s="209"/>
    </row>
    <row r="24" spans="2:42" ht="13.5" thickBot="1">
      <c r="B24" s="97"/>
      <c r="D24" s="99"/>
      <c r="E24" s="18"/>
      <c r="F24" s="103"/>
      <c r="G24" s="84">
        <f>SUMIF(Sprint!$D$3:$D$1838,E24,Sprint!$CR$3:$CR$1838)</f>
        <v>0</v>
      </c>
      <c r="H24" s="100"/>
      <c r="I24" s="91">
        <f t="shared" si="10"/>
        <v>0</v>
      </c>
      <c r="J24" s="92">
        <f t="shared" si="10"/>
        <v>0</v>
      </c>
      <c r="K24" s="92">
        <f t="shared" ref="K24:M25" si="16">IF(K$6&lt;$E$3,0,IF(ISBLANK($E24),0,IF(K$6&lt;$E$2,0,1)))</f>
        <v>0</v>
      </c>
      <c r="L24" s="92">
        <f t="shared" si="16"/>
        <v>0</v>
      </c>
      <c r="M24" s="92">
        <f t="shared" si="16"/>
        <v>0</v>
      </c>
      <c r="N24" s="93"/>
      <c r="O24" s="94"/>
      <c r="P24" s="91">
        <f t="shared" si="11"/>
        <v>0</v>
      </c>
      <c r="Q24" s="92">
        <f t="shared" si="11"/>
        <v>0</v>
      </c>
      <c r="R24" s="92">
        <f t="shared" ref="R24:T25" si="17">IF(R$6&lt;$E$3,0,IF(ISBLANK($E24),0,IF(R$6&lt;$E$2,0,1)))</f>
        <v>0</v>
      </c>
      <c r="S24" s="92">
        <f t="shared" si="17"/>
        <v>0</v>
      </c>
      <c r="T24" s="92">
        <f t="shared" si="17"/>
        <v>0</v>
      </c>
      <c r="U24" s="93"/>
      <c r="V24" s="94"/>
      <c r="W24" s="91">
        <f>IF(W$6&lt;$E$3,0,IF(ISBLANK($E24),0,IF(W$6&lt;$E$2,0,1)))</f>
        <v>0</v>
      </c>
      <c r="X24" s="92">
        <f>IF(X$6&lt;$E$3,0,IF(ISBLANK($E24),0,IF(X$6&lt;$E$2,0,1)))</f>
        <v>0</v>
      </c>
      <c r="Y24" s="92">
        <f t="shared" ref="Y24:AA25" si="18">IF(Y$6&lt;$E$3,0,IF(ISBLANK($E24),0,IF(Y$6&lt;$E$2,0,1)))</f>
        <v>0</v>
      </c>
      <c r="Z24" s="92">
        <f t="shared" si="18"/>
        <v>0</v>
      </c>
      <c r="AA24" s="92">
        <f t="shared" si="18"/>
        <v>0</v>
      </c>
      <c r="AB24" s="93"/>
      <c r="AC24" s="94"/>
      <c r="AD24" s="91">
        <f>IF(AD$6&lt;$E$3,0,IF(ISBLANK($E24),0,IF(AD$6&lt;$E$2,0,1)))</f>
        <v>0</v>
      </c>
      <c r="AE24" s="92">
        <f>IF(AE$6&lt;$E$3,0,IF(ISBLANK($E24),0,IF(AE$6&lt;$E$2,0,1)))</f>
        <v>0</v>
      </c>
      <c r="AF24" s="92">
        <f t="shared" ref="AF24:AH25" si="19">IF(AF$6&lt;$E$3,0,IF(ISBLANK($E24),0,IF(AF$6&lt;$E$2,0,1)))</f>
        <v>0</v>
      </c>
      <c r="AG24" s="92">
        <f t="shared" si="19"/>
        <v>0</v>
      </c>
      <c r="AH24" s="92">
        <f t="shared" si="19"/>
        <v>0</v>
      </c>
      <c r="AI24" s="93"/>
      <c r="AJ24" s="94"/>
      <c r="AK24" s="207">
        <f t="shared" si="9"/>
        <v>0</v>
      </c>
      <c r="AL24" s="208"/>
      <c r="AM24" s="208"/>
      <c r="AN24" s="208"/>
      <c r="AO24" s="208"/>
      <c r="AP24" s="209"/>
    </row>
    <row r="25" spans="2:42" ht="13.5" thickBot="1">
      <c r="B25" s="97"/>
      <c r="D25" s="99"/>
      <c r="E25" s="104"/>
      <c r="F25" s="105"/>
      <c r="G25" s="84">
        <f>SUMIF(Sprint!$D$3:$D$1838,E25,Sprint!$CR$3:$CR$1838)</f>
        <v>0</v>
      </c>
      <c r="H25" s="100"/>
      <c r="I25" s="106">
        <f t="shared" si="10"/>
        <v>0</v>
      </c>
      <c r="J25" s="107">
        <f t="shared" si="10"/>
        <v>0</v>
      </c>
      <c r="K25" s="107">
        <f t="shared" si="16"/>
        <v>0</v>
      </c>
      <c r="L25" s="107">
        <f t="shared" si="16"/>
        <v>0</v>
      </c>
      <c r="M25" s="107">
        <f t="shared" si="16"/>
        <v>0</v>
      </c>
      <c r="N25" s="108"/>
      <c r="O25" s="109"/>
      <c r="P25" s="106">
        <f t="shared" si="11"/>
        <v>0</v>
      </c>
      <c r="Q25" s="107">
        <f t="shared" si="11"/>
        <v>0</v>
      </c>
      <c r="R25" s="107">
        <f t="shared" si="17"/>
        <v>0</v>
      </c>
      <c r="S25" s="107">
        <f t="shared" si="17"/>
        <v>0</v>
      </c>
      <c r="T25" s="107">
        <f t="shared" si="17"/>
        <v>0</v>
      </c>
      <c r="U25" s="108"/>
      <c r="V25" s="109"/>
      <c r="W25" s="106">
        <f>IF(W$6&lt;$E$3,0,IF(ISBLANK($E25),0,IF(W$6&lt;$E$2,0,1)))</f>
        <v>0</v>
      </c>
      <c r="X25" s="107">
        <f>IF(X$6&lt;$E$3,0,IF(ISBLANK($E25),0,IF(X$6&lt;$E$2,0,1)))</f>
        <v>0</v>
      </c>
      <c r="Y25" s="107">
        <f t="shared" si="18"/>
        <v>0</v>
      </c>
      <c r="Z25" s="107">
        <f t="shared" si="18"/>
        <v>0</v>
      </c>
      <c r="AA25" s="107">
        <f t="shared" si="18"/>
        <v>0</v>
      </c>
      <c r="AB25" s="108"/>
      <c r="AC25" s="109"/>
      <c r="AD25" s="106">
        <f>IF(AD$6&lt;$E$3,0,IF(ISBLANK($E25),0,IF(AD$6&lt;$E$2,0,1)))</f>
        <v>0</v>
      </c>
      <c r="AE25" s="107">
        <f>IF(AE$6&lt;$E$3,0,IF(ISBLANK($E25),0,IF(AE$6&lt;$E$2,0,1)))</f>
        <v>0</v>
      </c>
      <c r="AF25" s="107">
        <f t="shared" si="19"/>
        <v>0</v>
      </c>
      <c r="AG25" s="107">
        <f t="shared" si="19"/>
        <v>0</v>
      </c>
      <c r="AH25" s="107">
        <f t="shared" si="19"/>
        <v>0</v>
      </c>
      <c r="AI25" s="108"/>
      <c r="AJ25" s="109"/>
      <c r="AK25" s="207">
        <f t="shared" si="9"/>
        <v>0</v>
      </c>
      <c r="AL25" s="208"/>
      <c r="AM25" s="208"/>
      <c r="AN25" s="208"/>
      <c r="AO25" s="208"/>
      <c r="AP25" s="209"/>
    </row>
    <row r="26" spans="2:42">
      <c r="B26" s="97"/>
      <c r="D26" s="99"/>
      <c r="E26" s="110"/>
      <c r="F26" s="101"/>
      <c r="G26" s="111"/>
      <c r="I26" s="112"/>
      <c r="J26" s="113"/>
      <c r="K26" s="113"/>
      <c r="L26" s="113"/>
      <c r="M26" s="113"/>
      <c r="N26" s="114"/>
      <c r="O26" s="114"/>
      <c r="P26" s="113"/>
      <c r="Q26" s="113"/>
      <c r="R26" s="113"/>
      <c r="S26" s="113"/>
      <c r="T26" s="113"/>
      <c r="U26" s="114"/>
      <c r="V26" s="114"/>
      <c r="W26" s="113"/>
      <c r="X26" s="113"/>
      <c r="Y26" s="113"/>
      <c r="Z26" s="113"/>
      <c r="AA26" s="113"/>
      <c r="AB26" s="114"/>
      <c r="AC26" s="114"/>
      <c r="AD26" s="113"/>
      <c r="AE26" s="113"/>
      <c r="AF26" s="113"/>
      <c r="AG26" s="113"/>
      <c r="AH26" s="113"/>
      <c r="AI26" s="114"/>
      <c r="AJ26" s="114"/>
      <c r="AK26" s="115"/>
      <c r="AL26" s="115"/>
      <c r="AM26" s="115"/>
      <c r="AN26" s="115"/>
      <c r="AO26" s="115"/>
      <c r="AP26" s="116"/>
    </row>
    <row r="27" spans="2:42" ht="13.5" thickBot="1">
      <c r="B27" s="117"/>
      <c r="C27" s="118"/>
      <c r="D27" s="118"/>
      <c r="E27" s="119"/>
      <c r="F27" s="119"/>
      <c r="G27" s="120"/>
      <c r="I27" s="121"/>
      <c r="J27" s="119"/>
      <c r="K27" s="119"/>
      <c r="L27" s="119"/>
      <c r="M27" s="122"/>
      <c r="N27" s="122"/>
      <c r="O27" s="122"/>
      <c r="P27" s="122"/>
      <c r="Q27" s="122"/>
      <c r="R27" s="119"/>
      <c r="S27" s="119"/>
      <c r="T27" s="122"/>
      <c r="U27" s="122"/>
      <c r="V27" s="122"/>
      <c r="W27" s="122"/>
      <c r="X27" s="122"/>
      <c r="Y27" s="119"/>
      <c r="Z27" s="119"/>
      <c r="AA27" s="122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20"/>
    </row>
    <row r="29" spans="2:42">
      <c r="I29" s="123" t="s">
        <v>56</v>
      </c>
      <c r="J29" s="44" t="s">
        <v>46</v>
      </c>
      <c r="K29" s="44" t="s">
        <v>57</v>
      </c>
      <c r="Q29" s="123" t="s">
        <v>55</v>
      </c>
      <c r="R29" s="44" t="s">
        <v>46</v>
      </c>
      <c r="S29" s="44" t="s">
        <v>59</v>
      </c>
    </row>
    <row r="30" spans="2:42">
      <c r="C30" s="124"/>
      <c r="D30" s="124"/>
    </row>
    <row r="31" spans="2:42">
      <c r="B31" s="99"/>
      <c r="C31" s="124"/>
      <c r="D31" s="124"/>
      <c r="E31" s="125"/>
      <c r="J31" s="6"/>
    </row>
    <row r="32" spans="2:42">
      <c r="C32" s="124"/>
      <c r="D32" s="124"/>
      <c r="E32" s="125"/>
      <c r="F32" s="54"/>
    </row>
    <row r="37" spans="2:26">
      <c r="I37" s="126"/>
    </row>
    <row r="38" spans="2:26">
      <c r="J38" s="127"/>
      <c r="K38" s="128"/>
      <c r="L38" s="128"/>
      <c r="M38" s="128"/>
      <c r="N38" s="128"/>
      <c r="O38" s="128"/>
      <c r="Q38" s="127"/>
      <c r="R38" s="128"/>
      <c r="S38" s="128"/>
      <c r="T38" s="128"/>
      <c r="U38" s="128"/>
      <c r="V38" s="128"/>
      <c r="X38" s="128"/>
      <c r="Y38" s="129"/>
      <c r="Z38" s="128"/>
    </row>
    <row r="40" spans="2:26">
      <c r="E40" s="6"/>
    </row>
    <row r="45" spans="2:26">
      <c r="B45" s="130"/>
      <c r="E45" s="126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</mergeCells>
  <phoneticPr fontId="0" type="noConversion"/>
  <conditionalFormatting sqref="G8:G25">
    <cfRule type="expression" dxfId="24" priority="2" stopIfTrue="1">
      <formula>G8&gt;AK8</formula>
    </cfRule>
  </conditionalFormatting>
  <conditionalFormatting sqref="I8:M25 P8:T25 W8:AA25 AD8:AH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AL30:AL34 AL26:AL28 J32:J34 J26:J30 I26:I34 Q29 T26:AK34 N8:O25 K26:O34 U8:V25 AI8:AJ25 AB8:AC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AD6 W6 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AE6:AJ6 X6:AC6 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H8&gt;AL8</formula>
    </cfRule>
  </conditionalFormatting>
  <conditionalFormatting sqref="F30:F33">
    <cfRule type="expression" dxfId="10" priority="4" stopIfTrue="1">
      <formula>H28&gt;AL28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AK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Sprint</vt:lpstr>
      <vt:lpstr>Analysis</vt:lpstr>
      <vt:lpstr>Team Roster</vt:lpstr>
      <vt:lpstr>Capacity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Mitch Lacey</cp:lastModifiedBy>
  <cp:revision>1</cp:revision>
  <cp:lastPrinted>2005-08-15T09:18:22Z</cp:lastPrinted>
  <dcterms:created xsi:type="dcterms:W3CDTF">2005-01-26T21:50:47Z</dcterms:created>
  <dcterms:modified xsi:type="dcterms:W3CDTF">2008-02-12T19:31:57Z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