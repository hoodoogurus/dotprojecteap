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750" yWindow="1200" windowWidth="14640" windowHeight="6225" tabRatio="620" activeTab="5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0" r:id="rId6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44525"/>
</workbook>
</file>

<file path=xl/calcChain.xml><?xml version="1.0" encoding="utf-8"?>
<calcChain xmlns="http://schemas.openxmlformats.org/spreadsheetml/2006/main">
  <c r="B13" i="9" l="1"/>
  <c r="B14" i="9"/>
  <c r="B15" i="9"/>
  <c r="B16" i="9"/>
  <c r="B17" i="9"/>
  <c r="B18" i="9"/>
  <c r="B19" i="9"/>
  <c r="B20" i="9"/>
  <c r="B21" i="9"/>
  <c r="B22" i="9"/>
  <c r="B23" i="9"/>
  <c r="B24" i="9"/>
  <c r="E2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L31" i="7"/>
  <c r="K31" i="7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K14" i="7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O25" i="7" s="1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43" i="7" l="1"/>
  <c r="O60" i="7"/>
  <c r="R60" i="7" s="1"/>
  <c r="O44" i="7"/>
  <c r="R44" i="7" s="1"/>
  <c r="U44" i="7" s="1"/>
  <c r="G44" i="7"/>
  <c r="X44" i="7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R47" i="7" s="1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R37" i="7" s="1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R23" i="7" s="1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R17" i="7" s="1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R15" i="7" s="1"/>
  <c r="U15" i="7" s="1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U60" i="7"/>
  <c r="O59" i="7"/>
  <c r="R59" i="7" s="1"/>
  <c r="O57" i="7"/>
  <c r="O55" i="7"/>
  <c r="R55" i="7" s="1"/>
  <c r="U55" i="7" s="1"/>
  <c r="G55" i="7" s="1"/>
  <c r="O53" i="7"/>
  <c r="U53" i="7" s="1"/>
  <c r="O51" i="7"/>
  <c r="R51" i="7" s="1"/>
  <c r="U51" i="7" s="1"/>
  <c r="G51" i="7" s="1"/>
  <c r="O58" i="7"/>
  <c r="R57" i="7"/>
  <c r="U57" i="7" s="1"/>
  <c r="G57" i="7" s="1"/>
  <c r="O56" i="7"/>
  <c r="O54" i="7"/>
  <c r="R54" i="7" s="1"/>
  <c r="R53" i="7"/>
  <c r="O52" i="7"/>
  <c r="O50" i="7"/>
  <c r="R50" i="7" s="1"/>
  <c r="AA44" i="7"/>
  <c r="O48" i="7"/>
  <c r="O46" i="7"/>
  <c r="R46" i="7" s="1"/>
  <c r="U46" i="7" s="1"/>
  <c r="G46" i="7" s="1"/>
  <c r="R45" i="7"/>
  <c r="U45" i="7" s="1"/>
  <c r="O42" i="7"/>
  <c r="O40" i="7"/>
  <c r="R39" i="7"/>
  <c r="O38" i="7"/>
  <c r="O36" i="7"/>
  <c r="R35" i="7"/>
  <c r="O34" i="7"/>
  <c r="O32" i="7"/>
  <c r="R31" i="7"/>
  <c r="U31" i="7" s="1"/>
  <c r="O30" i="7"/>
  <c r="O28" i="7"/>
  <c r="U28" i="7" s="1"/>
  <c r="G28" i="7" s="1"/>
  <c r="R27" i="7"/>
  <c r="O26" i="7"/>
  <c r="O24" i="7"/>
  <c r="O7" i="7"/>
  <c r="U7" i="7" s="1"/>
  <c r="G7" i="7" s="1"/>
  <c r="O5" i="7"/>
  <c r="R5" i="7" s="1"/>
  <c r="O22" i="7"/>
  <c r="R19" i="7"/>
  <c r="O18" i="7"/>
  <c r="R18" i="7" s="1"/>
  <c r="U18" i="7" s="1"/>
  <c r="G18" i="7" s="1"/>
  <c r="O14" i="7"/>
  <c r="O12" i="7"/>
  <c r="R12" i="7" s="1"/>
  <c r="O10" i="7"/>
  <c r="O9" i="7"/>
  <c r="O8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6" i="7"/>
  <c r="U56" i="7" s="1"/>
  <c r="G56" i="7" s="1"/>
  <c r="R52" i="7"/>
  <c r="U52" i="7" s="1"/>
  <c r="G52" i="7" s="1"/>
  <c r="R48" i="7"/>
  <c r="R28" i="7"/>
  <c r="R25" i="7"/>
  <c r="R24" i="7"/>
  <c r="R22" i="7"/>
  <c r="U22" i="7" s="1"/>
  <c r="G22" i="7" s="1"/>
  <c r="R14" i="7"/>
  <c r="R10" i="7"/>
  <c r="R7" i="7"/>
  <c r="O6" i="7"/>
  <c r="R21" i="7"/>
  <c r="O20" i="7"/>
  <c r="O16" i="7"/>
  <c r="U14" i="7"/>
  <c r="G14" i="7" s="1"/>
  <c r="R13" i="7"/>
  <c r="O11" i="7"/>
  <c r="R9" i="7"/>
  <c r="R8" i="7"/>
  <c r="U8" i="7" s="1"/>
  <c r="G8" i="7" s="1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G31" i="7" l="1"/>
  <c r="X31" i="7"/>
  <c r="G53" i="7"/>
  <c r="X53" i="7"/>
  <c r="R43" i="7"/>
  <c r="U5" i="7"/>
  <c r="G5" i="7" s="1"/>
  <c r="X57" i="7"/>
  <c r="AA57" i="7" s="1"/>
  <c r="U59" i="7"/>
  <c r="G59" i="7" s="1"/>
  <c r="U35" i="7"/>
  <c r="AD44" i="7"/>
  <c r="AG44" i="7" s="1"/>
  <c r="G15" i="7"/>
  <c r="X15" i="7"/>
  <c r="G45" i="7"/>
  <c r="X45" i="7"/>
  <c r="AA45" i="7" s="1"/>
  <c r="G35" i="7"/>
  <c r="X35" i="7"/>
  <c r="U25" i="7"/>
  <c r="G25" i="7" s="1"/>
  <c r="X5" i="7"/>
  <c r="R11" i="7"/>
  <c r="U12" i="7"/>
  <c r="AA5" i="7"/>
  <c r="X8" i="7"/>
  <c r="U10" i="7"/>
  <c r="X14" i="7"/>
  <c r="AA14" i="7" s="1"/>
  <c r="R20" i="7"/>
  <c r="U20" i="7" s="1"/>
  <c r="G20" i="7" s="1"/>
  <c r="X22" i="7"/>
  <c r="R26" i="7"/>
  <c r="U29" i="7"/>
  <c r="R34" i="7"/>
  <c r="R36" i="7"/>
  <c r="R42" i="7"/>
  <c r="R49" i="7"/>
  <c r="X46" i="7"/>
  <c r="U13" i="7"/>
  <c r="G13" i="7" s="1"/>
  <c r="AA15" i="7"/>
  <c r="AD15" i="7" s="1"/>
  <c r="AG15" i="7" s="1"/>
  <c r="U17" i="7"/>
  <c r="U21" i="7"/>
  <c r="G21" i="7" s="1"/>
  <c r="U37" i="7"/>
  <c r="U39" i="7"/>
  <c r="U41" i="7"/>
  <c r="U47" i="7"/>
  <c r="R58" i="7"/>
  <c r="G60" i="7"/>
  <c r="X60" i="7"/>
  <c r="AA60" i="7" s="1"/>
  <c r="X10" i="7"/>
  <c r="U11" i="7"/>
  <c r="G11" i="7" s="1"/>
  <c r="AD5" i="7"/>
  <c r="U9" i="7"/>
  <c r="AA10" i="7"/>
  <c r="U27" i="7"/>
  <c r="R32" i="7"/>
  <c r="AA35" i="7"/>
  <c r="R38" i="7"/>
  <c r="U48" i="7"/>
  <c r="X48" i="7" s="1"/>
  <c r="U50" i="7"/>
  <c r="X51" i="7"/>
  <c r="U54" i="7"/>
  <c r="X55" i="7"/>
  <c r="X7" i="7"/>
  <c r="AA7" i="7" s="1"/>
  <c r="AA8" i="7"/>
  <c r="AD10" i="7"/>
  <c r="X11" i="7"/>
  <c r="X13" i="7"/>
  <c r="AA13" i="7" s="1"/>
  <c r="X21" i="7"/>
  <c r="AA21" i="7" s="1"/>
  <c r="AA22" i="7"/>
  <c r="R6" i="7"/>
  <c r="X9" i="7"/>
  <c r="AA9" i="7" s="1"/>
  <c r="R16" i="7"/>
  <c r="X18" i="7"/>
  <c r="U24" i="7"/>
  <c r="X25" i="7"/>
  <c r="AD35" i="7"/>
  <c r="X28" i="7"/>
  <c r="R30" i="7"/>
  <c r="AA31" i="7"/>
  <c r="U33" i="7"/>
  <c r="R40" i="7"/>
  <c r="AA46" i="7"/>
  <c r="X52" i="7"/>
  <c r="AA53" i="7"/>
  <c r="X56" i="7"/>
  <c r="U19" i="7"/>
  <c r="U23" i="7"/>
  <c r="R61" i="7"/>
  <c r="U61" i="7" s="1"/>
  <c r="X61" i="7" s="1"/>
  <c r="AA61" i="7" s="1"/>
  <c r="AG45" i="7" l="1"/>
  <c r="AJ45" i="7" s="1"/>
  <c r="AD45" i="7"/>
  <c r="X59" i="7"/>
  <c r="U43" i="7"/>
  <c r="AD60" i="7"/>
  <c r="AG60" i="7" s="1"/>
  <c r="G23" i="7"/>
  <c r="X23" i="7"/>
  <c r="G19" i="7"/>
  <c r="X19" i="7"/>
  <c r="U30" i="7"/>
  <c r="G30" i="7" s="1"/>
  <c r="G54" i="7"/>
  <c r="G48" i="7"/>
  <c r="U32" i="7"/>
  <c r="G9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U6" i="7"/>
  <c r="G6" i="7" s="1"/>
  <c r="AD28" i="7"/>
  <c r="AG28" i="7" s="1"/>
  <c r="X20" i="7"/>
  <c r="AA20" i="7"/>
  <c r="AD13" i="7"/>
  <c r="AG13" i="7" s="1"/>
  <c r="AJ13" i="7" s="1"/>
  <c r="AG5" i="7"/>
  <c r="AA19" i="7"/>
  <c r="AA55" i="7"/>
  <c r="AD55" i="7" s="1"/>
  <c r="AA51" i="7"/>
  <c r="AD51" i="7" s="1"/>
  <c r="AA56" i="7"/>
  <c r="AA52" i="7"/>
  <c r="AG35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G27" i="7"/>
  <c r="X27" i="7"/>
  <c r="AA27" i="7" s="1"/>
  <c r="U58" i="7"/>
  <c r="X58" i="7" s="1"/>
  <c r="G41" i="7"/>
  <c r="X41" i="7"/>
  <c r="G37" i="7"/>
  <c r="X37" i="7"/>
  <c r="AA37" i="7" s="1"/>
  <c r="U49" i="7"/>
  <c r="U34" i="7"/>
  <c r="G10" i="7"/>
  <c r="G12" i="7"/>
  <c r="X12" i="7"/>
  <c r="AD31" i="7"/>
  <c r="AD22" i="7"/>
  <c r="AD14" i="7"/>
  <c r="AG14" i="7" s="1"/>
  <c r="AD21" i="7"/>
  <c r="AA11" i="7"/>
  <c r="AA23" i="7"/>
  <c r="X54" i="7"/>
  <c r="X50" i="7"/>
  <c r="AD57" i="7"/>
  <c r="AD53" i="7"/>
  <c r="X38" i="7"/>
  <c r="AA18" i="7"/>
  <c r="AD18" i="7" s="1"/>
  <c r="U16" i="7"/>
  <c r="G16" i="7" s="1"/>
  <c r="AA25" i="7"/>
  <c r="AJ15" i="7"/>
  <c r="AD61" i="7"/>
  <c r="AD59" i="7" l="1"/>
  <c r="AA59" i="7"/>
  <c r="X43" i="7"/>
  <c r="AD43" i="7" s="1"/>
  <c r="X30" i="7"/>
  <c r="AG59" i="7"/>
  <c r="AA43" i="7"/>
  <c r="AS44" i="7"/>
  <c r="AJ14" i="7"/>
  <c r="AA12" i="7"/>
  <c r="G34" i="7"/>
  <c r="G49" i="7"/>
  <c r="G58" i="7"/>
  <c r="G40" i="7"/>
  <c r="AV44" i="7"/>
  <c r="AY44" i="7" s="1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31" i="7"/>
  <c r="X40" i="7"/>
  <c r="X26" i="7"/>
  <c r="X42" i="7"/>
  <c r="AG9" i="7"/>
  <c r="AG48" i="7"/>
  <c r="AJ51" i="7"/>
  <c r="X6" i="7"/>
  <c r="AG18" i="7"/>
  <c r="AD52" i="7"/>
  <c r="AG52" i="7" s="1"/>
  <c r="AG53" i="7"/>
  <c r="AD19" i="7"/>
  <c r="AJ35" i="7"/>
  <c r="AJ60" i="7"/>
  <c r="AD37" i="7"/>
  <c r="AD27" i="7"/>
  <c r="G38" i="7"/>
  <c r="AA38" i="7"/>
  <c r="AD38" i="7" s="1"/>
  <c r="AA17" i="7"/>
  <c r="AG55" i="7"/>
  <c r="AJ55" i="7" s="1"/>
  <c r="AJ5" i="7"/>
  <c r="G42" i="7"/>
  <c r="AA42" i="7"/>
  <c r="AD42" i="7" s="1"/>
  <c r="G32" i="7"/>
  <c r="AA32" i="7"/>
  <c r="AD23" i="7"/>
  <c r="AM13" i="7"/>
  <c r="X49" i="7"/>
  <c r="AJ59" i="7"/>
  <c r="AA58" i="7"/>
  <c r="AG23" i="7"/>
  <c r="AG25" i="7"/>
  <c r="AJ25" i="7" s="1"/>
  <c r="AM10" i="7"/>
  <c r="AP10" i="7" s="1"/>
  <c r="AD11" i="7"/>
  <c r="AA50" i="7"/>
  <c r="AA54" i="7"/>
  <c r="AM15" i="7"/>
  <c r="AM45" i="7"/>
  <c r="AA30" i="7"/>
  <c r="AA40" i="7"/>
  <c r="AD40" i="7" s="1"/>
  <c r="AA29" i="7"/>
  <c r="AD17" i="7"/>
  <c r="AD32" i="7"/>
  <c r="AG32" i="7"/>
  <c r="AA6" i="7"/>
  <c r="X16" i="7"/>
  <c r="AJ53" i="7"/>
  <c r="AM53" i="7" s="1"/>
  <c r="AP53" i="7" s="1"/>
  <c r="AS53" i="7" s="1"/>
  <c r="AV53" i="7" s="1"/>
  <c r="AY53" i="7" s="1"/>
  <c r="AD56" i="7"/>
  <c r="AG57" i="7"/>
  <c r="AA41" i="7"/>
  <c r="AG61" i="7"/>
  <c r="AG43" i="7" l="1"/>
  <c r="AJ43" i="7" s="1"/>
  <c r="AS10" i="7"/>
  <c r="AV10" i="7" s="1"/>
  <c r="AY10" i="7" s="1"/>
  <c r="AJ32" i="7"/>
  <c r="AM39" i="7"/>
  <c r="AM55" i="7"/>
  <c r="AP55" i="7" s="1"/>
  <c r="AS55" i="7" s="1"/>
  <c r="AV55" i="7" s="1"/>
  <c r="AY55" i="7" s="1"/>
  <c r="BB53" i="7"/>
  <c r="BE53" i="7" s="1"/>
  <c r="BH53" i="7" s="1"/>
  <c r="CE53" i="7"/>
  <c r="AP39" i="7"/>
  <c r="AS39" i="7" s="1"/>
  <c r="AV39" i="7" s="1"/>
  <c r="AY39" i="7" s="1"/>
  <c r="CE44" i="7"/>
  <c r="BE44" i="7"/>
  <c r="BB44" i="7"/>
  <c r="BW44" i="7"/>
  <c r="BZ44" i="7" s="1"/>
  <c r="CC44" i="7"/>
  <c r="AP45" i="7"/>
  <c r="AS45" i="7" s="1"/>
  <c r="AV45" i="7" s="1"/>
  <c r="AY45" i="7" s="1"/>
  <c r="AG17" i="7"/>
  <c r="AJ17" i="7" s="1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BN15" i="7"/>
  <c r="BQ15" i="7" s="1"/>
  <c r="AG11" i="7"/>
  <c r="AJ11" i="7" s="1"/>
  <c r="AM11" i="7" s="1"/>
  <c r="AP11" i="7" s="1"/>
  <c r="AS11" i="7" s="1"/>
  <c r="AV11" i="7" s="1"/>
  <c r="AY11" i="7" s="1"/>
  <c r="BT15" i="7"/>
  <c r="BW15" i="7" s="1"/>
  <c r="BZ15" i="7" s="1"/>
  <c r="CC15" i="7" s="1"/>
  <c r="AM5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AJ57" i="7"/>
  <c r="AM57" i="7" s="1"/>
  <c r="AP57" i="7" s="1"/>
  <c r="AS57" i="7" s="1"/>
  <c r="AV57" i="7" s="1"/>
  <c r="AY57" i="7" s="1"/>
  <c r="CE5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25" i="7"/>
  <c r="AP13" i="7"/>
  <c r="AS13" i="7" s="1"/>
  <c r="AV13" i="7" s="1"/>
  <c r="AY13" i="7" s="1"/>
  <c r="AJ61" i="7"/>
  <c r="AM43" i="7" l="1"/>
  <c r="AP43" i="7" s="1"/>
  <c r="AM32" i="7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Y25" i="7"/>
  <c r="BN25" i="7" s="1"/>
  <c r="BQ25" i="7" s="1"/>
  <c r="BT25" i="7" s="1"/>
  <c r="BW25" i="7" s="1"/>
  <c r="BZ25" i="7" s="1"/>
  <c r="CC25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CE28" i="7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AP32" i="7" l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S43" i="7"/>
  <c r="CE35" i="7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AY34" i="7" l="1"/>
  <c r="CE34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42" i="7"/>
  <c r="AV43" i="7"/>
  <c r="AY43" i="7" s="1"/>
  <c r="AS32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CE43" i="7" l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V32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12" i="9"/>
  <c r="B11" i="9"/>
  <c r="B10" i="9"/>
  <c r="B9" i="9"/>
  <c r="B2" i="9"/>
  <c r="B5" i="9"/>
  <c r="B4" i="9"/>
  <c r="B3" i="9"/>
  <c r="AY32" i="7" l="1"/>
  <c r="CE32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C14" i="9" l="1"/>
  <c r="C18" i="9"/>
  <c r="C20" i="9"/>
  <c r="C22" i="9"/>
  <c r="C24" i="9"/>
  <c r="C16" i="9"/>
  <c r="C23" i="9"/>
  <c r="C19" i="9"/>
  <c r="C21" i="9"/>
  <c r="C15" i="9"/>
  <c r="C17" i="9"/>
  <c r="C13" i="9"/>
  <c r="C9" i="9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12" i="9"/>
  <c r="C11" i="9"/>
  <c r="C10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I32" i="8" l="1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25" i="8"/>
  <c r="R29" i="8" s="1"/>
  <c r="R27" i="8"/>
  <c r="R28" i="8" s="1"/>
  <c r="R32" i="8"/>
  <c r="Q27" i="8" l="1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<sst xmlns="http://schemas.openxmlformats.org/spreadsheetml/2006/main" count="330" uniqueCount="150">
  <si>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</si>
  <si>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</si>
  <si>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</si>
  <si>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</si>
  <si>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</si>
  <si>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</si>
  <si>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</si>
  <si>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</si>
  <si>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</si>
  <si>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</si>
  <si>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</si>
  <si>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</si>
  <si>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</si>
  <si>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</si>
  <si>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</si>
  <si>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</si>
  <si>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</si>
  <si>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</si>
  <si>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</si>
  <si>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</si>
  <si>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</si>
  <si>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</si>
  <si>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</si>
  <si>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</si>
  <si>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</si>
  <si>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</si>
  <si>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</si>
  <si>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</si>
  <si>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</si>
  <si>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</si>
  <si>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</si>
  <si>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</si>
  <si>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</si>
  <si>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</si>
  <si>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</si>
  <si>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</si>
  <si>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</si>
  <si>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</si>
  <si>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</si>
  <si>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</si>
  <si>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</si>
  <si>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</si>
  <si>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</si>
  <si>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</si>
  <si>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</si>
  <si>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</si>
  <si>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</si>
  <si>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</si>
  <si>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</si>
  <si>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</si>
  <si>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</si>
  <si>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</si>
  <si>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</si>
  <si>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</si>
  <si>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</si>
  <si>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</si>
  <si>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</si>
  <si>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</si>
  <si>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</si>
  <si>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</si>
  <si>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</si>
  <si>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</si>
  <si>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</si>
  <si>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</si>
  <si>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</si>
  <si>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</si>
  <si>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</si>
  <si>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</si>
  <si>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</si>
  <si>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</si>
  <si>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</si>
  <si>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</si>
  <si>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</si>
  <si>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</si>
  <si>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</si>
  <si>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</si>
  <si>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</si>
  <si>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</si>
  <si>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</si>
  <si>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</si>
  <si>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</si>
  <si>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</si>
  <si>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</si>
  <si>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</si>
  <si>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</si>
  <si>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</si>
  <si>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</si>
  <si>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</si>
  <si>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</si>
  <si>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</si>
  <si>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</si>
  <si>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</si>
  <si>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</si>
  <si>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</si>
  <si>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</si>
  <si>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</si>
  <si>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</si>
  <si>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</si>
  <si>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</si>
  <si>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</si>
  <si>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</si>
  <si>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</si>
  <si>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</si>
  <si>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</si>
  <si>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</si>
  <si>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</si>
  <si>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</si>
  <si>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</si>
  <si>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</si>
  <si>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</si>
  <si>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</si>
  <si>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</si>
  <si>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</si>
  <si>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</si>
  <si>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</si>
  <si>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</si>
  <si>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</si>
  <si>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</si>
  <si>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</si>
  <si>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José</t>
  </si>
  <si>
    <t>Guilherme Fay</t>
  </si>
  <si>
    <t>Guilherme Calixto</t>
  </si>
  <si>
    <t>Rafael</t>
  </si>
  <si>
    <t>Renan</t>
  </si>
  <si>
    <t>Felipe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</si>
  <si>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</si>
  <si>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</si>
  <si>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</si>
  <si>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</si>
  <si>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</si>
  <si>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</si>
  <si>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</si>
  <si>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</si>
  <si>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Item</t>
  </si>
  <si>
    <t>Criar filho</t>
  </si>
  <si>
    <t>ID</t>
  </si>
  <si>
    <t>Nome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</si>
  <si>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</si>
  <si>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</si>
  <si>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</si>
  <si>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</si>
  <si>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</si>
  <si>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>criar ultimo nível que será de esforço</t>
  </si>
  <si>
    <t xml:space="preserve">Alterar o conteúdo do campo </t>
  </si>
  <si>
    <t xml:space="preserve">Product Becklog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</si>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</sst>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6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31" borderId="0" xfId="0" applyFill="1"/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26592"/>
        <c:axId val="104932864"/>
      </c:areaChart>
      <c:catAx>
        <c:axId val="10492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0493286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493286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4926592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78304"/>
        <c:axId val="10498496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78304"/>
        <c:axId val="104984960"/>
      </c:lineChart>
      <c:catAx>
        <c:axId val="104978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0498496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49849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10497830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468672"/>
        <c:axId val="107470208"/>
      </c:barChart>
      <c:catAx>
        <c:axId val="107468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7470208"/>
        <c:crosses val="autoZero"/>
        <c:auto val="1"/>
        <c:lblAlgn val="ctr"/>
        <c:lblOffset val="100"/>
        <c:noMultiLvlLbl val="0"/>
      </c:catAx>
      <c:valAx>
        <c:axId val="1074702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7468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215872"/>
        <c:axId val="107225856"/>
      </c:barChart>
      <c:catAx>
        <c:axId val="107215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7225856"/>
        <c:crosses val="autoZero"/>
        <c:auto val="1"/>
        <c:lblAlgn val="ctr"/>
        <c:lblOffset val="100"/>
        <c:noMultiLvlLbl val="0"/>
      </c:catAx>
      <c:valAx>
        <c:axId val="1072258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7215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58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251200"/>
        <c:axId val="107252736"/>
      </c:barChart>
      <c:catAx>
        <c:axId val="107251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7252736"/>
        <c:crosses val="autoZero"/>
        <c:auto val="1"/>
        <c:lblAlgn val="ctr"/>
        <c:lblOffset val="100"/>
        <c:noMultiLvlLbl val="0"/>
      </c:catAx>
      <c:valAx>
        <c:axId val="1072527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7251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4" sqref="E4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188">
        <f>SprintStart</f>
        <v>40868</v>
      </c>
      <c r="K1" s="188"/>
      <c r="L1" s="188"/>
      <c r="M1" s="188">
        <f>IF(AND(SkipWeekends, WEEKDAY(J1)=6),J1+3, J1+1)</f>
        <v>40869</v>
      </c>
      <c r="N1" s="188"/>
      <c r="O1" s="188"/>
      <c r="P1" s="188">
        <f>IF(AND(SkipWeekends, WEEKDAY(M1)=6),M1+3, M1+1)</f>
        <v>40870</v>
      </c>
      <c r="Q1" s="188"/>
      <c r="R1" s="188"/>
      <c r="S1" s="188">
        <f>IF(AND(SkipWeekends, WEEKDAY(P1)=6),P1+3, P1+1)</f>
        <v>40871</v>
      </c>
      <c r="T1" s="188"/>
      <c r="U1" s="188"/>
      <c r="V1" s="188">
        <f>IF(AND(SkipWeekends, WEEKDAY(S1)=6),S1+3, S1+1)</f>
        <v>40872</v>
      </c>
      <c r="W1" s="188"/>
      <c r="X1" s="188"/>
      <c r="Y1" s="188">
        <f>IF(AND(SkipWeekends, WEEKDAY(V1)=6),V1+3, V1+1)</f>
        <v>40873</v>
      </c>
      <c r="Z1" s="188"/>
      <c r="AA1" s="188"/>
      <c r="AB1" s="188">
        <f>IF(AND(SkipWeekends, WEEKDAY(Y1)=6),Y1+3, Y1+1)</f>
        <v>40874</v>
      </c>
      <c r="AC1" s="188"/>
      <c r="AD1" s="188"/>
      <c r="AE1" s="188">
        <f>IF(AND(SkipWeekends, WEEKDAY(AB1)=6),AB1+3, AB1+1)</f>
        <v>40875</v>
      </c>
      <c r="AF1" s="188"/>
      <c r="AG1" s="188"/>
      <c r="AH1" s="188">
        <f>IF(AND(SkipWeekends, WEEKDAY(AE1)=6),AE1+3, AE1+1)</f>
        <v>40876</v>
      </c>
      <c r="AI1" s="188"/>
      <c r="AJ1" s="188"/>
      <c r="AK1" s="188">
        <f>IF(AND(SkipWeekends, WEEKDAY(AH1)=6),AH1+3, AH1+1)</f>
        <v>40877</v>
      </c>
      <c r="AL1" s="188"/>
      <c r="AM1" s="188"/>
      <c r="AN1" s="188">
        <f>IF(AND(SkipWeekends, WEEKDAY(AK1)=6),AK1+3, AK1+1)</f>
        <v>40878</v>
      </c>
      <c r="AO1" s="188"/>
      <c r="AP1" s="188"/>
      <c r="AQ1" s="188">
        <f>IF(AND(SkipWeekends, WEEKDAY(AN1)=6),AN1+3, AN1+1)</f>
        <v>40879</v>
      </c>
      <c r="AR1" s="188"/>
      <c r="AS1" s="188"/>
      <c r="AT1" s="188">
        <f>IF(AND(SkipWeekends, WEEKDAY(AQ1)=6),AQ1+3, AQ1+1)</f>
        <v>40880</v>
      </c>
      <c r="AU1" s="188"/>
      <c r="AV1" s="188"/>
      <c r="AW1" s="188">
        <f>IF(AND(SkipWeekends, WEEKDAY(AT1)=6),AT1+3, AT1+1)</f>
        <v>40881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129</v>
      </c>
      <c r="C4" s="16" t="s">
        <v>133</v>
      </c>
      <c r="D4" s="17">
        <v>1</v>
      </c>
      <c r="E4" s="178" t="s">
        <v>134</v>
      </c>
      <c r="F4" s="18" t="s">
        <v>118</v>
      </c>
      <c r="G4" s="19" t="str">
        <f t="shared" ref="G4:G61" ca="1" si="0">(INDEX(Burndown,ROW(G4)-ROW(G$3),MIN(TODAY()-SprintStart,29)*3+3))</f>
        <v>Pending</v>
      </c>
      <c r="H4" s="20">
        <v>1</v>
      </c>
      <c r="I4" s="21">
        <v>0</v>
      </c>
      <c r="J4" s="22">
        <v>0</v>
      </c>
      <c r="K4" s="22">
        <f t="shared" ref="K4" si="1">MAX(I4-J4, 0)</f>
        <v>0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2">MAX(K4-M4,0)</f>
        <v>0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3">MAX(N4-P4,0)</f>
        <v>0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4">MAX(Q4-S4,0)</f>
        <v>0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5">MAX(T4-V4,0)</f>
        <v>0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6">MAX(W4-Y4,0)</f>
        <v>0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7">MAX(Z4-AB4,0)</f>
        <v>0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8">MAX(AC4-AE4,0)</f>
        <v>0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9">MAX(AF4-AH4,0)</f>
        <v>0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10">MAX(AI4-AK4,0)</f>
        <v>0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1">MAX(AL4-AN4,0)</f>
        <v>0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2">MAX(AO4-AQ4,0)</f>
        <v>0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3">MAX(AR4-AT4,0)</f>
        <v>0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4">MAX(AU4-AW4,0)</f>
        <v>0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 x14ac:dyDescent="0.2">
      <c r="A5" s="16"/>
      <c r="B5" s="16"/>
      <c r="C5" s="16"/>
      <c r="D5" s="17"/>
      <c r="E5" s="178"/>
      <c r="F5" s="18" t="s">
        <v>118</v>
      </c>
      <c r="G5" s="19" t="str">
        <f t="shared" ca="1" si="0"/>
        <v>Pending</v>
      </c>
      <c r="H5" s="20">
        <v>1</v>
      </c>
      <c r="I5" s="21">
        <v>0</v>
      </c>
      <c r="J5" s="22">
        <v>0</v>
      </c>
      <c r="K5" s="22">
        <f t="shared" ref="K5:K60" si="24">MAX(I5-J5, 0)</f>
        <v>0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0</v>
      </c>
      <c r="O5" s="23" t="str">
        <f>IF(SUMPRODUCT($J$64:N$64,$J5:N5)&lt;0.5, "Pending", IF(N5&lt;0.5, "Complete", "In Progress"))</f>
        <v>Pending</v>
      </c>
      <c r="P5" s="22">
        <v>0</v>
      </c>
      <c r="Q5" s="22">
        <f t="shared" ref="Q5:Q60" si="26">MAX(N5-P5,0)</f>
        <v>0</v>
      </c>
      <c r="R5" s="23" t="str">
        <f>IF(SUMPRODUCT($J$64:Q$64,$J5:Q5)&lt;0.5, "Pending", IF(Q5&lt;0.5, "Complete", "In Progress"))</f>
        <v>Pending</v>
      </c>
      <c r="S5" s="22">
        <v>0</v>
      </c>
      <c r="T5" s="22">
        <f t="shared" ref="T5:T60" si="27">MAX(Q5-S5,0)</f>
        <v>0</v>
      </c>
      <c r="U5" s="23" t="str">
        <f>IF(SUMPRODUCT($J$64:T$64,$J5:T5)&lt;0.5, "Pending", IF(T5&lt;0.5, "Complete", "In Progress"))</f>
        <v>Pending</v>
      </c>
      <c r="V5" s="22">
        <v>0</v>
      </c>
      <c r="W5" s="22">
        <f t="shared" ref="W5:W60" si="28">MAX(T5-V5,0)</f>
        <v>0</v>
      </c>
      <c r="X5" s="23" t="str">
        <f>IF(SUMPRODUCT($J$64:W$64,$J5:W5)&lt;0.5, "Pending", IF(W5&lt;0.5, "Complete", "In Progress"))</f>
        <v>Pending</v>
      </c>
      <c r="Y5" s="22">
        <v>0</v>
      </c>
      <c r="Z5" s="22">
        <f t="shared" ref="Z5:Z60" si="29">MAX(W5-Y5,0)</f>
        <v>0</v>
      </c>
      <c r="AA5" s="23" t="str">
        <f>IF(SUMPRODUCT($J$64:Z$64,$J5:Z5)&lt;0.5, "Pending", IF(Z5&lt;0.5, "Complete", "In Progress"))</f>
        <v>Pending</v>
      </c>
      <c r="AB5" s="22">
        <v>0</v>
      </c>
      <c r="AC5" s="22">
        <f t="shared" ref="AC5:AC60" si="30">MAX(Z5-AB5,0)</f>
        <v>0</v>
      </c>
      <c r="AD5" s="23" t="str">
        <f>IF(SUMPRODUCT($J$64:AC$64,$J5:AC5)&lt;0.5, "Pending", IF(AC5&lt;0.5, "Complete", "In Progress"))</f>
        <v>Pending</v>
      </c>
      <c r="AE5" s="22">
        <v>0</v>
      </c>
      <c r="AF5" s="22">
        <f t="shared" ref="AF5:AF60" si="31">MAX(AC5-AE5,0)</f>
        <v>0</v>
      </c>
      <c r="AG5" s="23" t="str">
        <f>IF(SUMPRODUCT($J$64:AF$64,$J5:AF5)&lt;0.5, "Pending", IF(AF5&lt;0.5, "Complete", "In Progress"))</f>
        <v>Pending</v>
      </c>
      <c r="AH5" s="22">
        <v>0</v>
      </c>
      <c r="AI5" s="22">
        <f t="shared" ref="AI5:AI60" si="32">MAX(AF5-AH5,0)</f>
        <v>0</v>
      </c>
      <c r="AJ5" s="23" t="str">
        <f>IF(SUMPRODUCT($J$64:AI$64,$J5:AI5)&lt;0.5, "Pending", IF(AI5&lt;0.5, "Complete", "In Progress"))</f>
        <v>Pending</v>
      </c>
      <c r="AK5" s="22">
        <v>0</v>
      </c>
      <c r="AL5" s="22">
        <f t="shared" ref="AL5:AL60" si="33">MAX(AI5-AK5,0)</f>
        <v>0</v>
      </c>
      <c r="AM5" s="23" t="str">
        <f>IF(SUMPRODUCT($J$64:AL$64,$J5:AL5)&lt;0.5, "Pending", IF(AL5&lt;0.5, "Complete", "In Progress"))</f>
        <v>Pending</v>
      </c>
      <c r="AN5" s="22">
        <v>0</v>
      </c>
      <c r="AO5" s="22">
        <f t="shared" ref="AO5:AO60" si="34">MAX(AL5-AN5,0)</f>
        <v>0</v>
      </c>
      <c r="AP5" s="23" t="str">
        <f>IF(SUMPRODUCT($J$64:AO$64,$J5:AO5)&lt;0.5, "Pending", IF(AO5&lt;0.5, "Complete", "In Progress"))</f>
        <v>Pending</v>
      </c>
      <c r="AQ5" s="22">
        <v>0</v>
      </c>
      <c r="AR5" s="22">
        <f t="shared" ref="AR5:AR60" si="35">MAX(AO5-AQ5,0)</f>
        <v>0</v>
      </c>
      <c r="AS5" s="23" t="str">
        <f>IF(SUMPRODUCT($J$64:AR$64,$J5:AR5)&lt;0.5, "Pending", IF(AR5&lt;0.5, "Complete", "In Progress"))</f>
        <v>Pending</v>
      </c>
      <c r="AT5" s="22">
        <v>0</v>
      </c>
      <c r="AU5" s="22">
        <f t="shared" ref="AU5:AU60" si="36">MAX(AR5-AT5,0)</f>
        <v>0</v>
      </c>
      <c r="AV5" s="23" t="str">
        <f>IF(SUMPRODUCT($J$64:AU$64,$J5:AU5)&lt;0.5, "Pending", IF(AU5&lt;0.5, "Complete", "In Progress"))</f>
        <v>Pending</v>
      </c>
      <c r="AW5" s="22">
        <v>0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0</v>
      </c>
    </row>
    <row r="6" spans="1:83" x14ac:dyDescent="0.2">
      <c r="A6" s="16"/>
      <c r="B6" s="16"/>
      <c r="C6" s="16"/>
      <c r="D6" s="17"/>
      <c r="E6" s="178"/>
      <c r="F6" s="18" t="s">
        <v>118</v>
      </c>
      <c r="G6" s="19" t="str">
        <f t="shared" ca="1" si="0"/>
        <v>Pending</v>
      </c>
      <c r="H6" s="20">
        <v>1</v>
      </c>
      <c r="I6" s="21">
        <v>0</v>
      </c>
      <c r="J6" s="22">
        <v>0</v>
      </c>
      <c r="K6" s="22">
        <f t="shared" si="24"/>
        <v>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0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/>
      <c r="B7" s="16"/>
      <c r="C7" s="16"/>
      <c r="D7" s="17"/>
      <c r="E7" s="178"/>
      <c r="F7" s="18" t="s">
        <v>118</v>
      </c>
      <c r="G7" s="19" t="str">
        <f t="shared" ca="1" si="0"/>
        <v>Pending</v>
      </c>
      <c r="H7" s="20">
        <v>1</v>
      </c>
      <c r="I7" s="21">
        <v>0</v>
      </c>
      <c r="J7" s="22">
        <v>0</v>
      </c>
      <c r="K7" s="22">
        <f t="shared" si="24"/>
        <v>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0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0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0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0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0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0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0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0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0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0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0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/>
      <c r="B8" s="16"/>
      <c r="C8" s="16"/>
      <c r="D8" s="17"/>
      <c r="E8" s="178"/>
      <c r="F8" s="18" t="s">
        <v>118</v>
      </c>
      <c r="G8" s="19" t="str">
        <f t="shared" ca="1" si="0"/>
        <v>Pending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/>
      <c r="B9" s="16"/>
      <c r="C9" s="16"/>
      <c r="D9" s="17"/>
      <c r="E9" s="178"/>
      <c r="F9" s="18" t="s">
        <v>118</v>
      </c>
      <c r="G9" s="19" t="str">
        <f t="shared" ca="1" si="0"/>
        <v>Pending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/>
      <c r="B10" s="16"/>
      <c r="C10" s="16"/>
      <c r="D10" s="17"/>
      <c r="E10" s="178"/>
      <c r="F10" s="18" t="s">
        <v>118</v>
      </c>
      <c r="G10" s="19" t="str">
        <f t="shared" ca="1" si="0"/>
        <v>Pending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/>
      <c r="B11" s="16"/>
      <c r="C11" s="16"/>
      <c r="D11" s="17"/>
      <c r="E11" s="178"/>
      <c r="F11" s="18" t="s">
        <v>118</v>
      </c>
      <c r="G11" s="19" t="str">
        <f t="shared" ca="1" si="0"/>
        <v>Pending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/>
      <c r="B12" s="16"/>
      <c r="C12" s="16"/>
      <c r="D12" s="17"/>
      <c r="E12" s="178"/>
      <c r="F12" s="18" t="s">
        <v>118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/>
      <c r="B13" s="16"/>
      <c r="C13" s="16"/>
      <c r="D13" s="17"/>
      <c r="E13" s="178"/>
      <c r="F13" s="18" t="s">
        <v>118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/>
      <c r="B14" s="16"/>
      <c r="C14" s="16"/>
      <c r="D14" s="17"/>
      <c r="E14" s="178"/>
      <c r="F14" s="18" t="s">
        <v>118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/>
      <c r="B15" s="16"/>
      <c r="C15" s="16"/>
      <c r="D15" s="17"/>
      <c r="E15" s="178"/>
      <c r="F15" s="18" t="s">
        <v>118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/>
      <c r="C16" s="16"/>
      <c r="D16" s="17"/>
      <c r="E16" s="178"/>
      <c r="F16" s="18" t="s">
        <v>118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/>
      <c r="E17" s="178"/>
      <c r="F17" s="18" t="s">
        <v>118</v>
      </c>
      <c r="G17" s="19" t="str">
        <f t="shared" ca="1" si="0"/>
        <v>Pending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8"/>
      <c r="F18" s="18" t="s">
        <v>118</v>
      </c>
      <c r="G18" s="19" t="str">
        <f t="shared" ca="1" si="0"/>
        <v>Pending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8"/>
      <c r="F19" s="18" t="s">
        <v>118</v>
      </c>
      <c r="G19" s="19" t="str">
        <f t="shared" ca="1" si="0"/>
        <v>Pending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8"/>
      <c r="F20" s="18" t="s">
        <v>118</v>
      </c>
      <c r="G20" s="19" t="str">
        <f t="shared" ca="1" si="0"/>
        <v>Pending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8"/>
      <c r="F21" s="18" t="s">
        <v>118</v>
      </c>
      <c r="G21" s="19" t="str">
        <f t="shared" ca="1" si="0"/>
        <v>Pending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8"/>
      <c r="F22" s="18" t="s">
        <v>118</v>
      </c>
      <c r="G22" s="19" t="str">
        <f t="shared" ca="1" si="0"/>
        <v>Pending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8"/>
      <c r="F23" s="18" t="s">
        <v>118</v>
      </c>
      <c r="G23" s="19" t="str">
        <f t="shared" ca="1" si="0"/>
        <v>Pending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118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118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118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118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118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118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118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118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118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118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118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118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118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118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118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118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118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118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118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118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118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118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118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118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118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118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118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118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118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118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118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118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118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118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118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118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7"/>
      <c r="F61" s="18" t="s">
        <v>48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89" t="s">
        <v>9</v>
      </c>
      <c r="K63" s="190"/>
      <c r="L63" s="30">
        <v>1</v>
      </c>
      <c r="M63" s="187" t="s">
        <v>9</v>
      </c>
      <c r="N63" s="191"/>
      <c r="O63" s="30">
        <f>L63+1</f>
        <v>2</v>
      </c>
      <c r="P63" s="187" t="s">
        <v>9</v>
      </c>
      <c r="Q63" s="191"/>
      <c r="R63" s="30">
        <f>O63+1</f>
        <v>3</v>
      </c>
      <c r="S63" s="187" t="s">
        <v>9</v>
      </c>
      <c r="T63" s="191"/>
      <c r="U63" s="30">
        <f>R63+1</f>
        <v>4</v>
      </c>
      <c r="V63" s="187" t="s">
        <v>9</v>
      </c>
      <c r="W63" s="191"/>
      <c r="X63" s="30">
        <f>U63+1</f>
        <v>5</v>
      </c>
      <c r="Y63" s="187" t="s">
        <v>9</v>
      </c>
      <c r="Z63" s="187"/>
      <c r="AA63" s="30">
        <f>X63+1</f>
        <v>6</v>
      </c>
      <c r="AB63" s="187" t="s">
        <v>9</v>
      </c>
      <c r="AC63" s="187"/>
      <c r="AD63" s="30">
        <f>AA63+1</f>
        <v>7</v>
      </c>
      <c r="AE63" s="187" t="s">
        <v>9</v>
      </c>
      <c r="AF63" s="187"/>
      <c r="AG63" s="30">
        <f>AD63+1</f>
        <v>8</v>
      </c>
      <c r="AH63" s="187" t="s">
        <v>9</v>
      </c>
      <c r="AI63" s="187"/>
      <c r="AJ63" s="30">
        <f>AG63+1</f>
        <v>9</v>
      </c>
      <c r="AK63" s="187" t="s">
        <v>9</v>
      </c>
      <c r="AL63" s="187"/>
      <c r="AM63" s="30">
        <f>AJ63+1</f>
        <v>10</v>
      </c>
      <c r="AN63" s="187" t="s">
        <v>9</v>
      </c>
      <c r="AO63" s="187"/>
      <c r="AP63" s="30">
        <f>AM63+1</f>
        <v>11</v>
      </c>
      <c r="AQ63" s="187" t="s">
        <v>9</v>
      </c>
      <c r="AR63" s="187"/>
      <c r="AS63" s="30">
        <f>AP63+1</f>
        <v>12</v>
      </c>
      <c r="AT63" s="187" t="s">
        <v>9</v>
      </c>
      <c r="AU63" s="187"/>
      <c r="AV63" s="30">
        <f>AS63+1</f>
        <v>13</v>
      </c>
      <c r="AW63" s="187" t="s">
        <v>9</v>
      </c>
      <c r="AX63" s="187"/>
      <c r="AY63" s="30">
        <f>AV63+1</f>
        <v>14</v>
      </c>
      <c r="AZ63" s="187" t="s">
        <v>9</v>
      </c>
      <c r="BA63" s="191"/>
      <c r="BB63" s="30" t="e">
        <f>#REF!+1</f>
        <v>#REF!</v>
      </c>
      <c r="BC63" s="187" t="s">
        <v>9</v>
      </c>
      <c r="BD63" s="191"/>
      <c r="BE63" s="30" t="e">
        <f>BB63+1</f>
        <v>#REF!</v>
      </c>
      <c r="BF63" s="187" t="s">
        <v>9</v>
      </c>
      <c r="BG63" s="191"/>
      <c r="BH63" s="30" t="e">
        <f>BE63+1</f>
        <v>#REF!</v>
      </c>
      <c r="BI63" s="187" t="s">
        <v>9</v>
      </c>
      <c r="BJ63" s="191"/>
      <c r="BK63" s="30" t="e">
        <f>BH63+1</f>
        <v>#REF!</v>
      </c>
      <c r="BL63" s="187" t="s">
        <v>9</v>
      </c>
      <c r="BM63" s="191"/>
      <c r="BN63" s="30" t="e">
        <f>BK63+1</f>
        <v>#REF!</v>
      </c>
      <c r="BO63" s="187" t="s">
        <v>9</v>
      </c>
      <c r="BP63" s="191"/>
      <c r="BQ63" s="30" t="e">
        <f>BN63+1</f>
        <v>#REF!</v>
      </c>
      <c r="BR63" s="187" t="s">
        <v>9</v>
      </c>
      <c r="BS63" s="191"/>
      <c r="BT63" s="30" t="e">
        <f>BQ63+1</f>
        <v>#REF!</v>
      </c>
      <c r="BU63" s="187" t="s">
        <v>9</v>
      </c>
      <c r="BV63" s="191"/>
      <c r="BW63" s="30" t="e">
        <f>BT63+1</f>
        <v>#REF!</v>
      </c>
      <c r="BX63" s="187" t="s">
        <v>9</v>
      </c>
      <c r="BY63" s="191"/>
      <c r="BZ63" s="30" t="e">
        <f>BW63+1</f>
        <v>#REF!</v>
      </c>
      <c r="CA63" s="187" t="s">
        <v>9</v>
      </c>
      <c r="CB63" s="191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0</v>
      </c>
      <c r="J67" s="156">
        <f>SUBTOTAL(109,J$4:J$62)</f>
        <v>0</v>
      </c>
      <c r="K67" s="156">
        <f>SUBTOTAL(109,K$4:K$61)</f>
        <v>0</v>
      </c>
      <c r="L67" s="39"/>
      <c r="M67" s="39">
        <f>SUBTOTAL(109,M$4:M$62)</f>
        <v>0</v>
      </c>
      <c r="N67" s="39">
        <f>SUBTOTAL(109,N$4:N$61)</f>
        <v>0</v>
      </c>
      <c r="O67" s="39"/>
      <c r="P67" s="39">
        <f>SUBTOTAL(109,P$4:P$62)</f>
        <v>0</v>
      </c>
      <c r="Q67" s="39">
        <f>SUBTOTAL(109,Q$4:Q$61)</f>
        <v>0</v>
      </c>
      <c r="R67" s="39"/>
      <c r="S67" s="39">
        <f>SUBTOTAL(109,S$4:S$62)</f>
        <v>0</v>
      </c>
      <c r="T67" s="39">
        <f>SUBTOTAL(109,T$4:T$61)</f>
        <v>0</v>
      </c>
      <c r="U67" s="39"/>
      <c r="V67" s="39">
        <f>SUBTOTAL(109,V$4:V$62)</f>
        <v>0</v>
      </c>
      <c r="W67" s="39">
        <f>SUBTOTAL(109,W$4:W$61)</f>
        <v>0</v>
      </c>
      <c r="X67" s="39"/>
      <c r="Y67" s="39">
        <f>SUBTOTAL(109,Y$4:Y$62)</f>
        <v>0</v>
      </c>
      <c r="Z67" s="39">
        <f>SUBTOTAL(109,Z$4:Z$61)</f>
        <v>0</v>
      </c>
      <c r="AA67" s="39"/>
      <c r="AB67" s="39">
        <f>SUBTOTAL(109,AB$4:AB$62)</f>
        <v>0</v>
      </c>
      <c r="AC67" s="39">
        <f>SUBTOTAL(109,AC$4:AC$61)</f>
        <v>0</v>
      </c>
      <c r="AD67" s="39"/>
      <c r="AE67" s="39">
        <f>SUBTOTAL(109,AE$4:AE$62)</f>
        <v>0</v>
      </c>
      <c r="AF67" s="39">
        <f>SUBTOTAL(109,AF$4:AF$61)</f>
        <v>0</v>
      </c>
      <c r="AG67" s="39"/>
      <c r="AH67" s="39">
        <f>SUBTOTAL(109,AH$4:AH$62)</f>
        <v>0</v>
      </c>
      <c r="AI67" s="39">
        <f>SUBTOTAL(109,AI$4:AI$61)</f>
        <v>0</v>
      </c>
      <c r="AJ67" s="39"/>
      <c r="AK67" s="39">
        <f>SUBTOTAL(109,AK$4:AK$62)</f>
        <v>0</v>
      </c>
      <c r="AL67" s="39">
        <f>SUBTOTAL(109,AL$4:AL$61)</f>
        <v>0</v>
      </c>
      <c r="AM67" s="39"/>
      <c r="AN67" s="39">
        <f>SUBTOTAL(109,AN$4:AN$62)</f>
        <v>0</v>
      </c>
      <c r="AO67" s="39">
        <f>SUBTOTAL(109,AO$4:AO$61)</f>
        <v>0</v>
      </c>
      <c r="AP67" s="39"/>
      <c r="AQ67" s="39">
        <f>SUBTOTAL(109,AQ$4:AQ$62)</f>
        <v>0</v>
      </c>
      <c r="AR67" s="39">
        <f>SUBTOTAL(109,AR$4:AR$61)</f>
        <v>0</v>
      </c>
      <c r="AS67" s="39"/>
      <c r="AT67" s="39">
        <f>SUBTOTAL(109,AT$4:AT$62)</f>
        <v>0</v>
      </c>
      <c r="AU67" s="39">
        <f>SUBTOTAL(109,AU$4:AU$61)</f>
        <v>0</v>
      </c>
      <c r="AV67" s="39"/>
      <c r="AW67" s="39">
        <f>SUBTOTAL(109,AW$4:AW$62)</f>
        <v>0</v>
      </c>
      <c r="AX67" s="39">
        <f>SUBTOTAL(109,AX$4:AX$61)</f>
        <v>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23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0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0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40868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40868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0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58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seg</v>
      </c>
      <c r="E2" s="48">
        <f ca="1">TODAY()</f>
        <v>40868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SUMIF(Sprint!$F$3:$F$1854,E8,Sprint!$AX$4:$AX$1854)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2">
        <f t="shared" ref="W8:W25" si="5">IF(E8="unassigned",0,(COUNTIF(I8:V8,1)*$C$6)*F8)</f>
        <v>0</v>
      </c>
      <c r="X8" s="193"/>
      <c r="Y8" s="193"/>
      <c r="Z8" s="193"/>
      <c r="AA8" s="193"/>
      <c r="AB8" s="19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SUMIF(Sprint!$F$3:$F$1854,E9,Sprint!$AX$4:$AX$1854)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2">
        <f t="shared" si="5"/>
        <v>0</v>
      </c>
      <c r="X9" s="193"/>
      <c r="Y9" s="193"/>
      <c r="Z9" s="193"/>
      <c r="AA9" s="193"/>
      <c r="AB9" s="194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SUMIF(Sprint!$F$3:$F$1854,E10,Sprint!$AX$4:$AX$1854)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2">
        <f t="shared" si="5"/>
        <v>0</v>
      </c>
      <c r="X10" s="193"/>
      <c r="Y10" s="193"/>
      <c r="Z10" s="193"/>
      <c r="AA10" s="193"/>
      <c r="AB10" s="194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SUMIF(Sprint!$F$3:$F$1854,E11,Sprint!$AX$4:$AX$1854)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2">
        <f t="shared" si="5"/>
        <v>0</v>
      </c>
      <c r="X11" s="193"/>
      <c r="Y11" s="193"/>
      <c r="Z11" s="193"/>
      <c r="AA11" s="193"/>
      <c r="AB11" s="194"/>
    </row>
    <row r="12" spans="2:28" ht="13.5" thickBot="1" x14ac:dyDescent="0.25">
      <c r="B12" s="96"/>
      <c r="D12" s="97"/>
      <c r="E12" s="18"/>
      <c r="F12" s="89"/>
      <c r="G12" s="83">
        <f ca="1">SUMIF(Sprint!$F$3:$F$1854,E12,Sprint!$AX$4:$AX$1854)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 x14ac:dyDescent="0.25">
      <c r="B13" s="96"/>
      <c r="D13" s="98"/>
      <c r="E13" s="18"/>
      <c r="F13" s="89"/>
      <c r="G13" s="83">
        <f ca="1">SUMIF(Sprint!$F$3:$F$1854,E13,Sprint!$AX$4:$AX$1854)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 x14ac:dyDescent="0.25">
      <c r="B14" s="96"/>
      <c r="D14" s="62"/>
      <c r="E14" s="18"/>
      <c r="F14" s="89"/>
      <c r="G14" s="83">
        <f ca="1">SUMIF(Sprint!$F$3:$F$1854,E14,Sprint!$AX$4:$AX$1854)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 x14ac:dyDescent="0.25">
      <c r="B15" s="96"/>
      <c r="D15" s="62"/>
      <c r="E15" s="18"/>
      <c r="F15" s="89"/>
      <c r="G15" s="83">
        <f ca="1">SUMIF(Sprint!$F$3:$F$1854,E15,Sprint!$AX$4:$AX$1854)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 x14ac:dyDescent="0.25">
      <c r="B16" s="96"/>
      <c r="D16" s="98"/>
      <c r="E16" s="18"/>
      <c r="F16" s="89"/>
      <c r="G16" s="83">
        <f ca="1">SUMIF(Sprint!$F$3:$F$1854,E16,Sprint!$AX$4:$AX$1854)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 x14ac:dyDescent="0.25">
      <c r="B17" s="96"/>
      <c r="D17" s="98"/>
      <c r="E17" s="18"/>
      <c r="F17" s="89"/>
      <c r="G17" s="83">
        <f ca="1">SUMIF(Sprint!$F$3:$F$1854,E17,Sprint!$AX$4:$AX$1854)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 x14ac:dyDescent="0.25">
      <c r="B18" s="96"/>
      <c r="D18" s="98"/>
      <c r="E18" s="18"/>
      <c r="F18" s="89"/>
      <c r="G18" s="83">
        <f ca="1">SUMIF(Sprint!$F$3:$F$1854,E18,Sprint!$AX$4:$AX$1854)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 x14ac:dyDescent="0.25">
      <c r="B19" s="96"/>
      <c r="D19" s="98"/>
      <c r="E19" s="18"/>
      <c r="F19" s="89"/>
      <c r="G19" s="83">
        <f ca="1">SUMIF(Sprint!$F$3:$F$1854,E19,Sprint!$AX$4:$AX$1854)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 x14ac:dyDescent="0.25">
      <c r="B20" s="96"/>
      <c r="D20" s="98"/>
      <c r="E20" s="18"/>
      <c r="F20" s="89"/>
      <c r="G20" s="83">
        <f ca="1">SUMIF(Sprint!$F$3:$F$1854,E20,Sprint!$AX$4:$AX$1854)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SUMIF(Sprint!$F$3:$F$1854,E21,Sprint!$AX$4:$AX$1854)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SUMIF(Sprint!$F$3:$F$1854,E22,Sprint!$AX$4:$AX$1854)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 x14ac:dyDescent="0.25">
      <c r="B23" s="70"/>
      <c r="D23" s="98"/>
      <c r="E23" s="18"/>
      <c r="F23" s="102"/>
      <c r="G23" s="83">
        <f ca="1">SUMIF(Sprint!$F$3:$F$1854,E23,Sprint!$AX$4:$AX$1854)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 x14ac:dyDescent="0.25">
      <c r="B24" s="96"/>
      <c r="D24" s="98"/>
      <c r="E24" s="18"/>
      <c r="F24" s="102"/>
      <c r="G24" s="83">
        <f ca="1">SUMIF(Sprint!$F$3:$F$1854,E24,Sprint!$AX$4:$AX$1854)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 x14ac:dyDescent="0.25">
      <c r="B25" s="96"/>
      <c r="D25" s="98"/>
      <c r="E25" s="103"/>
      <c r="F25" s="104"/>
      <c r="G25" s="83">
        <f ca="1">SUMIF(Sprint!$F$3:$F$1854,E25,Sprint!$AX$4:$AX$1854)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4" sqref="C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119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120</v>
      </c>
      <c r="D9" s="141" t="s">
        <v>117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121</v>
      </c>
      <c r="D10" s="141" t="s">
        <v>117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122</v>
      </c>
      <c r="D11" s="141" t="s">
        <v>117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123</v>
      </c>
      <c r="D12" s="141" t="s">
        <v>117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124</v>
      </c>
      <c r="D13" s="141" t="s">
        <v>117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125</v>
      </c>
      <c r="D14" s="141" t="s">
        <v>117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126</v>
      </c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C19" sqref="C19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COUNTIF(Sprint!$A$4:$A$92, "Feature")</f>
        <v>1</v>
      </c>
      <c r="C2" s="181">
        <f>B2/$B$6</f>
        <v>1</v>
      </c>
    </row>
    <row r="3" spans="1:3" ht="15" x14ac:dyDescent="0.25">
      <c r="A3" s="174" t="s">
        <v>106</v>
      </c>
      <c r="B3" s="175">
        <f>COUNTIF(Sprint!$A$4:$A$92,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COUNTIF(Sprint!$A$4:$A$92, "Precondition")</f>
        <v>0</v>
      </c>
      <c r="C4" s="181">
        <f t="shared" si="0"/>
        <v>0</v>
      </c>
    </row>
    <row r="5" spans="1:3" ht="15" x14ac:dyDescent="0.25">
      <c r="A5" s="174" t="s">
        <v>108</v>
      </c>
      <c r="B5" s="175">
        <f>COUNTIF(Sprint!$A$4:$A$92, "Spike")</f>
        <v>0</v>
      </c>
      <c r="C5" s="181">
        <f t="shared" si="0"/>
        <v>0</v>
      </c>
    </row>
    <row r="6" spans="1:3" ht="15" x14ac:dyDescent="0.25">
      <c r="A6" s="176" t="s">
        <v>112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128</v>
      </c>
      <c r="B9" s="175">
        <f>COUNTIF(Sprint!$B$4:$B$209, "Data Model")</f>
        <v>0</v>
      </c>
      <c r="C9" s="181" t="e">
        <f>B9/$B$25</f>
        <v>#DIV/0!</v>
      </c>
    </row>
    <row r="10" spans="1:3" ht="15" x14ac:dyDescent="0.25">
      <c r="A10" s="174" t="s">
        <v>129</v>
      </c>
      <c r="B10" s="175">
        <f>COUNTIF(Sprint!$B$4:$B$209, "Integration Model")</f>
        <v>0</v>
      </c>
      <c r="C10" s="181" t="e">
        <f>B10/$B$25</f>
        <v>#DIV/0!</v>
      </c>
    </row>
    <row r="11" spans="1:3" ht="15" x14ac:dyDescent="0.25">
      <c r="A11" s="174" t="s">
        <v>130</v>
      </c>
      <c r="B11" s="175">
        <f>COUNTIF(Sprint!$B$4:$B$209, "System Frameworks")</f>
        <v>0</v>
      </c>
      <c r="C11" s="181" t="e">
        <f>B11/$B$25</f>
        <v>#DIV/0!</v>
      </c>
    </row>
    <row r="12" spans="1:3" ht="15" x14ac:dyDescent="0.25">
      <c r="A12" s="174" t="s">
        <v>131</v>
      </c>
      <c r="B12" s="175">
        <f>COUNTIF(Sprint!$B$4:$B$209, "Data Conversions")</f>
        <v>0</v>
      </c>
      <c r="C12" s="181" t="e">
        <f>B12/$B$25</f>
        <v>#DIV/0!</v>
      </c>
    </row>
    <row r="13" spans="1:3" ht="15" x14ac:dyDescent="0.25">
      <c r="A13" s="174" t="s">
        <v>132</v>
      </c>
      <c r="B13" s="175">
        <f>COUNTIF(Sprint!$B$4:$B$209,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132</v>
      </c>
      <c r="B14" s="175">
        <f>COUNTIF(Sprint!$B$4:$B$209, "Cash Payment Tracking")</f>
        <v>0</v>
      </c>
      <c r="C14" s="181" t="e">
        <f t="shared" si="1"/>
        <v>#DIV/0!</v>
      </c>
    </row>
    <row r="15" spans="1:3" ht="15" x14ac:dyDescent="0.25">
      <c r="A15" s="174" t="s">
        <v>132</v>
      </c>
      <c r="B15" s="175">
        <f>COUNTIF(Sprint!$B$4:$B$209, "Views")</f>
        <v>0</v>
      </c>
      <c r="C15" s="181" t="e">
        <f t="shared" si="1"/>
        <v>#DIV/0!</v>
      </c>
    </row>
    <row r="16" spans="1:3" ht="15" x14ac:dyDescent="0.25">
      <c r="A16" s="174" t="s">
        <v>132</v>
      </c>
      <c r="B16" s="175">
        <f>COUNTIF(Sprint!$B$4:$B$209, "Lookups")</f>
        <v>0</v>
      </c>
      <c r="C16" s="181" t="e">
        <f t="shared" si="1"/>
        <v>#DIV/0!</v>
      </c>
    </row>
    <row r="17" spans="1:3" ht="15" x14ac:dyDescent="0.25">
      <c r="A17" s="174" t="s">
        <v>132</v>
      </c>
      <c r="B17" s="175">
        <f>COUNTIF(Sprint!$B$4:$B$209, "Detail screens")</f>
        <v>0</v>
      </c>
      <c r="C17" s="181" t="e">
        <f t="shared" si="1"/>
        <v>#DIV/0!</v>
      </c>
    </row>
    <row r="18" spans="1:3" ht="15" x14ac:dyDescent="0.25">
      <c r="A18" s="174" t="s">
        <v>132</v>
      </c>
      <c r="B18" s="175">
        <f>COUNTIF(Sprint!$B$4:$B$209, "Notifications")</f>
        <v>0</v>
      </c>
      <c r="C18" s="181" t="e">
        <f t="shared" si="1"/>
        <v>#DIV/0!</v>
      </c>
    </row>
    <row r="19" spans="1:3" ht="15" x14ac:dyDescent="0.25">
      <c r="A19" s="174" t="s">
        <v>132</v>
      </c>
      <c r="B19" s="175">
        <f>COUNTIF(Sprint!$B$4:$B$209, "Reports")</f>
        <v>0</v>
      </c>
      <c r="C19" s="181" t="e">
        <f t="shared" si="1"/>
        <v>#DIV/0!</v>
      </c>
    </row>
    <row r="20" spans="1:3" ht="15" x14ac:dyDescent="0.25">
      <c r="A20" s="174" t="s">
        <v>132</v>
      </c>
      <c r="B20" s="175">
        <f>COUNTIF(Sprint!$B$4:$B$209, "Installation Package")</f>
        <v>0</v>
      </c>
      <c r="C20" s="181" t="e">
        <f t="shared" si="1"/>
        <v>#DIV/0!</v>
      </c>
    </row>
    <row r="21" spans="1:3" ht="15" x14ac:dyDescent="0.25">
      <c r="A21" s="174" t="s">
        <v>132</v>
      </c>
      <c r="B21" s="175">
        <f>COUNTIF(Sprint!$B$4:$B$209, "Deployment")</f>
        <v>0</v>
      </c>
      <c r="C21" s="181" t="e">
        <f t="shared" si="1"/>
        <v>#DIV/0!</v>
      </c>
    </row>
    <row r="22" spans="1:3" ht="15" x14ac:dyDescent="0.25">
      <c r="A22" s="174" t="s">
        <v>132</v>
      </c>
      <c r="B22" s="175">
        <f>COUNTIF(Sprint!$B$4:$B$209, "Documentation")</f>
        <v>0</v>
      </c>
      <c r="C22" s="181" t="e">
        <f t="shared" si="1"/>
        <v>#DIV/0!</v>
      </c>
    </row>
    <row r="23" spans="1:3" ht="15" x14ac:dyDescent="0.25">
      <c r="A23" s="174" t="s">
        <v>132</v>
      </c>
      <c r="B23" s="175">
        <f>COUNTIF(Sprint!$B$4:$B$209, "Testing")</f>
        <v>0</v>
      </c>
      <c r="C23" s="181" t="e">
        <f t="shared" si="1"/>
        <v>#DIV/0!</v>
      </c>
    </row>
    <row r="24" spans="1:3" ht="15" x14ac:dyDescent="0.25">
      <c r="A24" s="174" t="s">
        <v>132</v>
      </c>
      <c r="B24" s="175">
        <f>COUNTIF(Sprint!$B$4:$B$209, "Project Mgt")</f>
        <v>0</v>
      </c>
      <c r="C24" s="181" t="e">
        <f t="shared" si="1"/>
        <v>#DIV/0!</v>
      </c>
    </row>
    <row r="25" spans="1:3" ht="15" x14ac:dyDescent="0.25">
      <c r="A25" s="176" t="s">
        <v>112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111</v>
      </c>
    </row>
    <row r="28" spans="1:3" ht="15" x14ac:dyDescent="0.25">
      <c r="A28" s="174" t="s">
        <v>113</v>
      </c>
      <c r="B28" s="175">
        <f ca="1">COUNTIF(Sprint!$G$4:$G$92, "Complete")</f>
        <v>0</v>
      </c>
      <c r="C28" s="181">
        <f ca="1">B28/$B$33</f>
        <v>0</v>
      </c>
    </row>
    <row r="29" spans="1:3" ht="15" x14ac:dyDescent="0.25">
      <c r="A29" s="174" t="s">
        <v>114</v>
      </c>
      <c r="B29" s="175">
        <f ca="1">COUNTIF(Sprint!$G$4:$G$92,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115</v>
      </c>
      <c r="B30" s="175">
        <f ca="1">COUNTIF(Sprint!$G$4:$G$92, "Pending")</f>
        <v>58</v>
      </c>
      <c r="C30" s="181">
        <f t="shared" ca="1" si="2"/>
        <v>1</v>
      </c>
    </row>
    <row r="31" spans="1:3" ht="15" x14ac:dyDescent="0.25">
      <c r="A31" s="174" t="s">
        <v>110</v>
      </c>
      <c r="B31" s="175">
        <f ca="1">COUNTIF(Sprint!$G$4:$G$92, "Postponed")</f>
        <v>0</v>
      </c>
      <c r="C31" s="181">
        <f t="shared" ca="1" si="2"/>
        <v>0</v>
      </c>
    </row>
    <row r="32" spans="1:3" ht="15" x14ac:dyDescent="0.25">
      <c r="A32" s="179" t="s">
        <v>116</v>
      </c>
      <c r="B32" s="175">
        <f ca="1">COUNTIF(Sprint!$G$4:$G$92, "Cancelled")</f>
        <v>0</v>
      </c>
      <c r="C32" s="181">
        <f t="shared" ca="1" si="2"/>
        <v>0</v>
      </c>
    </row>
    <row r="33" spans="1:3" ht="15" x14ac:dyDescent="0.25">
      <c r="A33" s="184" t="s">
        <v>112</v>
      </c>
      <c r="B33" s="185">
        <f ca="1">SUM(B28:B32)</f>
        <v>58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tabSelected="1" workbookViewId="0">
      <selection activeCell="B13" sqref="B13"/>
    </sheetView>
  </sheetViews>
  <sheetFormatPr defaultRowHeight="12.75" x14ac:dyDescent="0.2"/>
  <cols>
    <col min="1" max="1" width="4.5703125" bestFit="1" customWidth="1"/>
    <col min="2" max="2" width="60.140625" bestFit="1" customWidth="1"/>
  </cols>
  <sheetData>
    <row r="1" spans="1:2" x14ac:dyDescent="0.2">
      <c r="B1" s="205" t="s">
        <v>144</v>
      </c>
    </row>
    <row r="2" spans="1:2" x14ac:dyDescent="0.2">
      <c r="A2" s="204" t="s">
        <v>135</v>
      </c>
      <c r="B2" t="s">
        <v>136</v>
      </c>
    </row>
    <row r="3" spans="1:2" x14ac:dyDescent="0.2">
      <c r="A3">
        <v>1</v>
      </c>
      <c r="B3" t="s">
        <v>137</v>
      </c>
    </row>
    <row r="4" spans="1:2" x14ac:dyDescent="0.2">
      <c r="A4">
        <v>2</v>
      </c>
      <c r="B4" t="s">
        <v>138</v>
      </c>
    </row>
    <row r="5" spans="1:2" x14ac:dyDescent="0.2">
      <c r="A5">
        <v>3</v>
      </c>
      <c r="B5" t="s">
        <v>139</v>
      </c>
    </row>
    <row r="6" spans="1:2" x14ac:dyDescent="0.2">
      <c r="A6">
        <v>4</v>
      </c>
      <c r="B6" t="s">
        <v>140</v>
      </c>
    </row>
    <row r="7" spans="1:2" x14ac:dyDescent="0.2">
      <c r="A7">
        <v>5</v>
      </c>
      <c r="B7" t="s">
        <v>143</v>
      </c>
    </row>
    <row r="8" spans="1:2" x14ac:dyDescent="0.2">
      <c r="A8">
        <v>6</v>
      </c>
      <c r="B8" t="s">
        <v>141</v>
      </c>
    </row>
    <row r="9" spans="1:2" x14ac:dyDescent="0.2">
      <c r="A9">
        <v>7</v>
      </c>
      <c r="B9" t="s">
        <v>142</v>
      </c>
    </row>
    <row r="11" spans="1:2" x14ac:dyDescent="0.2">
      <c r="B11" s="205" t="s">
        <v>145</v>
      </c>
    </row>
    <row r="12" spans="1:2" x14ac:dyDescent="0.2">
      <c r="A12" t="s">
        <v>146</v>
      </c>
      <c r="B12" t="s">
        <v>147</v>
      </c>
    </row>
    <row r="13" spans="1:2" x14ac:dyDescent="0.2">
      <c r="A13" t="s">
        <v>148</v>
      </c>
      <c r="B13" t="s">
        <v>149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Sprint</vt:lpstr>
      <vt:lpstr>Analysis</vt:lpstr>
      <vt:lpstr>Capacity</vt:lpstr>
      <vt:lpstr>Team Roster</vt:lpstr>
      <vt:lpstr>Project Specific Reports</vt:lpstr>
      <vt:lpstr>Product Backlog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Guilherme</cp:lastModifiedBy>
  <cp:revision>1</cp:revision>
  <cp:lastPrinted>2005-08-15T09:18:22Z</cp:lastPrinted>
  <dcterms:created xsi:type="dcterms:W3CDTF">2005-01-26T21:50:47Z</dcterms:created>
  <dcterms:modified xsi:type="dcterms:W3CDTF">2011-11-21T14:04:31Z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